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6학년도 교육과정 기획 업무\2026 교육과정부 기획업무\참고-편제표 (정부애 부장님)\"/>
    </mc:Choice>
  </mc:AlternateContent>
  <xr:revisionPtr revIDLastSave="0" documentId="13_ncr:1_{F71695B1-8E37-44D4-B30F-8A6A76AEF5D6}" xr6:coauthVersionLast="47" xr6:coauthVersionMax="47" xr10:uidLastSave="{00000000-0000-0000-0000-000000000000}"/>
  <bookViews>
    <workbookView xWindow="-108" yWindow="-108" windowWidth="23256" windowHeight="12456" xr2:uid="{9C4340EC-0EFB-4DED-8502-4DF36C89EFFA}"/>
  </bookViews>
  <sheets>
    <sheet name="2026.6.16" sheetId="2" r:id="rId1"/>
  </sheets>
  <definedNames>
    <definedName name="_xlnm.Print_Area" localSheetId="0">'2026.6.16'!$A$1:$N$83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80" i="2" l="1"/>
  <c r="N79" i="2"/>
  <c r="L79" i="2"/>
  <c r="L81" i="2" s="1"/>
  <c r="K81" i="2"/>
  <c r="J81" i="2"/>
  <c r="I81" i="2"/>
  <c r="H79" i="2"/>
  <c r="H81" i="2" s="1"/>
  <c r="G79" i="2"/>
  <c r="M38" i="2"/>
  <c r="M34" i="2"/>
  <c r="M28" i="2"/>
  <c r="M26" i="2"/>
  <c r="M22" i="2"/>
  <c r="M20" i="2"/>
  <c r="M79" i="2" l="1"/>
  <c r="G81" i="2"/>
  <c r="M81" i="2" s="1"/>
</calcChain>
</file>

<file path=xl/sharedStrings.xml><?xml version="1.0" encoding="utf-8"?>
<sst xmlns="http://schemas.openxmlformats.org/spreadsheetml/2006/main" count="221" uniqueCount="119">
  <si>
    <t>☞ 표기방법 안내
 ◦ 특목고 과목을 진로선택과목으로 가져올 때 * 표기 
 ◦ 전문교과를 진로선택과목으로 가져올 때 ★ 표기
 ◦ 고시외과목은 ☆ 표기
 ◦ 교과특성화학교 관련 과목은 ■ 표기
 ◦ 교차집중표기법: 교차집중(↔)</t>
    <phoneticPr fontId="2" type="noConversion"/>
  </si>
  <si>
    <t>학기별 총 이수 학점</t>
  </si>
  <si>
    <t>창의적 체험활동</t>
  </si>
  <si>
    <t>이수학점 소계</t>
  </si>
  <si>
    <t>진로</t>
    <phoneticPr fontId="2" type="noConversion"/>
  </si>
  <si>
    <t>미술</t>
    <phoneticPr fontId="2" type="noConversion"/>
  </si>
  <si>
    <t>융합</t>
    <phoneticPr fontId="2" type="noConversion"/>
  </si>
  <si>
    <t>과학</t>
    <phoneticPr fontId="2" type="noConversion"/>
  </si>
  <si>
    <t>금융과 경제생활</t>
    <phoneticPr fontId="2" type="noConversion"/>
  </si>
  <si>
    <t>국제관계의 이해, 한국사 심화  탐구</t>
    <phoneticPr fontId="2" type="noConversion"/>
  </si>
  <si>
    <t>사회</t>
    <phoneticPr fontId="2" type="noConversion"/>
  </si>
  <si>
    <t>세계 문화와 영어</t>
    <phoneticPr fontId="2" type="noConversion"/>
  </si>
  <si>
    <t>영어</t>
    <phoneticPr fontId="2" type="noConversion"/>
  </si>
  <si>
    <t>전문 수학*</t>
    <phoneticPr fontId="2" type="noConversion"/>
  </si>
  <si>
    <t>수학</t>
    <phoneticPr fontId="2" type="noConversion"/>
  </si>
  <si>
    <t>택3</t>
    <phoneticPr fontId="2" type="noConversion"/>
  </si>
  <si>
    <t>문학과 영상</t>
    <phoneticPr fontId="2" type="noConversion"/>
  </si>
  <si>
    <t>국어</t>
    <phoneticPr fontId="2" type="noConversion"/>
  </si>
  <si>
    <t>심화 영어</t>
    <phoneticPr fontId="2" type="noConversion"/>
  </si>
  <si>
    <t xml:space="preserve">통합 수학I☆ </t>
    <phoneticPr fontId="2" type="noConversion"/>
  </si>
  <si>
    <t>매체 의사소통</t>
    <phoneticPr fontId="2" type="noConversion"/>
  </si>
  <si>
    <t>미술 감상과 비평</t>
    <phoneticPr fontId="2" type="noConversion"/>
  </si>
  <si>
    <r>
      <rPr>
        <b/>
        <sz val="10"/>
        <color theme="1"/>
        <rFont val="맑은 고딕"/>
        <family val="3"/>
        <charset val="129"/>
      </rPr>
      <t>택</t>
    </r>
    <r>
      <rPr>
        <b/>
        <sz val="10"/>
        <color theme="1"/>
        <rFont val="Calibri"/>
        <family val="3"/>
      </rPr>
      <t>1</t>
    </r>
    <phoneticPr fontId="2" type="noConversion"/>
  </si>
  <si>
    <t>음악 감상과 비평</t>
    <phoneticPr fontId="2" type="noConversion"/>
  </si>
  <si>
    <t>음악</t>
    <phoneticPr fontId="2" type="noConversion"/>
  </si>
  <si>
    <t>교양</t>
    <phoneticPr fontId="2" type="noConversion"/>
  </si>
  <si>
    <t>택1</t>
    <phoneticPr fontId="2" type="noConversion"/>
  </si>
  <si>
    <t>일본 문화, 중국 문화</t>
    <phoneticPr fontId="2" type="noConversion"/>
  </si>
  <si>
    <t>제2외국어</t>
    <phoneticPr fontId="2" type="noConversion"/>
  </si>
  <si>
    <t>사회문제 탐구, 역사로 탐구하는 현대 세계, 
기후변화와 지속가능한 세계</t>
    <phoneticPr fontId="2" type="noConversion"/>
  </si>
  <si>
    <t>법과 사회, 경제, 인문학과 윤리</t>
    <phoneticPr fontId="2" type="noConversion"/>
  </si>
  <si>
    <t>일반</t>
    <phoneticPr fontId="2" type="noConversion"/>
  </si>
  <si>
    <t>독서와 작문</t>
    <phoneticPr fontId="2" type="noConversion"/>
  </si>
  <si>
    <t>일본어 회화, 중국어 회화</t>
    <phoneticPr fontId="2" type="noConversion"/>
  </si>
  <si>
    <t>정보</t>
    <phoneticPr fontId="2" type="noConversion"/>
  </si>
  <si>
    <t>동아시아사 역사 기행, 정치, 윤리와 사상</t>
    <phoneticPr fontId="2" type="noConversion"/>
  </si>
  <si>
    <t>세계시민과 지리</t>
    <phoneticPr fontId="2" type="noConversion"/>
  </si>
  <si>
    <t>수학과제 탐구</t>
    <phoneticPr fontId="2" type="noConversion"/>
  </si>
  <si>
    <t>미적분Ⅱ, 기하, 경제 수학</t>
    <phoneticPr fontId="2" type="noConversion"/>
  </si>
  <si>
    <t>화법과 언어</t>
    <phoneticPr fontId="2" type="noConversion"/>
  </si>
  <si>
    <t>일본어, 중국어</t>
    <phoneticPr fontId="2" type="noConversion"/>
  </si>
  <si>
    <t>한국지리 탐구</t>
    <phoneticPr fontId="2" type="noConversion"/>
  </si>
  <si>
    <t>세계사, 사회와 문화, 현대사회와 윤리</t>
    <phoneticPr fontId="2" type="noConversion"/>
  </si>
  <si>
    <t>일반</t>
  </si>
  <si>
    <t>택4</t>
    <phoneticPr fontId="2" type="noConversion"/>
  </si>
  <si>
    <t>문학</t>
    <phoneticPr fontId="2" type="noConversion"/>
  </si>
  <si>
    <t>논리와 사고</t>
    <phoneticPr fontId="2" type="noConversion"/>
  </si>
  <si>
    <t>교차집중 (↔)</t>
    <phoneticPr fontId="2" type="noConversion"/>
  </si>
  <si>
    <t>진로와 직업</t>
    <phoneticPr fontId="2" type="noConversion"/>
  </si>
  <si>
    <t>미술 창작</t>
    <phoneticPr fontId="2" type="noConversion"/>
  </si>
  <si>
    <t>음악 연주와 창작</t>
    <phoneticPr fontId="2" type="noConversion"/>
  </si>
  <si>
    <t>예술</t>
    <phoneticPr fontId="2" type="noConversion"/>
  </si>
  <si>
    <t>스포츠 생활2</t>
    <phoneticPr fontId="2" type="noConversion"/>
  </si>
  <si>
    <t>스포츠 생활1</t>
    <phoneticPr fontId="2" type="noConversion"/>
  </si>
  <si>
    <t>스포츠 과학</t>
    <phoneticPr fontId="2" type="noConversion"/>
  </si>
  <si>
    <t>스포츠 문화</t>
    <phoneticPr fontId="2" type="noConversion"/>
  </si>
  <si>
    <t>체육2</t>
    <phoneticPr fontId="2" type="noConversion"/>
  </si>
  <si>
    <t>체육1</t>
    <phoneticPr fontId="2" type="noConversion"/>
  </si>
  <si>
    <t>체육</t>
  </si>
  <si>
    <t>한국사2</t>
    <phoneticPr fontId="2" type="noConversion"/>
  </si>
  <si>
    <t>공통</t>
    <phoneticPr fontId="2" type="noConversion"/>
  </si>
  <si>
    <t>한국사1</t>
    <phoneticPr fontId="2" type="noConversion"/>
  </si>
  <si>
    <t>한국사</t>
    <phoneticPr fontId="2" type="noConversion"/>
  </si>
  <si>
    <t>과학탐구실험2</t>
    <phoneticPr fontId="2" type="noConversion"/>
  </si>
  <si>
    <t>과학탐구실험1</t>
    <phoneticPr fontId="2" type="noConversion"/>
  </si>
  <si>
    <t>통합과학2</t>
    <phoneticPr fontId="2" type="noConversion"/>
  </si>
  <si>
    <t>통합과학1</t>
    <phoneticPr fontId="2" type="noConversion"/>
  </si>
  <si>
    <t>통합사회2</t>
    <phoneticPr fontId="2" type="noConversion"/>
  </si>
  <si>
    <t>통합사회1</t>
    <phoneticPr fontId="2" type="noConversion"/>
  </si>
  <si>
    <t>사회</t>
  </si>
  <si>
    <t>공통영어2</t>
    <phoneticPr fontId="2" type="noConversion"/>
  </si>
  <si>
    <t>공통영어1</t>
    <phoneticPr fontId="2" type="noConversion"/>
  </si>
  <si>
    <t>영어</t>
  </si>
  <si>
    <t>공통수학2</t>
  </si>
  <si>
    <t>공통</t>
  </si>
  <si>
    <t>공통수학1</t>
    <phoneticPr fontId="2" type="noConversion"/>
  </si>
  <si>
    <t>수학</t>
  </si>
  <si>
    <t>공통국어2</t>
    <phoneticPr fontId="2" type="noConversion"/>
  </si>
  <si>
    <t>공통국어1</t>
    <phoneticPr fontId="2" type="noConversion"/>
  </si>
  <si>
    <t>국어</t>
  </si>
  <si>
    <t>학
교
지
정
교
육
과
정</t>
    <phoneticPr fontId="2" type="noConversion"/>
  </si>
  <si>
    <t>2학기</t>
  </si>
  <si>
    <t>1학기</t>
  </si>
  <si>
    <t>필수
이수
학점</t>
  </si>
  <si>
    <t>이수 
학점</t>
  </si>
  <si>
    <t>3학년</t>
  </si>
  <si>
    <t>2학년</t>
  </si>
  <si>
    <t>1학년</t>
    <phoneticPr fontId="2" type="noConversion"/>
  </si>
  <si>
    <t>운영
학점</t>
    <phoneticPr fontId="2" type="noConversion"/>
  </si>
  <si>
    <t>기준
학점</t>
  </si>
  <si>
    <t>세부과목</t>
  </si>
  <si>
    <t>교과
(군)</t>
    <phoneticPr fontId="2" type="noConversion"/>
  </si>
  <si>
    <t>구분</t>
    <phoneticPr fontId="2" type="noConversion"/>
  </si>
  <si>
    <t>인공지능 원리 탐구☆</t>
    <phoneticPr fontId="2" type="noConversion"/>
  </si>
  <si>
    <t>인공지능수학</t>
    <phoneticPr fontId="2" type="noConversion"/>
  </si>
  <si>
    <t>공동교육과정
이수 시기별 2학점 또는 3학점</t>
    <phoneticPr fontId="2" type="noConversion"/>
  </si>
  <si>
    <t>마케팅과 광고</t>
    <phoneticPr fontId="2" type="noConversion"/>
  </si>
  <si>
    <t>드로잉*</t>
  </si>
  <si>
    <t xml:space="preserve">대수 </t>
    <phoneticPr fontId="2" type="noConversion"/>
  </si>
  <si>
    <t>미적분Ⅰ</t>
  </si>
  <si>
    <t>확률과 통계</t>
    <phoneticPr fontId="2" type="noConversion"/>
  </si>
  <si>
    <t>영어I</t>
    <phoneticPr fontId="2" type="noConversion"/>
  </si>
  <si>
    <t>영어II</t>
    <phoneticPr fontId="2" type="noConversion"/>
  </si>
  <si>
    <t>영어독해와 작문</t>
    <phoneticPr fontId="2" type="noConversion"/>
  </si>
  <si>
    <t>※ 참고사항
1학기말 학교 자율적 교육과정으로 선택형 추가 과목 개설 운영, 교과 심화 보충 및 교과 융합 프로그램운영, 교과형/창체형 주제 탐구를 위한 체험학습, 최소 성취기준 보장지도 프로글매 운영 등을 별도로 계획하여 운영할 수 있다. 단, 선택형 추가 개설과목의 이수를 희망하는 학생은 다음과 같은 편성 과목을 학기별로 이수할 수 있다.
1학년 1학기: 문제해결형 탐구 프로젝트I 또는 학생자치 택1</t>
    <phoneticPr fontId="2" type="noConversion"/>
  </si>
  <si>
    <t>데이터과학</t>
    <phoneticPr fontId="2" type="noConversion"/>
  </si>
  <si>
    <t>여행지리, 윤리문제 탐구</t>
    <phoneticPr fontId="2" type="noConversion"/>
  </si>
  <si>
    <t>생태와 환경</t>
    <phoneticPr fontId="2" type="noConversion"/>
  </si>
  <si>
    <t>보건</t>
    <phoneticPr fontId="2" type="noConversion"/>
  </si>
  <si>
    <t>인간과 경제활동</t>
    <phoneticPr fontId="2" type="noConversion"/>
  </si>
  <si>
    <t>물리학, 화학, 생명과학, 지구과학</t>
    <phoneticPr fontId="2" type="noConversion"/>
  </si>
  <si>
    <t>역학과 에너지, 물질과 에너지, 
세포와 물질대사, 지구시스템과학</t>
    <phoneticPr fontId="2" type="noConversion"/>
  </si>
  <si>
    <t>인공지능 기초</t>
    <phoneticPr fontId="2" type="noConversion"/>
  </si>
  <si>
    <t>전자기와 양자, 화학 반응의 세계, 
생물의 유전, 행성우주과학</t>
    <phoneticPr fontId="2" type="noConversion"/>
  </si>
  <si>
    <t xml:space="preserve"> 융합과학 탐구</t>
    <phoneticPr fontId="2" type="noConversion"/>
  </si>
  <si>
    <t>기후변화와 환경생태</t>
    <phoneticPr fontId="2" type="noConversion"/>
  </si>
  <si>
    <t>과학의 역사와 문화</t>
    <phoneticPr fontId="2" type="noConversion"/>
  </si>
  <si>
    <t>2026학년도 신입생 3개년 교육과정 편제표</t>
    <phoneticPr fontId="2" type="noConversion"/>
  </si>
  <si>
    <t>울산여자고등학교(2026.6.16.)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</si>
</sst>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sz val="10"/>
      <color rgb="FF000000"/>
      <name val="나눔고딕"/>
      <family val="3"/>
      <charset val="129"/>
    </font>
    <font>
      <sz val="10"/>
      <name val="나눔고딕"/>
      <family val="3"/>
      <charset val="129"/>
    </font>
    <font>
      <b/>
      <sz val="10"/>
      <color rgb="FF0070C0"/>
      <name val="나눔고딕"/>
      <family val="3"/>
      <charset val="129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theme="1"/>
      <name val="나눔고딕"/>
      <family val="3"/>
      <charset val="129"/>
    </font>
    <font>
      <sz val="10"/>
      <name val="맑은 고딕"/>
      <family val="3"/>
      <charset val="129"/>
    </font>
    <font>
      <b/>
      <sz val="10"/>
      <name val="나눔고딕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theme="1"/>
      <name val="Calibri"/>
      <family val="3"/>
    </font>
    <font>
      <b/>
      <sz val="10"/>
      <name val="맑은 고딕"/>
      <family val="3"/>
      <charset val="129"/>
    </font>
    <font>
      <sz val="10"/>
      <name val="나눔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9"/>
      <name val="나눔고딕"/>
      <family val="3"/>
      <charset val="129"/>
    </font>
    <font>
      <b/>
      <sz val="10"/>
      <color rgb="FF000000"/>
      <name val="맑은 고딕"/>
      <family val="3"/>
      <charset val="129"/>
      <scheme val="major"/>
    </font>
    <font>
      <b/>
      <sz val="16"/>
      <color rgb="FF0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AA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3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176" fontId="4" fillId="0" borderId="1" xfId="0" applyNumberFormat="1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center" vertical="center" wrapText="1"/>
    </xf>
    <xf numFmtId="176" fontId="5" fillId="0" borderId="7" xfId="0" applyNumberFormat="1" applyFont="1" applyBorder="1" applyAlignment="1">
      <alignment horizontal="center" vertical="center" wrapText="1"/>
    </xf>
    <xf numFmtId="176" fontId="4" fillId="0" borderId="11" xfId="0" applyNumberFormat="1" applyFont="1" applyBorder="1" applyAlignment="1">
      <alignment horizontal="center" vertical="center" wrapText="1"/>
    </xf>
    <xf numFmtId="176" fontId="5" fillId="0" borderId="12" xfId="0" applyNumberFormat="1" applyFont="1" applyBorder="1" applyAlignment="1">
      <alignment horizontal="center" vertical="center" wrapText="1"/>
    </xf>
    <xf numFmtId="176" fontId="6" fillId="0" borderId="12" xfId="0" applyNumberFormat="1" applyFont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176" fontId="5" fillId="4" borderId="31" xfId="0" applyNumberFormat="1" applyFont="1" applyFill="1" applyBorder="1" applyAlignment="1">
      <alignment horizontal="center" vertical="center" wrapText="1"/>
    </xf>
    <xf numFmtId="0" fontId="10" fillId="0" borderId="32" xfId="0" applyFont="1" applyBorder="1">
      <alignment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76" fontId="7" fillId="0" borderId="36" xfId="0" applyNumberFormat="1" applyFont="1" applyBorder="1" applyAlignment="1">
      <alignment horizontal="center" vertical="center" wrapText="1" shrinkToFit="1"/>
    </xf>
    <xf numFmtId="176" fontId="11" fillId="0" borderId="37" xfId="0" applyNumberFormat="1" applyFont="1" applyBorder="1" applyAlignment="1">
      <alignment horizontal="center" vertical="center" wrapText="1"/>
    </xf>
    <xf numFmtId="176" fontId="7" fillId="0" borderId="39" xfId="0" applyNumberFormat="1" applyFont="1" applyBorder="1" applyAlignment="1">
      <alignment horizontal="center" vertical="center" wrapText="1" shrinkToFit="1"/>
    </xf>
    <xf numFmtId="176" fontId="11" fillId="0" borderId="40" xfId="0" applyNumberFormat="1" applyFont="1" applyBorder="1" applyAlignment="1">
      <alignment horizontal="center" vertical="center" wrapText="1"/>
    </xf>
    <xf numFmtId="176" fontId="9" fillId="3" borderId="40" xfId="0" applyNumberFormat="1" applyFont="1" applyFill="1" applyBorder="1" applyAlignment="1">
      <alignment horizontal="center" vertical="center" wrapText="1"/>
    </xf>
    <xf numFmtId="0" fontId="12" fillId="4" borderId="41" xfId="0" applyFont="1" applyFill="1" applyBorder="1" applyAlignment="1">
      <alignment horizontal="center" vertical="center"/>
    </xf>
    <xf numFmtId="0" fontId="10" fillId="0" borderId="27" xfId="0" applyFont="1" applyBorder="1">
      <alignment vertical="center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176" fontId="7" fillId="0" borderId="44" xfId="0" applyNumberFormat="1" applyFont="1" applyBorder="1" applyAlignment="1">
      <alignment horizontal="center" vertical="center" wrapText="1" shrinkToFit="1"/>
    </xf>
    <xf numFmtId="176" fontId="11" fillId="0" borderId="45" xfId="0" applyNumberFormat="1" applyFont="1" applyBorder="1" applyAlignment="1">
      <alignment horizontal="center" vertical="center" wrapText="1"/>
    </xf>
    <xf numFmtId="176" fontId="9" fillId="3" borderId="45" xfId="0" applyNumberFormat="1" applyFont="1" applyFill="1" applyBorder="1" applyAlignment="1">
      <alignment horizontal="center" vertical="center" wrapText="1"/>
    </xf>
    <xf numFmtId="176" fontId="5" fillId="5" borderId="31" xfId="0" applyNumberFormat="1" applyFont="1" applyFill="1" applyBorder="1" applyAlignment="1">
      <alignment horizontal="center" vertical="center" wrapText="1"/>
    </xf>
    <xf numFmtId="176" fontId="13" fillId="3" borderId="37" xfId="0" applyNumberFormat="1" applyFont="1" applyFill="1" applyBorder="1" applyAlignment="1">
      <alignment horizontal="center" vertical="center" wrapText="1" shrinkToFit="1"/>
    </xf>
    <xf numFmtId="0" fontId="10" fillId="0" borderId="10" xfId="0" applyFont="1" applyBorder="1">
      <alignment vertical="center"/>
    </xf>
    <xf numFmtId="0" fontId="3" fillId="0" borderId="4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3" borderId="47" xfId="0" applyFont="1" applyFill="1" applyBorder="1" applyAlignment="1">
      <alignment horizontal="center" vertical="center" wrapText="1"/>
    </xf>
    <xf numFmtId="176" fontId="7" fillId="0" borderId="9" xfId="0" applyNumberFormat="1" applyFont="1" applyBorder="1" applyAlignment="1">
      <alignment horizontal="center" vertical="center" wrapText="1"/>
    </xf>
    <xf numFmtId="176" fontId="5" fillId="0" borderId="40" xfId="0" applyNumberFormat="1" applyFont="1" applyBorder="1" applyAlignment="1">
      <alignment horizontal="center" vertical="center" wrapText="1"/>
    </xf>
    <xf numFmtId="176" fontId="5" fillId="0" borderId="46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shrinkToFit="1"/>
    </xf>
    <xf numFmtId="176" fontId="5" fillId="5" borderId="28" xfId="0" applyNumberFormat="1" applyFont="1" applyFill="1" applyBorder="1" applyAlignment="1">
      <alignment horizontal="center" vertical="center" wrapText="1"/>
    </xf>
    <xf numFmtId="0" fontId="12" fillId="5" borderId="41" xfId="0" applyFont="1" applyFill="1" applyBorder="1" applyAlignment="1">
      <alignment horizontal="center" vertical="center"/>
    </xf>
    <xf numFmtId="0" fontId="10" fillId="0" borderId="15" xfId="0" applyFont="1" applyBorder="1">
      <alignment vertical="center"/>
    </xf>
    <xf numFmtId="176" fontId="5" fillId="0" borderId="48" xfId="0" applyNumberFormat="1" applyFont="1" applyBorder="1" applyAlignment="1">
      <alignment horizontal="center" vertical="center" wrapText="1"/>
    </xf>
    <xf numFmtId="176" fontId="5" fillId="0" borderId="49" xfId="0" applyNumberFormat="1" applyFont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50" xfId="0" applyFont="1" applyFill="1" applyBorder="1" applyAlignment="1">
      <alignment horizontal="center" vertical="center" wrapText="1"/>
    </xf>
    <xf numFmtId="176" fontId="7" fillId="0" borderId="51" xfId="0" applyNumberFormat="1" applyFont="1" applyBorder="1" applyAlignment="1">
      <alignment horizontal="center" vertical="center" shrinkToFit="1"/>
    </xf>
    <xf numFmtId="176" fontId="5" fillId="0" borderId="45" xfId="0" applyNumberFormat="1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52" xfId="0" applyFont="1" applyFill="1" applyBorder="1" applyAlignment="1">
      <alignment horizontal="center" vertical="center" wrapText="1"/>
    </xf>
    <xf numFmtId="176" fontId="7" fillId="0" borderId="4" xfId="0" applyNumberFormat="1" applyFont="1" applyBorder="1" applyAlignment="1">
      <alignment horizontal="center" vertical="center" wrapText="1" shrinkToFit="1"/>
    </xf>
    <xf numFmtId="176" fontId="11" fillId="0" borderId="53" xfId="0" applyNumberFormat="1" applyFont="1" applyBorder="1" applyAlignment="1">
      <alignment horizontal="center" vertical="center" wrapText="1"/>
    </xf>
    <xf numFmtId="176" fontId="9" fillId="3" borderId="53" xfId="0" applyNumberFormat="1" applyFont="1" applyFill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/>
    </xf>
    <xf numFmtId="0" fontId="10" fillId="6" borderId="4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176" fontId="7" fillId="0" borderId="51" xfId="0" applyNumberFormat="1" applyFont="1" applyBorder="1" applyAlignment="1">
      <alignment horizontal="center" vertical="center" wrapText="1" shrinkToFit="1"/>
    </xf>
    <xf numFmtId="0" fontId="10" fillId="0" borderId="40" xfId="0" applyFont="1" applyBorder="1">
      <alignment vertical="center"/>
    </xf>
    <xf numFmtId="0" fontId="5" fillId="0" borderId="55" xfId="0" applyFont="1" applyBorder="1" applyAlignment="1">
      <alignment horizontal="center" vertical="center" wrapText="1"/>
    </xf>
    <xf numFmtId="0" fontId="5" fillId="0" borderId="54" xfId="0" applyFont="1" applyBorder="1" applyAlignment="1">
      <alignment horizontal="center" vertical="center" wrapText="1"/>
    </xf>
    <xf numFmtId="176" fontId="5" fillId="0" borderId="38" xfId="0" applyNumberFormat="1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12" fillId="7" borderId="45" xfId="0" applyFont="1" applyFill="1" applyBorder="1" applyAlignment="1">
      <alignment horizontal="center" vertical="center"/>
    </xf>
    <xf numFmtId="0" fontId="5" fillId="8" borderId="31" xfId="0" applyFont="1" applyFill="1" applyBorder="1" applyAlignment="1">
      <alignment horizontal="center" vertical="center"/>
    </xf>
    <xf numFmtId="176" fontId="7" fillId="0" borderId="56" xfId="0" applyNumberFormat="1" applyFont="1" applyBorder="1" applyAlignment="1">
      <alignment horizontal="center" vertical="center" wrapText="1" shrinkToFit="1"/>
    </xf>
    <xf numFmtId="176" fontId="3" fillId="0" borderId="37" xfId="0" applyNumberFormat="1" applyFont="1" applyBorder="1" applyAlignment="1">
      <alignment horizontal="center" vertical="center" wrapText="1"/>
    </xf>
    <xf numFmtId="176" fontId="7" fillId="0" borderId="9" xfId="0" applyNumberFormat="1" applyFont="1" applyBorder="1" applyAlignment="1">
      <alignment horizontal="center" vertical="center" wrapText="1" shrinkToFit="1"/>
    </xf>
    <xf numFmtId="176" fontId="3" fillId="0" borderId="40" xfId="0" applyNumberFormat="1" applyFont="1" applyBorder="1" applyAlignment="1">
      <alignment horizontal="center" vertical="center" wrapText="1"/>
    </xf>
    <xf numFmtId="176" fontId="13" fillId="0" borderId="9" xfId="0" applyNumberFormat="1" applyFont="1" applyBorder="1" applyAlignment="1">
      <alignment horizontal="center" vertical="center" wrapText="1" shrinkToFit="1"/>
    </xf>
    <xf numFmtId="176" fontId="8" fillId="0" borderId="40" xfId="0" applyNumberFormat="1" applyFont="1" applyBorder="1" applyAlignment="1">
      <alignment horizontal="center" vertical="center" wrapText="1"/>
    </xf>
    <xf numFmtId="176" fontId="8" fillId="0" borderId="45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52" xfId="0" applyNumberFormat="1" applyFont="1" applyBorder="1" applyAlignment="1">
      <alignment horizontal="center" vertical="center" wrapText="1"/>
    </xf>
    <xf numFmtId="176" fontId="11" fillId="9" borderId="21" xfId="0" applyNumberFormat="1" applyFont="1" applyFill="1" applyBorder="1" applyAlignment="1">
      <alignment horizontal="center" vertical="center" wrapText="1"/>
    </xf>
    <xf numFmtId="176" fontId="12" fillId="0" borderId="20" xfId="0" applyNumberFormat="1" applyFont="1" applyBorder="1" applyAlignment="1">
      <alignment vertical="center" wrapText="1"/>
    </xf>
    <xf numFmtId="0" fontId="3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176" fontId="13" fillId="0" borderId="20" xfId="0" applyNumberFormat="1" applyFont="1" applyBorder="1" applyAlignment="1">
      <alignment horizontal="center" vertical="center" wrapText="1"/>
    </xf>
    <xf numFmtId="176" fontId="8" fillId="0" borderId="18" xfId="0" applyNumberFormat="1" applyFont="1" applyBorder="1" applyAlignment="1">
      <alignment horizontal="center" vertical="center" wrapText="1"/>
    </xf>
    <xf numFmtId="176" fontId="16" fillId="9" borderId="41" xfId="0" applyNumberFormat="1" applyFont="1" applyFill="1" applyBorder="1" applyAlignment="1">
      <alignment horizontal="center" vertical="center" wrapText="1"/>
    </xf>
    <xf numFmtId="176" fontId="12" fillId="0" borderId="15" xfId="0" applyNumberFormat="1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176" fontId="5" fillId="0" borderId="44" xfId="0" applyNumberFormat="1" applyFont="1" applyBorder="1" applyAlignment="1">
      <alignment horizontal="center" vertical="center" wrapText="1"/>
    </xf>
    <xf numFmtId="0" fontId="3" fillId="10" borderId="31" xfId="0" applyFont="1" applyFill="1" applyBorder="1" applyAlignment="1">
      <alignment horizontal="center" vertical="center"/>
    </xf>
    <xf numFmtId="176" fontId="12" fillId="0" borderId="32" xfId="0" applyNumberFormat="1" applyFont="1" applyBorder="1" applyAlignment="1">
      <alignment vertical="center" wrapText="1"/>
    </xf>
    <xf numFmtId="0" fontId="3" fillId="3" borderId="29" xfId="0" applyFont="1" applyFill="1" applyBorder="1" applyAlignment="1">
      <alignment horizontal="center" vertical="center" wrapText="1"/>
    </xf>
    <xf numFmtId="176" fontId="13" fillId="0" borderId="32" xfId="0" applyNumberFormat="1" applyFont="1" applyBorder="1" applyAlignment="1">
      <alignment horizontal="center" vertical="center" wrapText="1" shrinkToFit="1"/>
    </xf>
    <xf numFmtId="176" fontId="3" fillId="0" borderId="36" xfId="0" applyNumberFormat="1" applyFont="1" applyBorder="1" applyAlignment="1">
      <alignment horizontal="center" vertical="center" wrapText="1"/>
    </xf>
    <xf numFmtId="176" fontId="12" fillId="0" borderId="10" xfId="0" applyNumberFormat="1" applyFont="1" applyBorder="1" applyAlignment="1">
      <alignment vertical="center" wrapText="1"/>
    </xf>
    <xf numFmtId="176" fontId="17" fillId="0" borderId="6" xfId="0" applyNumberFormat="1" applyFont="1" applyBorder="1" applyAlignment="1">
      <alignment horizontal="center" vertical="center" wrapText="1"/>
    </xf>
    <xf numFmtId="176" fontId="17" fillId="0" borderId="47" xfId="0" applyNumberFormat="1" applyFont="1" applyBorder="1" applyAlignment="1">
      <alignment horizontal="center" vertical="center" wrapText="1"/>
    </xf>
    <xf numFmtId="176" fontId="18" fillId="0" borderId="10" xfId="0" applyNumberFormat="1" applyFont="1" applyBorder="1" applyAlignment="1">
      <alignment horizontal="center" vertical="center" wrapText="1" shrinkToFit="1"/>
    </xf>
    <xf numFmtId="176" fontId="8" fillId="0" borderId="39" xfId="0" applyNumberFormat="1" applyFont="1" applyBorder="1" applyAlignment="1">
      <alignment horizontal="center" vertical="center" wrapText="1"/>
    </xf>
    <xf numFmtId="176" fontId="5" fillId="3" borderId="6" xfId="0" applyNumberFormat="1" applyFont="1" applyFill="1" applyBorder="1" applyAlignment="1">
      <alignment horizontal="center" vertical="center" wrapText="1"/>
    </xf>
    <xf numFmtId="176" fontId="5" fillId="3" borderId="47" xfId="0" applyNumberFormat="1" applyFont="1" applyFill="1" applyBorder="1" applyAlignment="1">
      <alignment horizontal="center" vertical="center" wrapText="1"/>
    </xf>
    <xf numFmtId="176" fontId="13" fillId="0" borderId="10" xfId="0" applyNumberFormat="1" applyFont="1" applyBorder="1" applyAlignment="1">
      <alignment horizontal="center" vertical="center" wrapText="1"/>
    </xf>
    <xf numFmtId="0" fontId="3" fillId="10" borderId="31" xfId="0" applyFont="1" applyFill="1" applyBorder="1" applyAlignment="1">
      <alignment horizontal="center" vertical="center" wrapText="1"/>
    </xf>
    <xf numFmtId="176" fontId="17" fillId="0" borderId="50" xfId="0" applyNumberFormat="1" applyFont="1" applyBorder="1" applyAlignment="1">
      <alignment horizontal="center" vertical="center" wrapText="1"/>
    </xf>
    <xf numFmtId="176" fontId="13" fillId="0" borderId="15" xfId="0" applyNumberFormat="1" applyFont="1" applyBorder="1" applyAlignment="1">
      <alignment horizontal="center" vertical="center" wrapText="1"/>
    </xf>
    <xf numFmtId="176" fontId="12" fillId="0" borderId="58" xfId="0" applyNumberFormat="1" applyFont="1" applyBorder="1" applyAlignment="1">
      <alignment vertical="center" wrapText="1"/>
    </xf>
    <xf numFmtId="176" fontId="16" fillId="11" borderId="41" xfId="0" applyNumberFormat="1" applyFont="1" applyFill="1" applyBorder="1" applyAlignment="1">
      <alignment horizontal="center" vertical="center" wrapText="1"/>
    </xf>
    <xf numFmtId="176" fontId="5" fillId="10" borderId="21" xfId="0" applyNumberFormat="1" applyFont="1" applyFill="1" applyBorder="1" applyAlignment="1">
      <alignment horizontal="center" vertical="center" wrapText="1"/>
    </xf>
    <xf numFmtId="176" fontId="5" fillId="10" borderId="31" xfId="0" applyNumberFormat="1" applyFont="1" applyFill="1" applyBorder="1" applyAlignment="1">
      <alignment horizontal="center" vertical="center" wrapText="1"/>
    </xf>
    <xf numFmtId="176" fontId="12" fillId="0" borderId="37" xfId="0" applyNumberFormat="1" applyFont="1" applyBorder="1" applyAlignment="1">
      <alignment vertical="center" wrapText="1"/>
    </xf>
    <xf numFmtId="176" fontId="17" fillId="0" borderId="33" xfId="0" applyNumberFormat="1" applyFont="1" applyBorder="1" applyAlignment="1">
      <alignment horizontal="center" vertical="center" wrapText="1"/>
    </xf>
    <xf numFmtId="176" fontId="18" fillId="0" borderId="37" xfId="0" applyNumberFormat="1" applyFont="1" applyBorder="1" applyAlignment="1">
      <alignment horizontal="center" vertical="center" shrinkToFit="1"/>
    </xf>
    <xf numFmtId="176" fontId="5" fillId="0" borderId="37" xfId="0" applyNumberFormat="1" applyFont="1" applyBorder="1" applyAlignment="1">
      <alignment horizontal="center" vertical="center" wrapText="1"/>
    </xf>
    <xf numFmtId="176" fontId="12" fillId="0" borderId="45" xfId="0" applyNumberFormat="1" applyFont="1" applyBorder="1" applyAlignment="1">
      <alignment vertical="center" wrapText="1"/>
    </xf>
    <xf numFmtId="176" fontId="10" fillId="10" borderId="41" xfId="0" applyNumberFormat="1" applyFont="1" applyFill="1" applyBorder="1" applyAlignment="1">
      <alignment horizontal="center" vertical="center" wrapText="1"/>
    </xf>
    <xf numFmtId="176" fontId="17" fillId="0" borderId="48" xfId="0" applyNumberFormat="1" applyFont="1" applyBorder="1" applyAlignment="1">
      <alignment horizontal="center" vertical="center" wrapText="1"/>
    </xf>
    <xf numFmtId="176" fontId="13" fillId="0" borderId="45" xfId="0" applyNumberFormat="1" applyFont="1" applyBorder="1" applyAlignment="1">
      <alignment horizontal="center" vertical="center" shrinkToFit="1"/>
    </xf>
    <xf numFmtId="176" fontId="4" fillId="0" borderId="45" xfId="0" applyNumberFormat="1" applyFont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 wrapText="1"/>
    </xf>
    <xf numFmtId="176" fontId="5" fillId="3" borderId="52" xfId="0" applyNumberFormat="1" applyFont="1" applyFill="1" applyBorder="1" applyAlignment="1">
      <alignment horizontal="center" vertical="center" wrapText="1"/>
    </xf>
    <xf numFmtId="176" fontId="5" fillId="3" borderId="55" xfId="0" applyNumberFormat="1" applyFont="1" applyFill="1" applyBorder="1" applyAlignment="1">
      <alignment horizontal="center" vertical="center" wrapText="1"/>
    </xf>
    <xf numFmtId="176" fontId="5" fillId="3" borderId="54" xfId="0" applyNumberFormat="1" applyFont="1" applyFill="1" applyBorder="1" applyAlignment="1">
      <alignment horizontal="center" vertical="center" wrapText="1"/>
    </xf>
    <xf numFmtId="176" fontId="17" fillId="0" borderId="54" xfId="0" applyNumberFormat="1" applyFont="1" applyBorder="1" applyAlignment="1">
      <alignment horizontal="center" vertical="center" wrapText="1"/>
    </xf>
    <xf numFmtId="176" fontId="13" fillId="0" borderId="45" xfId="0" applyNumberFormat="1" applyFont="1" applyBorder="1" applyAlignment="1">
      <alignment horizontal="center" vertical="center" wrapText="1"/>
    </xf>
    <xf numFmtId="176" fontId="1" fillId="0" borderId="0" xfId="0" applyNumberFormat="1" applyFont="1">
      <alignment vertical="center"/>
    </xf>
    <xf numFmtId="176" fontId="3" fillId="3" borderId="1" xfId="0" applyNumberFormat="1" applyFont="1" applyFill="1" applyBorder="1" applyAlignment="1">
      <alignment horizontal="center" vertical="center" wrapText="1"/>
    </xf>
    <xf numFmtId="176" fontId="5" fillId="3" borderId="3" xfId="0" applyNumberFormat="1" applyFont="1" applyFill="1" applyBorder="1" applyAlignment="1">
      <alignment horizontal="center" vertical="center" wrapText="1"/>
    </xf>
    <xf numFmtId="176" fontId="19" fillId="3" borderId="1" xfId="0" applyNumberFormat="1" applyFont="1" applyFill="1" applyBorder="1" applyAlignment="1">
      <alignment horizontal="center" vertical="center" wrapText="1"/>
    </xf>
    <xf numFmtId="0" fontId="3" fillId="3" borderId="59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176" fontId="5" fillId="3" borderId="53" xfId="0" applyNumberFormat="1" applyFont="1" applyFill="1" applyBorder="1" applyAlignment="1">
      <alignment horizontal="center" vertical="center" wrapText="1"/>
    </xf>
    <xf numFmtId="176" fontId="5" fillId="3" borderId="29" xfId="0" applyNumberFormat="1" applyFont="1" applyFill="1" applyBorder="1" applyAlignment="1">
      <alignment horizontal="center" vertical="center" wrapText="1"/>
    </xf>
    <xf numFmtId="176" fontId="5" fillId="3" borderId="35" xfId="0" applyNumberFormat="1" applyFont="1" applyFill="1" applyBorder="1" applyAlignment="1">
      <alignment horizontal="center" vertical="center" wrapText="1"/>
    </xf>
    <xf numFmtId="176" fontId="5" fillId="3" borderId="33" xfId="0" applyNumberFormat="1" applyFont="1" applyFill="1" applyBorder="1" applyAlignment="1">
      <alignment horizontal="center" vertical="center" wrapText="1"/>
    </xf>
    <xf numFmtId="176" fontId="5" fillId="3" borderId="34" xfId="0" applyNumberFormat="1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  <xf numFmtId="0" fontId="5" fillId="3" borderId="34" xfId="0" applyFont="1" applyFill="1" applyBorder="1" applyAlignment="1">
      <alignment horizontal="center" vertical="center" wrapText="1"/>
    </xf>
    <xf numFmtId="176" fontId="5" fillId="0" borderId="60" xfId="0" applyNumberFormat="1" applyFont="1" applyBorder="1" applyAlignment="1">
      <alignment horizontal="center" vertical="center" wrapText="1"/>
    </xf>
    <xf numFmtId="176" fontId="19" fillId="3" borderId="6" xfId="0" applyNumberFormat="1" applyFont="1" applyFill="1" applyBorder="1" applyAlignment="1">
      <alignment horizontal="center" vertical="center" wrapText="1"/>
    </xf>
    <xf numFmtId="176" fontId="19" fillId="3" borderId="47" xfId="0" applyNumberFormat="1" applyFont="1" applyFill="1" applyBorder="1" applyAlignment="1">
      <alignment horizontal="center" vertical="center" wrapText="1"/>
    </xf>
    <xf numFmtId="0" fontId="5" fillId="3" borderId="46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176" fontId="7" fillId="3" borderId="40" xfId="0" applyNumberFormat="1" applyFont="1" applyFill="1" applyBorder="1" applyAlignment="1">
      <alignment horizontal="center" vertical="center" shrinkToFit="1"/>
    </xf>
    <xf numFmtId="176" fontId="19" fillId="3" borderId="55" xfId="0" applyNumberFormat="1" applyFont="1" applyFill="1" applyBorder="1" applyAlignment="1">
      <alignment horizontal="center" vertical="center" wrapText="1"/>
    </xf>
    <xf numFmtId="176" fontId="19" fillId="3" borderId="54" xfId="0" applyNumberFormat="1" applyFont="1" applyFill="1" applyBorder="1" applyAlignment="1">
      <alignment horizontal="center" vertical="center" wrapText="1"/>
    </xf>
    <xf numFmtId="176" fontId="5" fillId="3" borderId="60" xfId="0" applyNumberFormat="1" applyFont="1" applyFill="1" applyBorder="1" applyAlignment="1">
      <alignment horizontal="center" vertical="center" wrapText="1"/>
    </xf>
    <xf numFmtId="176" fontId="5" fillId="3" borderId="13" xfId="0" applyNumberFormat="1" applyFont="1" applyFill="1" applyBorder="1" applyAlignment="1">
      <alignment horizontal="center" vertical="center" wrapText="1"/>
    </xf>
    <xf numFmtId="0" fontId="5" fillId="3" borderId="60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176" fontId="7" fillId="3" borderId="38" xfId="0" applyNumberFormat="1" applyFont="1" applyFill="1" applyBorder="1" applyAlignment="1">
      <alignment horizontal="center" vertical="center" shrinkToFit="1"/>
    </xf>
    <xf numFmtId="176" fontId="5" fillId="3" borderId="38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76" fontId="7" fillId="0" borderId="40" xfId="0" applyNumberFormat="1" applyFont="1" applyBorder="1" applyAlignment="1">
      <alignment horizontal="center" vertical="center" shrinkToFit="1"/>
    </xf>
    <xf numFmtId="176" fontId="11" fillId="3" borderId="40" xfId="0" applyNumberFormat="1" applyFont="1" applyFill="1" applyBorder="1" applyAlignment="1">
      <alignment horizontal="center" vertical="center" wrapText="1"/>
    </xf>
    <xf numFmtId="176" fontId="3" fillId="3" borderId="29" xfId="0" applyNumberFormat="1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 wrapText="1"/>
    </xf>
    <xf numFmtId="176" fontId="7" fillId="3" borderId="37" xfId="0" applyNumberFormat="1" applyFont="1" applyFill="1" applyBorder="1" applyAlignment="1">
      <alignment horizontal="center" vertical="center" wrapText="1"/>
    </xf>
    <xf numFmtId="176" fontId="7" fillId="3" borderId="38" xfId="0" applyNumberFormat="1" applyFont="1" applyFill="1" applyBorder="1" applyAlignment="1">
      <alignment horizontal="center" vertical="center" wrapText="1"/>
    </xf>
    <xf numFmtId="176" fontId="5" fillId="3" borderId="46" xfId="0" applyNumberFormat="1" applyFont="1" applyFill="1" applyBorder="1" applyAlignment="1">
      <alignment horizontal="center" vertical="center" wrapText="1"/>
    </xf>
    <xf numFmtId="176" fontId="5" fillId="3" borderId="8" xfId="0" applyNumberFormat="1" applyFont="1" applyFill="1" applyBorder="1" applyAlignment="1">
      <alignment horizontal="center" vertical="center" wrapText="1"/>
    </xf>
    <xf numFmtId="176" fontId="3" fillId="3" borderId="6" xfId="0" applyNumberFormat="1" applyFont="1" applyFill="1" applyBorder="1" applyAlignment="1">
      <alignment horizontal="center" vertical="center" wrapText="1"/>
    </xf>
    <xf numFmtId="0" fontId="3" fillId="3" borderId="47" xfId="0" applyFont="1" applyFill="1" applyBorder="1" applyAlignment="1">
      <alignment horizontal="center" vertical="center" wrapText="1"/>
    </xf>
    <xf numFmtId="176" fontId="7" fillId="3" borderId="40" xfId="0" applyNumberFormat="1" applyFont="1" applyFill="1" applyBorder="1" applyAlignment="1">
      <alignment horizontal="center" vertical="center" wrapText="1"/>
    </xf>
    <xf numFmtId="176" fontId="5" fillId="0" borderId="33" xfId="0" applyNumberFormat="1" applyFont="1" applyBorder="1" applyAlignment="1">
      <alignment horizontal="center" vertical="center" wrapText="1"/>
    </xf>
    <xf numFmtId="0" fontId="5" fillId="3" borderId="49" xfId="0" applyFont="1" applyFill="1" applyBorder="1" applyAlignment="1">
      <alignment horizontal="center" vertical="center" wrapText="1"/>
    </xf>
    <xf numFmtId="176" fontId="5" fillId="3" borderId="45" xfId="0" applyNumberFormat="1" applyFont="1" applyFill="1" applyBorder="1" applyAlignment="1">
      <alignment horizontal="center" vertical="center" wrapText="1"/>
    </xf>
    <xf numFmtId="176" fontId="4" fillId="12" borderId="2" xfId="0" applyNumberFormat="1" applyFont="1" applyFill="1" applyBorder="1" applyAlignment="1">
      <alignment horizontal="center" vertical="center" shrinkToFit="1"/>
    </xf>
    <xf numFmtId="176" fontId="4" fillId="3" borderId="45" xfId="0" applyNumberFormat="1" applyFont="1" applyFill="1" applyBorder="1" applyAlignment="1">
      <alignment horizontal="center" vertical="center" wrapText="1"/>
    </xf>
    <xf numFmtId="176" fontId="4" fillId="3" borderId="37" xfId="0" applyNumberFormat="1" applyFont="1" applyFill="1" applyBorder="1" applyAlignment="1">
      <alignment horizontal="center" vertical="center" wrapText="1"/>
    </xf>
    <xf numFmtId="176" fontId="5" fillId="0" borderId="50" xfId="0" applyNumberFormat="1" applyFont="1" applyBorder="1" applyAlignment="1">
      <alignment horizontal="center" vertical="center" wrapText="1"/>
    </xf>
    <xf numFmtId="176" fontId="5" fillId="0" borderId="35" xfId="0" applyNumberFormat="1" applyFont="1" applyBorder="1" applyAlignment="1">
      <alignment horizontal="center" vertical="center" wrapText="1"/>
    </xf>
    <xf numFmtId="176" fontId="5" fillId="0" borderId="11" xfId="0" applyNumberFormat="1" applyFont="1" applyBorder="1" applyAlignment="1">
      <alignment horizontal="center" vertical="center" wrapText="1"/>
    </xf>
    <xf numFmtId="176" fontId="5" fillId="0" borderId="29" xfId="0" applyNumberFormat="1" applyFont="1" applyBorder="1" applyAlignment="1">
      <alignment horizontal="center" vertical="center" wrapText="1"/>
    </xf>
    <xf numFmtId="176" fontId="4" fillId="3" borderId="40" xfId="0" applyNumberFormat="1" applyFont="1" applyFill="1" applyBorder="1" applyAlignment="1">
      <alignment horizontal="center" vertical="center" wrapText="1"/>
    </xf>
    <xf numFmtId="176" fontId="5" fillId="0" borderId="8" xfId="0" applyNumberFormat="1" applyFont="1" applyBorder="1" applyAlignment="1">
      <alignment horizontal="center" vertical="center" wrapText="1"/>
    </xf>
    <xf numFmtId="176" fontId="5" fillId="0" borderId="34" xfId="0" applyNumberFormat="1" applyFont="1" applyBorder="1" applyAlignment="1">
      <alignment horizontal="center" vertical="center" wrapText="1"/>
    </xf>
    <xf numFmtId="176" fontId="5" fillId="0" borderId="6" xfId="0" applyNumberFormat="1" applyFont="1" applyBorder="1" applyAlignment="1">
      <alignment horizontal="center" vertical="center" wrapText="1"/>
    </xf>
    <xf numFmtId="176" fontId="5" fillId="0" borderId="47" xfId="0" applyNumberFormat="1" applyFont="1" applyBorder="1" applyAlignment="1">
      <alignment horizontal="center" vertical="center" wrapText="1"/>
    </xf>
    <xf numFmtId="176" fontId="5" fillId="0" borderId="54" xfId="0" applyNumberFormat="1" applyFont="1" applyBorder="1" applyAlignment="1">
      <alignment horizontal="center" vertical="center" wrapText="1"/>
    </xf>
    <xf numFmtId="176" fontId="5" fillId="0" borderId="55" xfId="0" applyNumberFormat="1" applyFont="1" applyBorder="1" applyAlignment="1">
      <alignment horizontal="center" vertical="center" wrapText="1"/>
    </xf>
    <xf numFmtId="176" fontId="4" fillId="3" borderId="38" xfId="0" applyNumberFormat="1" applyFont="1" applyFill="1" applyBorder="1" applyAlignment="1">
      <alignment horizontal="center" vertical="center" wrapText="1"/>
    </xf>
    <xf numFmtId="0" fontId="5" fillId="3" borderId="35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176" fontId="5" fillId="0" borderId="16" xfId="0" applyNumberFormat="1" applyFont="1" applyBorder="1" applyAlignment="1">
      <alignment horizontal="center" vertical="center" wrapText="1"/>
    </xf>
    <xf numFmtId="176" fontId="5" fillId="0" borderId="13" xfId="0" applyNumberFormat="1" applyFont="1" applyBorder="1" applyAlignment="1">
      <alignment horizontal="center" vertical="center" wrapText="1"/>
    </xf>
    <xf numFmtId="176" fontId="5" fillId="0" borderId="17" xfId="0" applyNumberFormat="1" applyFont="1" applyBorder="1" applyAlignment="1">
      <alignment horizontal="center" vertical="center" wrapText="1"/>
    </xf>
    <xf numFmtId="176" fontId="17" fillId="0" borderId="35" xfId="0" applyNumberFormat="1" applyFont="1" applyBorder="1" applyAlignment="1">
      <alignment horizontal="center" vertical="center" wrapText="1"/>
    </xf>
    <xf numFmtId="176" fontId="17" fillId="0" borderId="29" xfId="0" applyNumberFormat="1" applyFont="1" applyBorder="1" applyAlignment="1">
      <alignment horizontal="center" vertical="center" wrapText="1"/>
    </xf>
    <xf numFmtId="176" fontId="9" fillId="3" borderId="37" xfId="0" applyNumberFormat="1" applyFont="1" applyFill="1" applyBorder="1" applyAlignment="1">
      <alignment horizontal="center" vertical="center" wrapText="1"/>
    </xf>
    <xf numFmtId="176" fontId="9" fillId="3" borderId="38" xfId="0" applyNumberFormat="1" applyFont="1" applyFill="1" applyBorder="1" applyAlignment="1">
      <alignment horizontal="center" vertical="center" wrapText="1"/>
    </xf>
    <xf numFmtId="176" fontId="5" fillId="3" borderId="40" xfId="0" applyNumberFormat="1" applyFont="1" applyFill="1" applyBorder="1" applyAlignment="1">
      <alignment horizontal="center" vertical="center" wrapText="1"/>
    </xf>
    <xf numFmtId="176" fontId="5" fillId="3" borderId="37" xfId="0" applyNumberFormat="1" applyFont="1" applyFill="1" applyBorder="1" applyAlignment="1">
      <alignment horizontal="center" vertical="center" wrapText="1"/>
    </xf>
    <xf numFmtId="176" fontId="9" fillId="3" borderId="21" xfId="0" applyNumberFormat="1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176" fontId="7" fillId="3" borderId="37" xfId="0" applyNumberFormat="1" applyFont="1" applyFill="1" applyBorder="1" applyAlignment="1">
      <alignment horizontal="center" vertical="center" shrinkToFit="1"/>
    </xf>
    <xf numFmtId="176" fontId="7" fillId="3" borderId="53" xfId="0" applyNumberFormat="1" applyFont="1" applyFill="1" applyBorder="1" applyAlignment="1">
      <alignment horizontal="center" vertical="center" shrinkToFit="1"/>
    </xf>
    <xf numFmtId="0" fontId="5" fillId="7" borderId="37" xfId="0" applyFont="1" applyFill="1" applyBorder="1" applyAlignment="1">
      <alignment horizontal="center" vertical="center"/>
    </xf>
    <xf numFmtId="0" fontId="12" fillId="7" borderId="21" xfId="0" applyFont="1" applyFill="1" applyBorder="1">
      <alignment vertical="center"/>
    </xf>
    <xf numFmtId="176" fontId="7" fillId="0" borderId="45" xfId="0" applyNumberFormat="1" applyFont="1" applyBorder="1" applyAlignment="1">
      <alignment horizontal="center" vertical="center" wrapText="1" shrinkToFit="1"/>
    </xf>
    <xf numFmtId="176" fontId="7" fillId="0" borderId="40" xfId="0" applyNumberFormat="1" applyFont="1" applyBorder="1" applyAlignment="1">
      <alignment horizontal="center" vertical="center" wrapText="1" shrinkToFit="1"/>
    </xf>
    <xf numFmtId="176" fontId="8" fillId="0" borderId="53" xfId="0" applyNumberFormat="1" applyFont="1" applyBorder="1" applyAlignment="1">
      <alignment horizontal="center" vertical="center" wrapText="1"/>
    </xf>
    <xf numFmtId="176" fontId="7" fillId="0" borderId="53" xfId="0" applyNumberFormat="1" applyFont="1" applyBorder="1" applyAlignment="1">
      <alignment horizontal="center" vertical="center" wrapText="1" shrinkToFit="1"/>
    </xf>
    <xf numFmtId="0" fontId="3" fillId="0" borderId="45" xfId="0" applyFont="1" applyFill="1" applyBorder="1" applyAlignment="1">
      <alignment vertical="center" wrapText="1"/>
    </xf>
    <xf numFmtId="0" fontId="3" fillId="0" borderId="40" xfId="0" applyFont="1" applyFill="1" applyBorder="1" applyAlignment="1">
      <alignment vertical="center" wrapText="1"/>
    </xf>
    <xf numFmtId="0" fontId="3" fillId="0" borderId="53" xfId="0" applyFont="1" applyFill="1" applyBorder="1" applyAlignment="1">
      <alignment vertical="center" wrapText="1"/>
    </xf>
    <xf numFmtId="176" fontId="4" fillId="3" borderId="37" xfId="0" applyNumberFormat="1" applyFont="1" applyFill="1" applyBorder="1" applyAlignment="1">
      <alignment horizontal="center" vertical="center" wrapText="1"/>
    </xf>
    <xf numFmtId="176" fontId="5" fillId="0" borderId="35" xfId="0" applyNumberFormat="1" applyFont="1" applyBorder="1" applyAlignment="1">
      <alignment horizontal="center" vertical="center" wrapText="1"/>
    </xf>
    <xf numFmtId="176" fontId="5" fillId="0" borderId="29" xfId="0" applyNumberFormat="1" applyFont="1" applyBorder="1" applyAlignment="1">
      <alignment horizontal="center" vertical="center" wrapText="1"/>
    </xf>
    <xf numFmtId="176" fontId="4" fillId="3" borderId="40" xfId="0" applyNumberFormat="1" applyFont="1" applyFill="1" applyBorder="1" applyAlignment="1">
      <alignment horizontal="center" vertical="center" wrapText="1"/>
    </xf>
    <xf numFmtId="176" fontId="5" fillId="0" borderId="34" xfId="0" applyNumberFormat="1" applyFont="1" applyBorder="1" applyAlignment="1">
      <alignment horizontal="center" vertical="center" wrapText="1"/>
    </xf>
    <xf numFmtId="176" fontId="5" fillId="0" borderId="6" xfId="0" applyNumberFormat="1" applyFont="1" applyBorder="1" applyAlignment="1">
      <alignment horizontal="center" vertical="center" wrapText="1"/>
    </xf>
    <xf numFmtId="176" fontId="5" fillId="0" borderId="47" xfId="0" applyNumberFormat="1" applyFont="1" applyBorder="1" applyAlignment="1">
      <alignment horizontal="center" vertical="center" wrapText="1"/>
    </xf>
    <xf numFmtId="176" fontId="5" fillId="0" borderId="16" xfId="0" applyNumberFormat="1" applyFont="1" applyBorder="1" applyAlignment="1">
      <alignment horizontal="center" vertical="center" wrapText="1"/>
    </xf>
    <xf numFmtId="176" fontId="5" fillId="0" borderId="17" xfId="0" applyNumberFormat="1" applyFont="1" applyBorder="1" applyAlignment="1">
      <alignment horizontal="center" vertical="center" wrapText="1"/>
    </xf>
    <xf numFmtId="0" fontId="5" fillId="3" borderId="54" xfId="0" applyFont="1" applyFill="1" applyBorder="1" applyAlignment="1">
      <alignment horizontal="center" vertical="center" wrapText="1"/>
    </xf>
    <xf numFmtId="0" fontId="5" fillId="3" borderId="55" xfId="0" applyFont="1" applyFill="1" applyBorder="1" applyAlignment="1">
      <alignment horizontal="center" vertical="center" wrapText="1"/>
    </xf>
    <xf numFmtId="176" fontId="8" fillId="0" borderId="58" xfId="0" applyNumberFormat="1" applyFont="1" applyBorder="1" applyAlignment="1">
      <alignment horizontal="center" vertical="center" wrapText="1"/>
    </xf>
    <xf numFmtId="176" fontId="17" fillId="0" borderId="55" xfId="0" applyNumberFormat="1" applyFont="1" applyBorder="1" applyAlignment="1">
      <alignment horizontal="center" vertical="center" wrapText="1"/>
    </xf>
    <xf numFmtId="176" fontId="5" fillId="0" borderId="37" xfId="0" applyNumberFormat="1" applyFont="1" applyFill="1" applyBorder="1" applyAlignment="1">
      <alignment horizontal="center" vertical="center" wrapText="1"/>
    </xf>
    <xf numFmtId="176" fontId="7" fillId="0" borderId="37" xfId="0" applyNumberFormat="1" applyFont="1" applyFill="1" applyBorder="1" applyAlignment="1">
      <alignment horizontal="center" vertical="center" wrapText="1"/>
    </xf>
    <xf numFmtId="176" fontId="7" fillId="0" borderId="40" xfId="0" applyNumberFormat="1" applyFont="1" applyFill="1" applyBorder="1" applyAlignment="1">
      <alignment horizontal="center" vertical="center" wrapText="1"/>
    </xf>
    <xf numFmtId="176" fontId="7" fillId="0" borderId="40" xfId="0" applyNumberFormat="1" applyFont="1" applyFill="1" applyBorder="1" applyAlignment="1">
      <alignment horizontal="center" vertical="center" shrinkToFit="1"/>
    </xf>
    <xf numFmtId="176" fontId="18" fillId="0" borderId="10" xfId="0" applyNumberFormat="1" applyFont="1" applyBorder="1" applyAlignment="1">
      <alignment horizontal="center" vertical="center" wrapText="1"/>
    </xf>
    <xf numFmtId="176" fontId="12" fillId="0" borderId="40" xfId="0" applyNumberFormat="1" applyFont="1" applyBorder="1" applyAlignment="1">
      <alignment vertical="center" wrapText="1"/>
    </xf>
    <xf numFmtId="176" fontId="13" fillId="0" borderId="63" xfId="0" applyNumberFormat="1" applyFont="1" applyBorder="1" applyAlignment="1">
      <alignment horizontal="center" vertical="center" wrapText="1"/>
    </xf>
    <xf numFmtId="176" fontId="12" fillId="0" borderId="63" xfId="0" applyNumberFormat="1" applyFont="1" applyBorder="1" applyAlignment="1">
      <alignment vertical="center" wrapText="1"/>
    </xf>
    <xf numFmtId="0" fontId="10" fillId="10" borderId="21" xfId="0" applyFont="1" applyFill="1" applyBorder="1" applyAlignment="1">
      <alignment horizontal="center" vertical="center" wrapText="1"/>
    </xf>
    <xf numFmtId="176" fontId="11" fillId="0" borderId="21" xfId="0" applyNumberFormat="1" applyFont="1" applyBorder="1" applyAlignment="1">
      <alignment horizontal="center" vertical="center" wrapText="1"/>
    </xf>
    <xf numFmtId="176" fontId="8" fillId="0" borderId="21" xfId="0" applyNumberFormat="1" applyFont="1" applyBorder="1" applyAlignment="1">
      <alignment horizontal="center" vertical="center" wrapText="1"/>
    </xf>
    <xf numFmtId="176" fontId="13" fillId="0" borderId="21" xfId="0" applyNumberFormat="1" applyFont="1" applyBorder="1" applyAlignment="1">
      <alignment horizontal="center" vertical="center" wrapText="1"/>
    </xf>
    <xf numFmtId="176" fontId="11" fillId="11" borderId="21" xfId="0" applyNumberFormat="1" applyFont="1" applyFill="1" applyBorder="1" applyAlignment="1">
      <alignment horizontal="center" vertical="center" wrapText="1"/>
    </xf>
    <xf numFmtId="176" fontId="12" fillId="0" borderId="53" xfId="0" applyNumberFormat="1" applyFont="1" applyBorder="1" applyAlignment="1">
      <alignment horizontal="center" vertical="center" wrapText="1"/>
    </xf>
    <xf numFmtId="0" fontId="1" fillId="0" borderId="0" xfId="0" applyFont="1" applyBorder="1">
      <alignment vertical="center"/>
    </xf>
    <xf numFmtId="176" fontId="7" fillId="0" borderId="14" xfId="0" applyNumberFormat="1" applyFont="1" applyFill="1" applyBorder="1" applyAlignment="1">
      <alignment horizontal="center" vertical="center" wrapText="1" shrinkToFit="1"/>
    </xf>
    <xf numFmtId="0" fontId="5" fillId="8" borderId="28" xfId="0" applyFont="1" applyFill="1" applyBorder="1" applyAlignment="1">
      <alignment horizontal="center" vertical="center"/>
    </xf>
    <xf numFmtId="0" fontId="12" fillId="8" borderId="31" xfId="0" applyFont="1" applyFill="1" applyBorder="1" applyAlignment="1">
      <alignment horizontal="center" vertical="center"/>
    </xf>
    <xf numFmtId="176" fontId="5" fillId="13" borderId="52" xfId="0" applyNumberFormat="1" applyFont="1" applyFill="1" applyBorder="1" applyAlignment="1">
      <alignment horizontal="center" vertical="center" wrapText="1"/>
    </xf>
    <xf numFmtId="176" fontId="5" fillId="13" borderId="1" xfId="0" applyNumberFormat="1" applyFont="1" applyFill="1" applyBorder="1" applyAlignment="1">
      <alignment horizontal="center" vertical="center" wrapText="1"/>
    </xf>
    <xf numFmtId="176" fontId="19" fillId="13" borderId="17" xfId="0" applyNumberFormat="1" applyFont="1" applyFill="1" applyBorder="1" applyAlignment="1">
      <alignment horizontal="center" vertical="center" wrapText="1"/>
    </xf>
    <xf numFmtId="176" fontId="5" fillId="13" borderId="16" xfId="0" applyNumberFormat="1" applyFont="1" applyFill="1" applyBorder="1" applyAlignment="1">
      <alignment horizontal="center" vertical="center" wrapText="1"/>
    </xf>
    <xf numFmtId="0" fontId="5" fillId="7" borderId="31" xfId="0" applyFont="1" applyFill="1" applyBorder="1" applyAlignment="1">
      <alignment horizontal="center" vertical="center"/>
    </xf>
    <xf numFmtId="176" fontId="3" fillId="3" borderId="38" xfId="0" applyNumberFormat="1" applyFont="1" applyFill="1" applyBorder="1" applyAlignment="1">
      <alignment horizontal="center" vertical="center" wrapText="1"/>
    </xf>
    <xf numFmtId="176" fontId="22" fillId="3" borderId="14" xfId="0" applyNumberFormat="1" applyFont="1" applyFill="1" applyBorder="1" applyAlignment="1">
      <alignment horizontal="center" vertical="center" wrapText="1" shrinkToFit="1"/>
    </xf>
    <xf numFmtId="176" fontId="5" fillId="0" borderId="40" xfId="0" applyNumberFormat="1" applyFont="1" applyFill="1" applyBorder="1" applyAlignment="1">
      <alignment horizontal="center" vertical="center" wrapText="1"/>
    </xf>
    <xf numFmtId="176" fontId="5" fillId="13" borderId="62" xfId="0" applyNumberFormat="1" applyFont="1" applyFill="1" applyBorder="1" applyAlignment="1">
      <alignment horizontal="center" vertical="center" wrapText="1"/>
    </xf>
    <xf numFmtId="176" fontId="5" fillId="13" borderId="61" xfId="0" applyNumberFormat="1" applyFont="1" applyFill="1" applyBorder="1" applyAlignment="1">
      <alignment horizontal="center" vertical="center" wrapText="1"/>
    </xf>
    <xf numFmtId="176" fontId="5" fillId="0" borderId="35" xfId="0" applyNumberFormat="1" applyFont="1" applyBorder="1" applyAlignment="1">
      <alignment horizontal="center" vertical="center" wrapText="1"/>
    </xf>
    <xf numFmtId="176" fontId="5" fillId="0" borderId="30" xfId="0" applyNumberFormat="1" applyFont="1" applyBorder="1" applyAlignment="1">
      <alignment horizontal="center" vertical="center" wrapText="1"/>
    </xf>
    <xf numFmtId="176" fontId="5" fillId="0" borderId="29" xfId="0" applyNumberFormat="1" applyFont="1" applyBorder="1" applyAlignment="1">
      <alignment horizontal="center" vertical="center" wrapText="1"/>
    </xf>
    <xf numFmtId="176" fontId="5" fillId="0" borderId="57" xfId="0" applyNumberFormat="1" applyFont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176" fontId="17" fillId="0" borderId="35" xfId="0" applyNumberFormat="1" applyFont="1" applyBorder="1" applyAlignment="1">
      <alignment horizontal="center" vertical="center" wrapText="1"/>
    </xf>
    <xf numFmtId="176" fontId="17" fillId="0" borderId="17" xfId="0" applyNumberFormat="1" applyFont="1" applyBorder="1" applyAlignment="1">
      <alignment horizontal="center" vertical="center" wrapText="1"/>
    </xf>
    <xf numFmtId="176" fontId="5" fillId="0" borderId="24" xfId="0" applyNumberFormat="1" applyFont="1" applyBorder="1" applyAlignment="1">
      <alignment horizontal="center" vertical="center" wrapText="1"/>
    </xf>
    <xf numFmtId="176" fontId="5" fillId="0" borderId="54" xfId="0" applyNumberFormat="1" applyFont="1" applyBorder="1" applyAlignment="1">
      <alignment horizontal="center" vertical="center" wrapText="1"/>
    </xf>
    <xf numFmtId="176" fontId="5" fillId="0" borderId="23" xfId="0" applyNumberFormat="1" applyFont="1" applyBorder="1" applyAlignment="1">
      <alignment horizontal="center" vertical="center" wrapText="1"/>
    </xf>
    <xf numFmtId="176" fontId="5" fillId="0" borderId="55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right" vertical="center" wrapText="1"/>
    </xf>
    <xf numFmtId="0" fontId="3" fillId="12" borderId="50" xfId="0" applyFont="1" applyFill="1" applyBorder="1" applyAlignment="1">
      <alignment horizontal="center" vertical="center"/>
    </xf>
    <xf numFmtId="0" fontId="3" fillId="12" borderId="52" xfId="0" applyFont="1" applyFill="1" applyBorder="1" applyAlignment="1">
      <alignment horizontal="center" vertical="center"/>
    </xf>
    <xf numFmtId="176" fontId="4" fillId="12" borderId="12" xfId="0" applyNumberFormat="1" applyFont="1" applyFill="1" applyBorder="1" applyAlignment="1">
      <alignment horizontal="center" vertical="center" wrapText="1"/>
    </xf>
    <xf numFmtId="176" fontId="4" fillId="12" borderId="2" xfId="0" applyNumberFormat="1" applyFont="1" applyFill="1" applyBorder="1" applyAlignment="1">
      <alignment horizontal="center" vertical="center" wrapText="1"/>
    </xf>
    <xf numFmtId="176" fontId="4" fillId="12" borderId="11" xfId="0" applyNumberFormat="1" applyFont="1" applyFill="1" applyBorder="1" applyAlignment="1">
      <alignment horizontal="center" vertical="center" wrapText="1"/>
    </xf>
    <xf numFmtId="176" fontId="4" fillId="12" borderId="1" xfId="0" applyNumberFormat="1" applyFont="1" applyFill="1" applyBorder="1" applyAlignment="1">
      <alignment horizontal="center" vertical="center" wrapText="1"/>
    </xf>
    <xf numFmtId="176" fontId="5" fillId="0" borderId="6" xfId="0" applyNumberFormat="1" applyFont="1" applyBorder="1" applyAlignment="1">
      <alignment horizontal="center" vertical="center" wrapText="1"/>
    </xf>
    <xf numFmtId="176" fontId="4" fillId="3" borderId="40" xfId="0" applyNumberFormat="1" applyFont="1" applyFill="1" applyBorder="1" applyAlignment="1">
      <alignment horizontal="center" vertical="center" wrapText="1"/>
    </xf>
    <xf numFmtId="176" fontId="5" fillId="0" borderId="47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76" fontId="4" fillId="3" borderId="38" xfId="0" applyNumberFormat="1" applyFont="1" applyFill="1" applyBorder="1" applyAlignment="1">
      <alignment horizontal="center" vertical="center" wrapText="1"/>
    </xf>
    <xf numFmtId="176" fontId="5" fillId="0" borderId="13" xfId="0" applyNumberFormat="1" applyFont="1" applyBorder="1" applyAlignment="1">
      <alignment horizontal="center" vertical="center" wrapText="1"/>
    </xf>
    <xf numFmtId="176" fontId="5" fillId="0" borderId="8" xfId="0" applyNumberFormat="1" applyFont="1" applyBorder="1" applyAlignment="1">
      <alignment horizontal="center" vertical="center" wrapText="1"/>
    </xf>
    <xf numFmtId="176" fontId="5" fillId="13" borderId="15" xfId="0" applyNumberFormat="1" applyFont="1" applyFill="1" applyBorder="1" applyAlignment="1">
      <alignment horizontal="center" vertical="center" wrapText="1"/>
    </xf>
    <xf numFmtId="176" fontId="5" fillId="13" borderId="44" xfId="0" applyNumberFormat="1" applyFont="1" applyFill="1" applyBorder="1" applyAlignment="1">
      <alignment horizontal="center" vertical="center" wrapText="1"/>
    </xf>
    <xf numFmtId="176" fontId="4" fillId="3" borderId="37" xfId="0" applyNumberFormat="1" applyFont="1" applyFill="1" applyBorder="1" applyAlignment="1">
      <alignment horizontal="center" vertical="center" shrinkToFit="1"/>
    </xf>
    <xf numFmtId="176" fontId="4" fillId="3" borderId="38" xfId="0" applyNumberFormat="1" applyFont="1" applyFill="1" applyBorder="1" applyAlignment="1">
      <alignment horizontal="center" vertical="center" shrinkToFit="1"/>
    </xf>
    <xf numFmtId="176" fontId="4" fillId="0" borderId="10" xfId="0" applyNumberFormat="1" applyFont="1" applyBorder="1" applyAlignment="1">
      <alignment horizontal="center" vertical="center" wrapText="1"/>
    </xf>
    <xf numFmtId="176" fontId="4" fillId="0" borderId="9" xfId="0" applyNumberFormat="1" applyFont="1" applyBorder="1" applyAlignment="1">
      <alignment horizontal="center" vertical="center" wrapText="1"/>
    </xf>
    <xf numFmtId="176" fontId="4" fillId="0" borderId="8" xfId="0" applyNumberFormat="1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0" fontId="3" fillId="3" borderId="4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 wrapText="1"/>
    </xf>
    <xf numFmtId="0" fontId="3" fillId="3" borderId="63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176" fontId="5" fillId="0" borderId="31" xfId="0" applyNumberFormat="1" applyFont="1" applyFill="1" applyBorder="1" applyAlignment="1">
      <alignment horizontal="center" vertical="center" wrapText="1"/>
    </xf>
    <xf numFmtId="176" fontId="5" fillId="0" borderId="21" xfId="0" applyNumberFormat="1" applyFont="1" applyFill="1" applyBorder="1" applyAlignment="1">
      <alignment horizontal="center" vertical="center" wrapText="1"/>
    </xf>
    <xf numFmtId="176" fontId="4" fillId="3" borderId="37" xfId="0" applyNumberFormat="1" applyFont="1" applyFill="1" applyBorder="1" applyAlignment="1">
      <alignment horizontal="center" vertical="center" wrapText="1"/>
    </xf>
    <xf numFmtId="176" fontId="4" fillId="3" borderId="31" xfId="0" applyNumberFormat="1" applyFont="1" applyFill="1" applyBorder="1" applyAlignment="1">
      <alignment horizontal="center" vertical="center" wrapText="1"/>
    </xf>
    <xf numFmtId="176" fontId="4" fillId="3" borderId="2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10" borderId="0" xfId="0" applyFont="1" applyFill="1" applyAlignment="1">
      <alignment horizontal="center" vertical="center" wrapText="1"/>
    </xf>
    <xf numFmtId="176" fontId="5" fillId="0" borderId="17" xfId="0" applyNumberFormat="1" applyFont="1" applyBorder="1" applyAlignment="1">
      <alignment horizontal="center" vertical="center" wrapText="1"/>
    </xf>
    <xf numFmtId="176" fontId="9" fillId="3" borderId="37" xfId="0" applyNumberFormat="1" applyFont="1" applyFill="1" applyBorder="1" applyAlignment="1">
      <alignment horizontal="center" vertical="center" wrapText="1"/>
    </xf>
    <xf numFmtId="176" fontId="9" fillId="3" borderId="38" xfId="0" applyNumberFormat="1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64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176" fontId="5" fillId="0" borderId="16" xfId="0" applyNumberFormat="1" applyFont="1" applyBorder="1" applyAlignment="1">
      <alignment horizontal="center" vertical="center" wrapText="1"/>
    </xf>
    <xf numFmtId="176" fontId="4" fillId="3" borderId="28" xfId="0" applyNumberFormat="1" applyFont="1" applyFill="1" applyBorder="1" applyAlignment="1">
      <alignment horizontal="center" vertical="center" wrapText="1"/>
    </xf>
    <xf numFmtId="176" fontId="17" fillId="0" borderId="29" xfId="0" applyNumberFormat="1" applyFont="1" applyBorder="1" applyAlignment="1">
      <alignment horizontal="center" vertical="center" wrapText="1"/>
    </xf>
    <xf numFmtId="176" fontId="17" fillId="0" borderId="16" xfId="0" applyNumberFormat="1" applyFont="1" applyBorder="1" applyAlignment="1">
      <alignment horizontal="center" vertical="center" wrapText="1"/>
    </xf>
    <xf numFmtId="176" fontId="12" fillId="0" borderId="37" xfId="0" applyNumberFormat="1" applyFont="1" applyBorder="1" applyAlignment="1">
      <alignment horizontal="center" vertical="center" wrapText="1"/>
    </xf>
    <xf numFmtId="176" fontId="12" fillId="0" borderId="21" xfId="0" applyNumberFormat="1" applyFont="1" applyBorder="1" applyAlignment="1">
      <alignment horizontal="center" vertical="center" wrapText="1"/>
    </xf>
    <xf numFmtId="176" fontId="4" fillId="0" borderId="15" xfId="0" applyNumberFormat="1" applyFont="1" applyBorder="1" applyAlignment="1">
      <alignment horizontal="center" vertical="center" wrapText="1"/>
    </xf>
    <xf numFmtId="176" fontId="4" fillId="0" borderId="14" xfId="0" applyNumberFormat="1" applyFont="1" applyBorder="1" applyAlignment="1">
      <alignment horizontal="center" vertical="center" wrapText="1"/>
    </xf>
    <xf numFmtId="176" fontId="4" fillId="0" borderId="13" xfId="0" applyNumberFormat="1" applyFont="1" applyBorder="1" applyAlignment="1">
      <alignment horizontal="center" vertical="center" wrapText="1"/>
    </xf>
    <xf numFmtId="176" fontId="5" fillId="3" borderId="40" xfId="0" applyNumberFormat="1" applyFont="1" applyFill="1" applyBorder="1" applyAlignment="1">
      <alignment horizontal="center" vertical="center" wrapText="1"/>
    </xf>
    <xf numFmtId="176" fontId="5" fillId="3" borderId="37" xfId="0" applyNumberFormat="1" applyFont="1" applyFill="1" applyBorder="1" applyAlignment="1">
      <alignment horizontal="center" vertical="center" wrapText="1"/>
    </xf>
    <xf numFmtId="176" fontId="3" fillId="0" borderId="35" xfId="0" applyNumberFormat="1" applyFont="1" applyBorder="1" applyAlignment="1">
      <alignment horizontal="center" vertical="center" wrapText="1"/>
    </xf>
    <xf numFmtId="176" fontId="3" fillId="0" borderId="30" xfId="0" applyNumberFormat="1" applyFont="1" applyBorder="1" applyAlignment="1">
      <alignment horizontal="center" vertical="center" wrapText="1"/>
    </xf>
    <xf numFmtId="176" fontId="3" fillId="0" borderId="17" xfId="0" applyNumberFormat="1" applyFont="1" applyBorder="1" applyAlignment="1">
      <alignment horizontal="center" vertical="center" wrapText="1"/>
    </xf>
    <xf numFmtId="176" fontId="4" fillId="3" borderId="53" xfId="0" applyNumberFormat="1" applyFont="1" applyFill="1" applyBorder="1" applyAlignment="1">
      <alignment horizontal="center" vertical="center" wrapText="1"/>
    </xf>
    <xf numFmtId="176" fontId="4" fillId="0" borderId="37" xfId="0" applyNumberFormat="1" applyFont="1" applyBorder="1" applyAlignment="1">
      <alignment horizontal="center" vertical="center" wrapText="1"/>
    </xf>
    <xf numFmtId="176" fontId="4" fillId="0" borderId="21" xfId="0" applyNumberFormat="1" applyFont="1" applyBorder="1" applyAlignment="1">
      <alignment horizontal="center" vertical="center" wrapText="1"/>
    </xf>
    <xf numFmtId="176" fontId="13" fillId="0" borderId="37" xfId="0" applyNumberFormat="1" applyFont="1" applyBorder="1" applyAlignment="1">
      <alignment horizontal="center" vertical="center" shrinkToFit="1"/>
    </xf>
    <xf numFmtId="176" fontId="13" fillId="0" borderId="21" xfId="0" applyNumberFormat="1" applyFont="1" applyBorder="1" applyAlignment="1">
      <alignment horizontal="center" vertical="center" shrinkToFit="1"/>
    </xf>
    <xf numFmtId="0" fontId="5" fillId="3" borderId="35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E67DD-521E-4DE7-AEF2-12D371E126E6}">
  <sheetPr>
    <tabColor rgb="FFFFC000"/>
    <pageSetUpPr fitToPage="1"/>
  </sheetPr>
  <dimension ref="A1:Q83"/>
  <sheetViews>
    <sheetView tabSelected="1" view="pageBreakPreview" zoomScaleNormal="90" zoomScaleSheetLayoutView="100" workbookViewId="0">
      <pane xSplit="1" ySplit="4" topLeftCell="B80" activePane="bottomRight" state="frozen"/>
      <selection activeCell="M50" sqref="M50:M71"/>
      <selection pane="topRight" activeCell="M50" sqref="M50:M71"/>
      <selection pane="bottomLeft" activeCell="M50" sqref="M50:M71"/>
      <selection pane="bottomRight" activeCell="D91" sqref="D91"/>
    </sheetView>
  </sheetViews>
  <sheetFormatPr defaultColWidth="9" defaultRowHeight="13.8"/>
  <cols>
    <col min="1" max="1" width="5.8984375" style="3" customWidth="1"/>
    <col min="2" max="2" width="13.19921875" style="2" customWidth="1"/>
    <col min="3" max="3" width="9.19921875" style="3" customWidth="1"/>
    <col min="4" max="4" width="45.69921875" style="2" customWidth="1"/>
    <col min="5" max="6" width="6.69921875" style="3" customWidth="1"/>
    <col min="7" max="8" width="5.69921875" style="3" customWidth="1"/>
    <col min="9" max="10" width="5.69921875" style="2" customWidth="1"/>
    <col min="11" max="12" width="5.69921875" style="3" customWidth="1"/>
    <col min="13" max="14" width="5.69921875" style="2" customWidth="1"/>
    <col min="15" max="15" width="4.8984375" style="1" customWidth="1"/>
    <col min="16" max="16" width="15.19921875" style="1" customWidth="1"/>
    <col min="17" max="17" width="26.5" style="1" customWidth="1"/>
    <col min="18" max="18" width="19.69921875" style="1" customWidth="1"/>
    <col min="19" max="16384" width="9" style="1"/>
  </cols>
  <sheetData>
    <row r="1" spans="1:14" ht="33" customHeight="1">
      <c r="A1" s="268" t="s">
        <v>117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</row>
    <row r="2" spans="1:14" ht="22.2" customHeight="1" thickBot="1">
      <c r="A2" s="269" t="s">
        <v>118</v>
      </c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</row>
    <row r="3" spans="1:14" ht="19.95" customHeight="1">
      <c r="A3" s="270" t="s">
        <v>92</v>
      </c>
      <c r="B3" s="272" t="s">
        <v>91</v>
      </c>
      <c r="C3" s="272" t="s">
        <v>90</v>
      </c>
      <c r="D3" s="272"/>
      <c r="E3" s="272" t="s">
        <v>89</v>
      </c>
      <c r="F3" s="272" t="s">
        <v>88</v>
      </c>
      <c r="G3" s="272" t="s">
        <v>87</v>
      </c>
      <c r="H3" s="272"/>
      <c r="I3" s="272" t="s">
        <v>86</v>
      </c>
      <c r="J3" s="272"/>
      <c r="K3" s="272" t="s">
        <v>85</v>
      </c>
      <c r="L3" s="272"/>
      <c r="M3" s="272" t="s">
        <v>84</v>
      </c>
      <c r="N3" s="274" t="s">
        <v>83</v>
      </c>
    </row>
    <row r="4" spans="1:14" ht="19.95" customHeight="1" thickBot="1">
      <c r="A4" s="271"/>
      <c r="B4" s="273"/>
      <c r="C4" s="273"/>
      <c r="D4" s="273"/>
      <c r="E4" s="273"/>
      <c r="F4" s="273"/>
      <c r="G4" s="175" t="s">
        <v>82</v>
      </c>
      <c r="H4" s="175" t="s">
        <v>81</v>
      </c>
      <c r="I4" s="175" t="s">
        <v>82</v>
      </c>
      <c r="J4" s="175" t="s">
        <v>81</v>
      </c>
      <c r="K4" s="175" t="s">
        <v>82</v>
      </c>
      <c r="L4" s="175" t="s">
        <v>81</v>
      </c>
      <c r="M4" s="273"/>
      <c r="N4" s="275"/>
    </row>
    <row r="5" spans="1:14" ht="16.2" customHeight="1">
      <c r="A5" s="296" t="s">
        <v>80</v>
      </c>
      <c r="B5" s="315" t="s">
        <v>79</v>
      </c>
      <c r="C5" s="176" t="s">
        <v>60</v>
      </c>
      <c r="D5" s="174" t="s">
        <v>78</v>
      </c>
      <c r="E5" s="173">
        <v>4</v>
      </c>
      <c r="F5" s="50">
        <v>4</v>
      </c>
      <c r="G5" s="178">
        <v>4</v>
      </c>
      <c r="H5" s="180"/>
      <c r="I5" s="178"/>
      <c r="J5" s="180"/>
      <c r="K5" s="178"/>
      <c r="L5" s="180"/>
      <c r="M5" s="264">
        <v>20</v>
      </c>
      <c r="N5" s="266">
        <v>8</v>
      </c>
    </row>
    <row r="6" spans="1:14" ht="16.2" customHeight="1">
      <c r="A6" s="294"/>
      <c r="B6" s="301"/>
      <c r="C6" s="177" t="s">
        <v>60</v>
      </c>
      <c r="D6" s="200" t="s">
        <v>77</v>
      </c>
      <c r="E6" s="142">
        <v>4</v>
      </c>
      <c r="F6" s="191">
        <v>4</v>
      </c>
      <c r="G6" s="179"/>
      <c r="H6" s="181">
        <v>4</v>
      </c>
      <c r="I6" s="179"/>
      <c r="J6" s="181"/>
      <c r="K6" s="179"/>
      <c r="L6" s="181"/>
      <c r="M6" s="257"/>
      <c r="N6" s="259"/>
    </row>
    <row r="7" spans="1:14" ht="16.2" customHeight="1">
      <c r="A7" s="294"/>
      <c r="B7" s="301"/>
      <c r="C7" s="215" t="s">
        <v>31</v>
      </c>
      <c r="D7" s="228" t="s">
        <v>45</v>
      </c>
      <c r="E7" s="142">
        <v>4</v>
      </c>
      <c r="F7" s="141">
        <v>4</v>
      </c>
      <c r="G7" s="216"/>
      <c r="H7" s="217"/>
      <c r="I7" s="219">
        <v>4</v>
      </c>
      <c r="J7" s="172"/>
      <c r="K7" s="216"/>
      <c r="L7" s="217"/>
      <c r="M7" s="257"/>
      <c r="N7" s="259"/>
    </row>
    <row r="8" spans="1:14" ht="16.2" customHeight="1">
      <c r="A8" s="294"/>
      <c r="B8" s="301"/>
      <c r="C8" s="215" t="s">
        <v>31</v>
      </c>
      <c r="D8" s="228" t="s">
        <v>39</v>
      </c>
      <c r="E8" s="142">
        <v>4</v>
      </c>
      <c r="F8" s="141">
        <v>4</v>
      </c>
      <c r="G8" s="216"/>
      <c r="H8" s="217"/>
      <c r="I8" s="219"/>
      <c r="J8" s="172">
        <v>4</v>
      </c>
      <c r="K8" s="216"/>
      <c r="L8" s="217"/>
      <c r="M8" s="257"/>
      <c r="N8" s="259"/>
    </row>
    <row r="9" spans="1:14" ht="16.2" customHeight="1">
      <c r="A9" s="294"/>
      <c r="B9" s="280"/>
      <c r="C9" s="215" t="s">
        <v>31</v>
      </c>
      <c r="D9" s="228" t="s">
        <v>32</v>
      </c>
      <c r="E9" s="142">
        <v>4</v>
      </c>
      <c r="F9" s="141">
        <v>4</v>
      </c>
      <c r="G9" s="216"/>
      <c r="H9" s="217"/>
      <c r="I9" s="219"/>
      <c r="J9" s="172"/>
      <c r="K9" s="216">
        <v>4</v>
      </c>
      <c r="L9" s="217"/>
      <c r="M9" s="265"/>
      <c r="N9" s="267"/>
    </row>
    <row r="10" spans="1:14" ht="16.2" customHeight="1">
      <c r="A10" s="294"/>
      <c r="B10" s="300" t="s">
        <v>76</v>
      </c>
      <c r="C10" s="182" t="s">
        <v>60</v>
      </c>
      <c r="D10" s="171" t="s">
        <v>75</v>
      </c>
      <c r="E10" s="147">
        <v>4</v>
      </c>
      <c r="F10" s="146">
        <v>4</v>
      </c>
      <c r="G10" s="186">
        <v>4</v>
      </c>
      <c r="H10" s="185"/>
      <c r="I10" s="183"/>
      <c r="J10" s="43"/>
      <c r="K10" s="186"/>
      <c r="L10" s="185"/>
      <c r="M10" s="256">
        <v>19</v>
      </c>
      <c r="N10" s="258">
        <v>8</v>
      </c>
    </row>
    <row r="11" spans="1:14" ht="16.2" customHeight="1">
      <c r="A11" s="294"/>
      <c r="B11" s="301"/>
      <c r="C11" s="177" t="s">
        <v>74</v>
      </c>
      <c r="D11" s="165" t="s">
        <v>73</v>
      </c>
      <c r="E11" s="142">
        <v>4</v>
      </c>
      <c r="F11" s="141">
        <v>4</v>
      </c>
      <c r="G11" s="179"/>
      <c r="H11" s="181">
        <v>4</v>
      </c>
      <c r="I11" s="184"/>
      <c r="J11" s="172"/>
      <c r="K11" s="179"/>
      <c r="L11" s="181"/>
      <c r="M11" s="257"/>
      <c r="N11" s="259"/>
    </row>
    <row r="12" spans="1:14" ht="16.2" customHeight="1">
      <c r="A12" s="294"/>
      <c r="B12" s="301"/>
      <c r="C12" s="215" t="s">
        <v>31</v>
      </c>
      <c r="D12" s="229" t="s">
        <v>98</v>
      </c>
      <c r="E12" s="142">
        <v>4</v>
      </c>
      <c r="F12" s="141">
        <v>4</v>
      </c>
      <c r="G12" s="216"/>
      <c r="H12" s="217"/>
      <c r="I12" s="219">
        <v>4</v>
      </c>
      <c r="J12" s="172"/>
      <c r="K12" s="216"/>
      <c r="L12" s="217"/>
      <c r="M12" s="257"/>
      <c r="N12" s="259"/>
    </row>
    <row r="13" spans="1:14" ht="16.2" customHeight="1">
      <c r="A13" s="294"/>
      <c r="B13" s="301"/>
      <c r="C13" s="215" t="s">
        <v>31</v>
      </c>
      <c r="D13" s="229" t="s">
        <v>99</v>
      </c>
      <c r="E13" s="142">
        <v>4</v>
      </c>
      <c r="F13" s="141">
        <v>3</v>
      </c>
      <c r="G13" s="216"/>
      <c r="H13" s="217"/>
      <c r="I13" s="219">
        <v>3</v>
      </c>
      <c r="J13" s="172"/>
      <c r="K13" s="216"/>
      <c r="L13" s="217"/>
      <c r="M13" s="257"/>
      <c r="N13" s="259"/>
    </row>
    <row r="14" spans="1:14" ht="16.2" customHeight="1">
      <c r="A14" s="294"/>
      <c r="B14" s="280"/>
      <c r="C14" s="215" t="s">
        <v>31</v>
      </c>
      <c r="D14" s="229" t="s">
        <v>100</v>
      </c>
      <c r="E14" s="142">
        <v>4</v>
      </c>
      <c r="F14" s="141">
        <v>4</v>
      </c>
      <c r="G14" s="216"/>
      <c r="H14" s="217"/>
      <c r="I14" s="219"/>
      <c r="J14" s="172"/>
      <c r="K14" s="216">
        <v>4</v>
      </c>
      <c r="L14" s="217"/>
      <c r="M14" s="265"/>
      <c r="N14" s="267"/>
    </row>
    <row r="15" spans="1:14" ht="16.2" customHeight="1">
      <c r="A15" s="294"/>
      <c r="B15" s="300" t="s">
        <v>72</v>
      </c>
      <c r="C15" s="182" t="s">
        <v>60</v>
      </c>
      <c r="D15" s="171" t="s">
        <v>71</v>
      </c>
      <c r="E15" s="147">
        <v>4</v>
      </c>
      <c r="F15" s="39">
        <v>4</v>
      </c>
      <c r="G15" s="186">
        <v>4</v>
      </c>
      <c r="H15" s="185"/>
      <c r="I15" s="186"/>
      <c r="J15" s="185"/>
      <c r="K15" s="186"/>
      <c r="L15" s="185"/>
      <c r="M15" s="256">
        <v>20</v>
      </c>
      <c r="N15" s="258">
        <v>8</v>
      </c>
    </row>
    <row r="16" spans="1:14" ht="16.2" customHeight="1">
      <c r="A16" s="294"/>
      <c r="B16" s="301"/>
      <c r="C16" s="182" t="s">
        <v>60</v>
      </c>
      <c r="D16" s="171" t="s">
        <v>70</v>
      </c>
      <c r="E16" s="147">
        <v>4</v>
      </c>
      <c r="F16" s="39">
        <v>4</v>
      </c>
      <c r="G16" s="186"/>
      <c r="H16" s="185">
        <v>4</v>
      </c>
      <c r="I16" s="186"/>
      <c r="J16" s="185"/>
      <c r="K16" s="186"/>
      <c r="L16" s="185"/>
      <c r="M16" s="257"/>
      <c r="N16" s="259"/>
    </row>
    <row r="17" spans="1:14" ht="16.2" customHeight="1">
      <c r="A17" s="294"/>
      <c r="B17" s="301"/>
      <c r="C17" s="218" t="s">
        <v>31</v>
      </c>
      <c r="D17" s="230" t="s">
        <v>101</v>
      </c>
      <c r="E17" s="147">
        <v>4</v>
      </c>
      <c r="F17" s="39">
        <v>4</v>
      </c>
      <c r="G17" s="221"/>
      <c r="H17" s="220"/>
      <c r="I17" s="221">
        <v>4</v>
      </c>
      <c r="J17" s="220"/>
      <c r="K17" s="221"/>
      <c r="L17" s="220"/>
      <c r="M17" s="257"/>
      <c r="N17" s="259"/>
    </row>
    <row r="18" spans="1:14" ht="16.2" customHeight="1">
      <c r="A18" s="294"/>
      <c r="B18" s="301"/>
      <c r="C18" s="218" t="s">
        <v>31</v>
      </c>
      <c r="D18" s="230" t="s">
        <v>102</v>
      </c>
      <c r="E18" s="147">
        <v>4</v>
      </c>
      <c r="F18" s="39">
        <v>4</v>
      </c>
      <c r="G18" s="221"/>
      <c r="H18" s="220"/>
      <c r="I18" s="221"/>
      <c r="J18" s="220">
        <v>4</v>
      </c>
      <c r="K18" s="221"/>
      <c r="L18" s="220"/>
      <c r="M18" s="257"/>
      <c r="N18" s="259"/>
    </row>
    <row r="19" spans="1:14" ht="16.2" customHeight="1">
      <c r="A19" s="294"/>
      <c r="B19" s="280"/>
      <c r="C19" s="218" t="s">
        <v>31</v>
      </c>
      <c r="D19" s="171" t="s">
        <v>103</v>
      </c>
      <c r="E19" s="147">
        <v>4</v>
      </c>
      <c r="F19" s="39">
        <v>4</v>
      </c>
      <c r="G19" s="221"/>
      <c r="H19" s="220"/>
      <c r="I19" s="221"/>
      <c r="J19" s="220"/>
      <c r="K19" s="221">
        <v>4</v>
      </c>
      <c r="L19" s="220"/>
      <c r="M19" s="265"/>
      <c r="N19" s="267"/>
    </row>
    <row r="20" spans="1:14" ht="16.2" customHeight="1">
      <c r="A20" s="294"/>
      <c r="B20" s="277" t="s">
        <v>69</v>
      </c>
      <c r="C20" s="182" t="s">
        <v>60</v>
      </c>
      <c r="D20" s="230" t="s">
        <v>68</v>
      </c>
      <c r="E20" s="147">
        <v>4</v>
      </c>
      <c r="F20" s="39">
        <v>4</v>
      </c>
      <c r="G20" s="170">
        <v>4</v>
      </c>
      <c r="H20" s="169"/>
      <c r="I20" s="106"/>
      <c r="J20" s="105"/>
      <c r="K20" s="106"/>
      <c r="L20" s="105"/>
      <c r="M20" s="278">
        <f>G20+H21</f>
        <v>8</v>
      </c>
      <c r="N20" s="279">
        <v>8</v>
      </c>
    </row>
    <row r="21" spans="1:14" ht="16.2" customHeight="1">
      <c r="A21" s="294"/>
      <c r="B21" s="277"/>
      <c r="C21" s="182" t="s">
        <v>60</v>
      </c>
      <c r="D21" s="230" t="s">
        <v>67</v>
      </c>
      <c r="E21" s="147">
        <v>4</v>
      </c>
      <c r="F21" s="39">
        <v>4</v>
      </c>
      <c r="G21" s="170"/>
      <c r="H21" s="169">
        <v>4</v>
      </c>
      <c r="I21" s="106"/>
      <c r="J21" s="105"/>
      <c r="K21" s="106"/>
      <c r="L21" s="105"/>
      <c r="M21" s="278"/>
      <c r="N21" s="279"/>
    </row>
    <row r="22" spans="1:14" ht="16.2" customHeight="1">
      <c r="A22" s="294"/>
      <c r="B22" s="277" t="s">
        <v>7</v>
      </c>
      <c r="C22" s="182" t="s">
        <v>60</v>
      </c>
      <c r="D22" s="231" t="s">
        <v>66</v>
      </c>
      <c r="E22" s="147">
        <v>4</v>
      </c>
      <c r="F22" s="146">
        <v>4</v>
      </c>
      <c r="G22" s="170">
        <v>4</v>
      </c>
      <c r="H22" s="169"/>
      <c r="I22" s="168"/>
      <c r="J22" s="167"/>
      <c r="K22" s="106"/>
      <c r="L22" s="105"/>
      <c r="M22" s="282">
        <f>G22+H23+G24+H25</f>
        <v>10</v>
      </c>
      <c r="N22" s="276">
        <v>10</v>
      </c>
    </row>
    <row r="23" spans="1:14" ht="16.2" customHeight="1">
      <c r="A23" s="294"/>
      <c r="B23" s="277"/>
      <c r="C23" s="182" t="s">
        <v>60</v>
      </c>
      <c r="D23" s="231" t="s">
        <v>65</v>
      </c>
      <c r="E23" s="147">
        <v>4</v>
      </c>
      <c r="F23" s="146">
        <v>4</v>
      </c>
      <c r="G23" s="170"/>
      <c r="H23" s="169">
        <v>4</v>
      </c>
      <c r="I23" s="168"/>
      <c r="J23" s="167"/>
      <c r="K23" s="106"/>
      <c r="L23" s="105"/>
      <c r="M23" s="282"/>
      <c r="N23" s="276"/>
    </row>
    <row r="24" spans="1:14" ht="16.2" customHeight="1">
      <c r="A24" s="294"/>
      <c r="B24" s="277"/>
      <c r="C24" s="182" t="s">
        <v>60</v>
      </c>
      <c r="D24" s="148" t="s">
        <v>64</v>
      </c>
      <c r="E24" s="147">
        <v>1</v>
      </c>
      <c r="F24" s="146">
        <v>1</v>
      </c>
      <c r="G24" s="40">
        <v>1</v>
      </c>
      <c r="H24" s="105"/>
      <c r="I24" s="168"/>
      <c r="J24" s="167"/>
      <c r="K24" s="106"/>
      <c r="L24" s="105"/>
      <c r="M24" s="282"/>
      <c r="N24" s="276"/>
    </row>
    <row r="25" spans="1:14" ht="16.2" customHeight="1">
      <c r="A25" s="294"/>
      <c r="B25" s="277"/>
      <c r="C25" s="182" t="s">
        <v>60</v>
      </c>
      <c r="D25" s="148" t="s">
        <v>63</v>
      </c>
      <c r="E25" s="147">
        <v>1</v>
      </c>
      <c r="F25" s="146">
        <v>1</v>
      </c>
      <c r="G25" s="40"/>
      <c r="H25" s="105">
        <v>1</v>
      </c>
      <c r="I25" s="168"/>
      <c r="J25" s="167"/>
      <c r="K25" s="106"/>
      <c r="L25" s="105"/>
      <c r="M25" s="282"/>
      <c r="N25" s="276"/>
    </row>
    <row r="26" spans="1:14" ht="16.2" customHeight="1">
      <c r="A26" s="294"/>
      <c r="B26" s="285" t="s">
        <v>62</v>
      </c>
      <c r="C26" s="189" t="s">
        <v>60</v>
      </c>
      <c r="D26" s="166" t="s">
        <v>61</v>
      </c>
      <c r="E26" s="154">
        <v>3</v>
      </c>
      <c r="F26" s="153">
        <v>3</v>
      </c>
      <c r="G26" s="187">
        <v>3</v>
      </c>
      <c r="H26" s="188"/>
      <c r="I26" s="193"/>
      <c r="J26" s="143"/>
      <c r="K26" s="187"/>
      <c r="L26" s="188"/>
      <c r="M26" s="256">
        <f>G26+H27</f>
        <v>6</v>
      </c>
      <c r="N26" s="258">
        <v>6</v>
      </c>
    </row>
    <row r="27" spans="1:14" ht="16.2" customHeight="1">
      <c r="A27" s="294"/>
      <c r="B27" s="286"/>
      <c r="C27" s="177" t="s">
        <v>60</v>
      </c>
      <c r="D27" s="165" t="s">
        <v>59</v>
      </c>
      <c r="E27" s="164">
        <v>3</v>
      </c>
      <c r="F27" s="163">
        <v>3</v>
      </c>
      <c r="G27" s="162"/>
      <c r="H27" s="161">
        <v>3</v>
      </c>
      <c r="I27" s="140"/>
      <c r="J27" s="139"/>
      <c r="K27" s="138"/>
      <c r="L27" s="137"/>
      <c r="M27" s="265"/>
      <c r="N27" s="267"/>
    </row>
    <row r="28" spans="1:14" ht="16.2" customHeight="1">
      <c r="A28" s="294"/>
      <c r="B28" s="280" t="s">
        <v>58</v>
      </c>
      <c r="C28" s="182" t="s">
        <v>31</v>
      </c>
      <c r="D28" s="148" t="s">
        <v>57</v>
      </c>
      <c r="E28" s="147">
        <v>3</v>
      </c>
      <c r="F28" s="39">
        <v>2</v>
      </c>
      <c r="G28" s="106">
        <v>2</v>
      </c>
      <c r="H28" s="105"/>
      <c r="I28" s="106"/>
      <c r="J28" s="105"/>
      <c r="K28" s="106"/>
      <c r="L28" s="105"/>
      <c r="M28" s="265">
        <f>G28+H29+I30+J31+K32+L33</f>
        <v>10</v>
      </c>
      <c r="N28" s="267">
        <v>10</v>
      </c>
    </row>
    <row r="29" spans="1:14" ht="16.2" customHeight="1">
      <c r="A29" s="294"/>
      <c r="B29" s="277"/>
      <c r="C29" s="182" t="s">
        <v>31</v>
      </c>
      <c r="D29" s="148" t="s">
        <v>56</v>
      </c>
      <c r="E29" s="147">
        <v>3</v>
      </c>
      <c r="F29" s="39">
        <v>2</v>
      </c>
      <c r="G29" s="106"/>
      <c r="H29" s="105">
        <v>2</v>
      </c>
      <c r="I29" s="106"/>
      <c r="J29" s="105"/>
      <c r="K29" s="106"/>
      <c r="L29" s="105"/>
      <c r="M29" s="278"/>
      <c r="N29" s="276"/>
    </row>
    <row r="30" spans="1:14" ht="16.2" customHeight="1">
      <c r="A30" s="294"/>
      <c r="B30" s="277"/>
      <c r="C30" s="160" t="s">
        <v>4</v>
      </c>
      <c r="D30" s="148" t="s">
        <v>55</v>
      </c>
      <c r="E30" s="147">
        <v>2</v>
      </c>
      <c r="F30" s="39">
        <v>1</v>
      </c>
      <c r="G30" s="106"/>
      <c r="H30" s="105"/>
      <c r="I30" s="106">
        <v>1</v>
      </c>
      <c r="J30" s="105"/>
      <c r="K30" s="106"/>
      <c r="L30" s="105"/>
      <c r="M30" s="278"/>
      <c r="N30" s="276"/>
    </row>
    <row r="31" spans="1:14" ht="16.2" customHeight="1">
      <c r="A31" s="294"/>
      <c r="B31" s="277"/>
      <c r="C31" s="160" t="s">
        <v>4</v>
      </c>
      <c r="D31" s="159" t="s">
        <v>54</v>
      </c>
      <c r="E31" s="147">
        <v>2</v>
      </c>
      <c r="F31" s="39">
        <v>1</v>
      </c>
      <c r="G31" s="106"/>
      <c r="H31" s="105"/>
      <c r="I31" s="106"/>
      <c r="J31" s="105">
        <v>1</v>
      </c>
      <c r="K31" s="106"/>
      <c r="L31" s="105"/>
      <c r="M31" s="278"/>
      <c r="N31" s="276"/>
    </row>
    <row r="32" spans="1:14" ht="16.2" customHeight="1">
      <c r="A32" s="294"/>
      <c r="B32" s="277"/>
      <c r="C32" s="160" t="s">
        <v>6</v>
      </c>
      <c r="D32" s="148" t="s">
        <v>53</v>
      </c>
      <c r="E32" s="147">
        <v>3</v>
      </c>
      <c r="F32" s="39">
        <v>2</v>
      </c>
      <c r="G32" s="106"/>
      <c r="H32" s="105"/>
      <c r="I32" s="106"/>
      <c r="J32" s="105"/>
      <c r="K32" s="106">
        <v>2</v>
      </c>
      <c r="L32" s="105"/>
      <c r="M32" s="278"/>
      <c r="N32" s="276"/>
    </row>
    <row r="33" spans="1:17" ht="16.2" customHeight="1" thickBot="1">
      <c r="A33" s="294"/>
      <c r="B33" s="277"/>
      <c r="C33" s="160" t="s">
        <v>6</v>
      </c>
      <c r="D33" s="159" t="s">
        <v>52</v>
      </c>
      <c r="E33" s="158">
        <v>3</v>
      </c>
      <c r="F33" s="157">
        <v>2</v>
      </c>
      <c r="G33" s="179"/>
      <c r="H33" s="181"/>
      <c r="I33" s="186"/>
      <c r="J33" s="185"/>
      <c r="K33" s="186"/>
      <c r="L33" s="185">
        <v>2</v>
      </c>
      <c r="M33" s="278"/>
      <c r="N33" s="276"/>
    </row>
    <row r="34" spans="1:17" ht="16.2" customHeight="1" thickBot="1">
      <c r="A34" s="294"/>
      <c r="B34" s="280" t="s">
        <v>51</v>
      </c>
      <c r="C34" s="156" t="s">
        <v>31</v>
      </c>
      <c r="D34" s="155" t="s">
        <v>24</v>
      </c>
      <c r="E34" s="154">
        <v>3</v>
      </c>
      <c r="F34" s="153">
        <v>2</v>
      </c>
      <c r="G34" s="254" t="s">
        <v>47</v>
      </c>
      <c r="H34" s="255"/>
      <c r="I34" s="152"/>
      <c r="J34" s="151"/>
      <c r="K34" s="127"/>
      <c r="L34" s="126"/>
      <c r="M34" s="281">
        <f>G35+H35+I37+J37</f>
        <v>8</v>
      </c>
      <c r="N34" s="267">
        <v>10</v>
      </c>
    </row>
    <row r="35" spans="1:17" ht="16.2" customHeight="1" thickBot="1">
      <c r="A35" s="294"/>
      <c r="B35" s="277"/>
      <c r="C35" s="199" t="s">
        <v>31</v>
      </c>
      <c r="D35" s="148" t="s">
        <v>5</v>
      </c>
      <c r="E35" s="147">
        <v>3</v>
      </c>
      <c r="F35" s="146">
        <v>2</v>
      </c>
      <c r="G35" s="248">
        <v>2</v>
      </c>
      <c r="H35" s="249">
        <v>2</v>
      </c>
      <c r="I35" s="140"/>
      <c r="J35" s="139"/>
      <c r="K35" s="106"/>
      <c r="L35" s="105"/>
      <c r="M35" s="282"/>
      <c r="N35" s="276"/>
    </row>
    <row r="36" spans="1:17" ht="16.2" customHeight="1">
      <c r="A36" s="294"/>
      <c r="B36" s="277"/>
      <c r="C36" s="199" t="s">
        <v>4</v>
      </c>
      <c r="D36" s="148" t="s">
        <v>50</v>
      </c>
      <c r="E36" s="147">
        <v>3</v>
      </c>
      <c r="F36" s="146">
        <v>2</v>
      </c>
      <c r="G36" s="150"/>
      <c r="H36" s="149"/>
      <c r="I36" s="283" t="s">
        <v>47</v>
      </c>
      <c r="J36" s="284"/>
      <c r="K36" s="106"/>
      <c r="L36" s="105"/>
      <c r="M36" s="282"/>
      <c r="N36" s="276"/>
    </row>
    <row r="37" spans="1:17" ht="16.2" customHeight="1" thickBot="1">
      <c r="A37" s="294"/>
      <c r="B37" s="277"/>
      <c r="C37" s="199" t="s">
        <v>4</v>
      </c>
      <c r="D37" s="148" t="s">
        <v>49</v>
      </c>
      <c r="E37" s="147">
        <v>3</v>
      </c>
      <c r="F37" s="146">
        <v>2</v>
      </c>
      <c r="G37" s="145"/>
      <c r="H37" s="144"/>
      <c r="I37" s="246">
        <v>2</v>
      </c>
      <c r="J37" s="247">
        <v>2</v>
      </c>
      <c r="K37" s="106"/>
      <c r="L37" s="105"/>
      <c r="M37" s="282"/>
      <c r="N37" s="276"/>
    </row>
    <row r="38" spans="1:17" ht="16.2" customHeight="1" thickBot="1">
      <c r="A38" s="294"/>
      <c r="B38" s="300" t="s">
        <v>25</v>
      </c>
      <c r="C38" s="199" t="s">
        <v>31</v>
      </c>
      <c r="D38" s="171" t="s">
        <v>48</v>
      </c>
      <c r="E38" s="147">
        <v>3</v>
      </c>
      <c r="F38" s="146">
        <v>2</v>
      </c>
      <c r="G38" s="254" t="s">
        <v>47</v>
      </c>
      <c r="H38" s="255"/>
      <c r="I38" s="193"/>
      <c r="J38" s="143"/>
      <c r="K38" s="186"/>
      <c r="L38" s="185"/>
      <c r="M38" s="256">
        <f>SUM(G38:L40)</f>
        <v>7</v>
      </c>
      <c r="N38" s="258">
        <v>16</v>
      </c>
    </row>
    <row r="39" spans="1:17" ht="16.2" customHeight="1" thickBot="1">
      <c r="A39" s="297"/>
      <c r="B39" s="301"/>
      <c r="C39" s="200" t="s">
        <v>4</v>
      </c>
      <c r="D39" s="204" t="s">
        <v>93</v>
      </c>
      <c r="E39" s="142">
        <v>3</v>
      </c>
      <c r="F39" s="141">
        <v>2</v>
      </c>
      <c r="G39" s="248">
        <v>2</v>
      </c>
      <c r="H39" s="249">
        <v>2</v>
      </c>
      <c r="I39" s="140"/>
      <c r="J39" s="139"/>
      <c r="K39" s="138"/>
      <c r="L39" s="137"/>
      <c r="M39" s="257"/>
      <c r="N39" s="259"/>
      <c r="P39" s="130"/>
    </row>
    <row r="40" spans="1:17" ht="16.2" customHeight="1" thickBot="1">
      <c r="A40" s="11"/>
      <c r="B40" s="302"/>
      <c r="C40" s="136" t="s">
        <v>4</v>
      </c>
      <c r="D40" s="205" t="s">
        <v>46</v>
      </c>
      <c r="E40" s="135">
        <v>3</v>
      </c>
      <c r="F40" s="134">
        <v>3</v>
      </c>
      <c r="G40" s="125"/>
      <c r="H40" s="133"/>
      <c r="I40" s="132"/>
      <c r="J40" s="124"/>
      <c r="K40" s="132"/>
      <c r="L40" s="131">
        <v>3</v>
      </c>
      <c r="M40" s="257"/>
      <c r="N40" s="259"/>
      <c r="P40" s="130"/>
    </row>
    <row r="41" spans="1:17" ht="16.2" customHeight="1" thickBot="1">
      <c r="A41" s="293"/>
      <c r="B41" s="315" t="s">
        <v>10</v>
      </c>
      <c r="C41" s="123" t="s">
        <v>43</v>
      </c>
      <c r="D41" s="122" t="s">
        <v>42</v>
      </c>
      <c r="E41" s="51">
        <v>4</v>
      </c>
      <c r="F41" s="50">
        <v>3</v>
      </c>
      <c r="G41" s="109"/>
      <c r="H41" s="121"/>
      <c r="I41" s="120" t="s">
        <v>15</v>
      </c>
      <c r="J41" s="119"/>
      <c r="K41" s="178"/>
      <c r="L41" s="180"/>
      <c r="M41" s="325">
        <v>9</v>
      </c>
      <c r="N41" s="258"/>
    </row>
    <row r="42" spans="1:17" ht="16.2" customHeight="1">
      <c r="A42" s="293"/>
      <c r="B42" s="280"/>
      <c r="C42" s="118" t="s">
        <v>4</v>
      </c>
      <c r="D42" s="117" t="s">
        <v>41</v>
      </c>
      <c r="E42" s="190">
        <v>4</v>
      </c>
      <c r="F42" s="191">
        <v>3</v>
      </c>
      <c r="G42" s="195"/>
      <c r="H42" s="116"/>
      <c r="I42" s="114">
        <v>3</v>
      </c>
      <c r="J42" s="115"/>
      <c r="K42" s="179"/>
      <c r="L42" s="181"/>
      <c r="M42" s="326"/>
      <c r="N42" s="259"/>
    </row>
    <row r="43" spans="1:17" ht="16.2" customHeight="1">
      <c r="A43" s="293"/>
      <c r="B43" s="277" t="s">
        <v>7</v>
      </c>
      <c r="C43" s="329" t="s">
        <v>31</v>
      </c>
      <c r="D43" s="331" t="s">
        <v>110</v>
      </c>
      <c r="E43" s="333">
        <v>4</v>
      </c>
      <c r="F43" s="260">
        <v>3</v>
      </c>
      <c r="G43" s="262"/>
      <c r="H43" s="316"/>
      <c r="I43" s="114">
        <v>3</v>
      </c>
      <c r="J43" s="318"/>
      <c r="K43" s="256"/>
      <c r="L43" s="258"/>
      <c r="M43" s="326"/>
      <c r="N43" s="259"/>
    </row>
    <row r="44" spans="1:17" ht="13.2" customHeight="1" thickBot="1">
      <c r="A44" s="293"/>
      <c r="B44" s="328"/>
      <c r="C44" s="330"/>
      <c r="D44" s="332"/>
      <c r="E44" s="334"/>
      <c r="F44" s="261"/>
      <c r="G44" s="263"/>
      <c r="H44" s="317"/>
      <c r="I44" s="113">
        <v>3</v>
      </c>
      <c r="J44" s="319"/>
      <c r="K44" s="305"/>
      <c r="L44" s="314"/>
      <c r="M44" s="327"/>
      <c r="N44" s="259"/>
    </row>
    <row r="45" spans="1:17" ht="16.2" customHeight="1" thickBot="1">
      <c r="A45" s="293"/>
      <c r="B45" s="30" t="s">
        <v>34</v>
      </c>
      <c r="C45" s="81" t="s">
        <v>31</v>
      </c>
      <c r="D45" s="129" t="s">
        <v>34</v>
      </c>
      <c r="E45" s="93">
        <v>4</v>
      </c>
      <c r="F45" s="92">
        <v>3</v>
      </c>
      <c r="G45" s="178"/>
      <c r="H45" s="48"/>
      <c r="I45" s="112" t="s">
        <v>26</v>
      </c>
      <c r="J45" s="111"/>
      <c r="K45" s="187"/>
      <c r="L45" s="188"/>
      <c r="M45" s="264">
        <v>3</v>
      </c>
      <c r="N45" s="259"/>
      <c r="Q45" s="242"/>
    </row>
    <row r="46" spans="1:17" ht="16.2" customHeight="1" thickBot="1">
      <c r="A46" s="293"/>
      <c r="B46" s="237" t="s">
        <v>28</v>
      </c>
      <c r="C46" s="238" t="s">
        <v>31</v>
      </c>
      <c r="D46" s="239" t="s">
        <v>40</v>
      </c>
      <c r="E46" s="87">
        <v>4</v>
      </c>
      <c r="F46" s="86">
        <v>3</v>
      </c>
      <c r="G46" s="223"/>
      <c r="H46" s="222"/>
      <c r="I46" s="240">
        <v>3</v>
      </c>
      <c r="J46" s="241"/>
      <c r="K46" s="83"/>
      <c r="L46" s="82"/>
      <c r="M46" s="305"/>
      <c r="N46" s="259"/>
    </row>
    <row r="47" spans="1:17" ht="16.2" customHeight="1" thickBot="1">
      <c r="A47" s="294"/>
      <c r="B47" s="301" t="s">
        <v>14</v>
      </c>
      <c r="C47" s="226" t="s">
        <v>4</v>
      </c>
      <c r="D47" s="234" t="s">
        <v>38</v>
      </c>
      <c r="E47" s="224">
        <v>4</v>
      </c>
      <c r="F47" s="225">
        <v>4</v>
      </c>
      <c r="G47" s="128"/>
      <c r="H47" s="227"/>
      <c r="I47" s="235"/>
      <c r="J47" s="236" t="s">
        <v>44</v>
      </c>
      <c r="K47" s="127"/>
      <c r="L47" s="126"/>
      <c r="M47" s="264">
        <v>16</v>
      </c>
      <c r="N47" s="259"/>
    </row>
    <row r="48" spans="1:17" ht="16.2" customHeight="1">
      <c r="A48" s="294"/>
      <c r="B48" s="280"/>
      <c r="C48" s="104" t="s">
        <v>6</v>
      </c>
      <c r="D48" s="107" t="s">
        <v>37</v>
      </c>
      <c r="E48" s="40">
        <v>4</v>
      </c>
      <c r="F48" s="39">
        <v>4</v>
      </c>
      <c r="G48" s="102"/>
      <c r="H48" s="101"/>
      <c r="I48" s="100"/>
      <c r="J48" s="108">
        <v>4</v>
      </c>
      <c r="K48" s="106"/>
      <c r="L48" s="105"/>
      <c r="M48" s="257"/>
      <c r="N48" s="259"/>
    </row>
    <row r="49" spans="1:14" ht="16.2" customHeight="1">
      <c r="A49" s="294"/>
      <c r="B49" s="300" t="s">
        <v>10</v>
      </c>
      <c r="C49" s="104" t="s">
        <v>31</v>
      </c>
      <c r="D49" s="232" t="s">
        <v>36</v>
      </c>
      <c r="E49" s="40">
        <v>4</v>
      </c>
      <c r="F49" s="39">
        <v>4</v>
      </c>
      <c r="G49" s="102"/>
      <c r="H49" s="101"/>
      <c r="I49" s="233"/>
      <c r="J49" s="95">
        <v>4</v>
      </c>
      <c r="K49" s="106"/>
      <c r="L49" s="105"/>
      <c r="M49" s="257"/>
      <c r="N49" s="259"/>
    </row>
    <row r="50" spans="1:14" ht="17.399999999999999" customHeight="1">
      <c r="A50" s="294"/>
      <c r="B50" s="280"/>
      <c r="C50" s="104" t="s">
        <v>4</v>
      </c>
      <c r="D50" s="103" t="s">
        <v>35</v>
      </c>
      <c r="E50" s="40">
        <v>4</v>
      </c>
      <c r="F50" s="39">
        <v>4</v>
      </c>
      <c r="G50" s="102"/>
      <c r="H50" s="101"/>
      <c r="I50" s="100"/>
      <c r="J50" s="95">
        <v>4</v>
      </c>
      <c r="K50" s="186"/>
      <c r="L50" s="185"/>
      <c r="M50" s="257"/>
      <c r="N50" s="259"/>
    </row>
    <row r="51" spans="1:14" ht="31.8" thickBot="1">
      <c r="A51" s="294"/>
      <c r="B51" s="177" t="s">
        <v>7</v>
      </c>
      <c r="C51" s="99" t="s">
        <v>4</v>
      </c>
      <c r="D51" s="98" t="s">
        <v>111</v>
      </c>
      <c r="E51" s="190">
        <v>4</v>
      </c>
      <c r="F51" s="97">
        <v>4</v>
      </c>
      <c r="G51" s="195"/>
      <c r="H51" s="196"/>
      <c r="I51" s="96"/>
      <c r="J51" s="95">
        <v>4</v>
      </c>
      <c r="K51" s="179"/>
      <c r="L51" s="181"/>
      <c r="M51" s="305"/>
      <c r="N51" s="259"/>
    </row>
    <row r="52" spans="1:14" ht="16.2" customHeight="1" thickBot="1">
      <c r="A52" s="294"/>
      <c r="B52" s="53" t="s">
        <v>34</v>
      </c>
      <c r="C52" s="94" t="s">
        <v>4</v>
      </c>
      <c r="D52" s="110" t="s">
        <v>112</v>
      </c>
      <c r="E52" s="93">
        <v>4</v>
      </c>
      <c r="F52" s="92">
        <v>3</v>
      </c>
      <c r="G52" s="178"/>
      <c r="H52" s="180"/>
      <c r="I52" s="91"/>
      <c r="J52" s="90" t="s">
        <v>26</v>
      </c>
      <c r="K52" s="49"/>
      <c r="L52" s="180"/>
      <c r="M52" s="257">
        <v>3</v>
      </c>
      <c r="N52" s="259"/>
    </row>
    <row r="53" spans="1:14" ht="16.2" customHeight="1" thickBot="1">
      <c r="A53" s="294"/>
      <c r="B53" s="59" t="s">
        <v>28</v>
      </c>
      <c r="C53" s="89" t="s">
        <v>4</v>
      </c>
      <c r="D53" s="88" t="s">
        <v>33</v>
      </c>
      <c r="E53" s="87">
        <v>4</v>
      </c>
      <c r="F53" s="86">
        <v>3</v>
      </c>
      <c r="G53" s="194"/>
      <c r="H53" s="192"/>
      <c r="I53" s="85"/>
      <c r="J53" s="84">
        <v>3</v>
      </c>
      <c r="K53" s="83"/>
      <c r="L53" s="82"/>
      <c r="M53" s="265"/>
      <c r="N53" s="259"/>
    </row>
    <row r="54" spans="1:14" ht="17.399999999999999" customHeight="1" thickBot="1">
      <c r="A54" s="294"/>
      <c r="B54" s="300" t="s">
        <v>10</v>
      </c>
      <c r="C54" s="78" t="s">
        <v>4</v>
      </c>
      <c r="D54" s="79" t="s">
        <v>30</v>
      </c>
      <c r="E54" s="40">
        <v>4</v>
      </c>
      <c r="F54" s="39">
        <v>3</v>
      </c>
      <c r="G54" s="183"/>
      <c r="H54" s="185"/>
      <c r="I54" s="186"/>
      <c r="J54" s="185"/>
      <c r="K54" s="245" t="s">
        <v>15</v>
      </c>
      <c r="L54" s="67"/>
      <c r="M54" s="257">
        <v>9</v>
      </c>
      <c r="N54" s="259"/>
    </row>
    <row r="55" spans="1:14" ht="31.2">
      <c r="A55" s="294"/>
      <c r="B55" s="280"/>
      <c r="C55" s="78" t="s">
        <v>6</v>
      </c>
      <c r="D55" s="41" t="s">
        <v>29</v>
      </c>
      <c r="E55" s="40">
        <v>4</v>
      </c>
      <c r="F55" s="39">
        <v>3</v>
      </c>
      <c r="G55" s="36"/>
      <c r="H55" s="37"/>
      <c r="I55" s="38"/>
      <c r="J55" s="37"/>
      <c r="K55" s="244">
        <v>3</v>
      </c>
      <c r="L55" s="67"/>
      <c r="M55" s="257"/>
      <c r="N55" s="259"/>
    </row>
    <row r="56" spans="1:14" ht="31.2">
      <c r="A56" s="294"/>
      <c r="B56" s="323" t="s">
        <v>7</v>
      </c>
      <c r="C56" s="78" t="s">
        <v>4</v>
      </c>
      <c r="D56" s="77" t="s">
        <v>113</v>
      </c>
      <c r="E56" s="40">
        <v>4</v>
      </c>
      <c r="F56" s="39">
        <v>3</v>
      </c>
      <c r="G56" s="15"/>
      <c r="H56" s="16"/>
      <c r="I56" s="17"/>
      <c r="J56" s="16"/>
      <c r="K56" s="74">
        <v>3</v>
      </c>
      <c r="L56" s="67"/>
      <c r="M56" s="257"/>
      <c r="N56" s="259"/>
    </row>
    <row r="57" spans="1:14" ht="19.2" customHeight="1" thickBot="1">
      <c r="A57" s="294"/>
      <c r="B57" s="324"/>
      <c r="C57" s="76" t="s">
        <v>6</v>
      </c>
      <c r="D57" s="75" t="s">
        <v>114</v>
      </c>
      <c r="E57" s="190">
        <v>4</v>
      </c>
      <c r="F57" s="191">
        <v>3</v>
      </c>
      <c r="G57" s="17"/>
      <c r="H57" s="16"/>
      <c r="I57" s="17"/>
      <c r="J57" s="16"/>
      <c r="K57" s="74">
        <v>3</v>
      </c>
      <c r="L57" s="67"/>
      <c r="M57" s="265"/>
      <c r="N57" s="259"/>
    </row>
    <row r="58" spans="1:14" ht="17.399999999999999" customHeight="1">
      <c r="A58" s="294"/>
      <c r="B58" s="174" t="s">
        <v>28</v>
      </c>
      <c r="C58" s="53" t="s">
        <v>6</v>
      </c>
      <c r="D58" s="66" t="s">
        <v>27</v>
      </c>
      <c r="E58" s="51">
        <v>4</v>
      </c>
      <c r="F58" s="50">
        <v>3</v>
      </c>
      <c r="G58" s="64"/>
      <c r="H58" s="63"/>
      <c r="I58" s="64"/>
      <c r="J58" s="63"/>
      <c r="K58" s="73" t="s">
        <v>26</v>
      </c>
      <c r="L58" s="67"/>
      <c r="M58" s="256">
        <v>3</v>
      </c>
      <c r="N58" s="259"/>
    </row>
    <row r="59" spans="1:14" ht="17.399999999999999" customHeight="1">
      <c r="A59" s="294"/>
      <c r="B59" s="253" t="s">
        <v>34</v>
      </c>
      <c r="C59" s="70" t="s">
        <v>4</v>
      </c>
      <c r="D59" s="243" t="s">
        <v>105</v>
      </c>
      <c r="E59" s="69">
        <v>4</v>
      </c>
      <c r="F59" s="68">
        <v>3</v>
      </c>
      <c r="G59" s="72"/>
      <c r="H59" s="71"/>
      <c r="I59" s="72"/>
      <c r="J59" s="71"/>
      <c r="K59" s="206">
        <v>3</v>
      </c>
      <c r="L59" s="67"/>
      <c r="M59" s="257"/>
      <c r="N59" s="259"/>
    </row>
    <row r="60" spans="1:14" ht="17.399999999999999" customHeight="1">
      <c r="A60" s="294"/>
      <c r="B60" s="298" t="s">
        <v>25</v>
      </c>
      <c r="C60" s="70" t="s">
        <v>31</v>
      </c>
      <c r="D60" s="243" t="s">
        <v>107</v>
      </c>
      <c r="E60" s="69">
        <v>3</v>
      </c>
      <c r="F60" s="68">
        <v>3</v>
      </c>
      <c r="G60" s="72"/>
      <c r="H60" s="71"/>
      <c r="I60" s="72"/>
      <c r="J60" s="71"/>
      <c r="K60" s="250"/>
      <c r="L60" s="67"/>
      <c r="M60" s="257"/>
      <c r="N60" s="259"/>
    </row>
    <row r="61" spans="1:14" ht="17.399999999999999" customHeight="1">
      <c r="A61" s="294"/>
      <c r="B61" s="298"/>
      <c r="C61" s="70" t="s">
        <v>4</v>
      </c>
      <c r="D61" s="243" t="s">
        <v>108</v>
      </c>
      <c r="E61" s="69">
        <v>3</v>
      </c>
      <c r="F61" s="68">
        <v>3</v>
      </c>
      <c r="G61" s="72"/>
      <c r="H61" s="71"/>
      <c r="I61" s="72"/>
      <c r="J61" s="71"/>
      <c r="K61" s="250"/>
      <c r="L61" s="67"/>
      <c r="M61" s="257"/>
      <c r="N61" s="259"/>
    </row>
    <row r="62" spans="1:14" ht="17.399999999999999" customHeight="1" thickBot="1">
      <c r="A62" s="294"/>
      <c r="B62" s="299"/>
      <c r="C62" s="251" t="s">
        <v>6</v>
      </c>
      <c r="D62" s="252" t="s">
        <v>109</v>
      </c>
      <c r="E62" s="69">
        <v>3</v>
      </c>
      <c r="F62" s="68">
        <v>3</v>
      </c>
      <c r="G62" s="38"/>
      <c r="H62" s="37"/>
      <c r="I62" s="38"/>
      <c r="J62" s="37"/>
      <c r="K62" s="207"/>
      <c r="L62" s="67"/>
      <c r="M62" s="265"/>
      <c r="N62" s="259"/>
    </row>
    <row r="63" spans="1:14" ht="17.399999999999999" customHeight="1" thickBot="1">
      <c r="A63" s="294"/>
      <c r="B63" s="31" t="s">
        <v>24</v>
      </c>
      <c r="C63" s="30" t="s">
        <v>4</v>
      </c>
      <c r="D63" s="66" t="s">
        <v>23</v>
      </c>
      <c r="E63" s="51">
        <v>3</v>
      </c>
      <c r="F63" s="50">
        <v>2</v>
      </c>
      <c r="G63" s="65"/>
      <c r="H63" s="63"/>
      <c r="I63" s="64"/>
      <c r="J63" s="63"/>
      <c r="K63" s="62" t="s">
        <v>22</v>
      </c>
      <c r="L63" s="61"/>
      <c r="M63" s="256">
        <v>2</v>
      </c>
      <c r="N63" s="259"/>
    </row>
    <row r="64" spans="1:14" ht="17.399999999999999" customHeight="1" thickBot="1">
      <c r="A64" s="294"/>
      <c r="B64" s="60" t="s">
        <v>5</v>
      </c>
      <c r="C64" s="59" t="s">
        <v>4</v>
      </c>
      <c r="D64" s="58" t="s">
        <v>21</v>
      </c>
      <c r="E64" s="57">
        <v>3</v>
      </c>
      <c r="F64" s="56">
        <v>2</v>
      </c>
      <c r="G64" s="15"/>
      <c r="H64" s="16"/>
      <c r="I64" s="17"/>
      <c r="J64" s="16"/>
      <c r="K64" s="55">
        <v>2</v>
      </c>
      <c r="L64" s="54"/>
      <c r="M64" s="257"/>
      <c r="N64" s="259"/>
    </row>
    <row r="65" spans="1:14" ht="16.2" customHeight="1" thickBot="1">
      <c r="A65" s="293"/>
      <c r="B65" s="176" t="s">
        <v>17</v>
      </c>
      <c r="C65" s="53" t="s">
        <v>6</v>
      </c>
      <c r="D65" s="52" t="s">
        <v>20</v>
      </c>
      <c r="E65" s="51">
        <v>4</v>
      </c>
      <c r="F65" s="50">
        <v>4</v>
      </c>
      <c r="G65" s="178"/>
      <c r="H65" s="180"/>
      <c r="I65" s="49"/>
      <c r="J65" s="48"/>
      <c r="K65" s="47"/>
      <c r="L65" s="46" t="s">
        <v>15</v>
      </c>
      <c r="M65" s="256">
        <v>21</v>
      </c>
      <c r="N65" s="259"/>
    </row>
    <row r="66" spans="1:14" ht="16.2" customHeight="1">
      <c r="A66" s="293"/>
      <c r="B66" s="22" t="s">
        <v>14</v>
      </c>
      <c r="C66" s="42" t="s">
        <v>4</v>
      </c>
      <c r="D66" s="41" t="s">
        <v>19</v>
      </c>
      <c r="E66" s="40">
        <v>4</v>
      </c>
      <c r="F66" s="39">
        <v>4</v>
      </c>
      <c r="G66" s="186"/>
      <c r="H66" s="185"/>
      <c r="I66" s="183"/>
      <c r="J66" s="43"/>
      <c r="K66" s="34"/>
      <c r="L66" s="45">
        <v>4</v>
      </c>
      <c r="M66" s="257"/>
      <c r="N66" s="259"/>
    </row>
    <row r="67" spans="1:14" ht="14.4" customHeight="1">
      <c r="A67" s="293"/>
      <c r="B67" s="182" t="s">
        <v>12</v>
      </c>
      <c r="C67" s="42" t="s">
        <v>4</v>
      </c>
      <c r="D67" s="44" t="s">
        <v>18</v>
      </c>
      <c r="E67" s="40">
        <v>4</v>
      </c>
      <c r="F67" s="39">
        <v>4</v>
      </c>
      <c r="G67" s="186"/>
      <c r="H67" s="185"/>
      <c r="I67" s="183"/>
      <c r="J67" s="43"/>
      <c r="K67" s="34"/>
      <c r="L67" s="32">
        <v>4</v>
      </c>
      <c r="M67" s="257"/>
      <c r="N67" s="259"/>
    </row>
    <row r="68" spans="1:14" ht="17.399999999999999" customHeight="1">
      <c r="A68" s="293"/>
      <c r="B68" s="198" t="s">
        <v>10</v>
      </c>
      <c r="C68" s="42" t="s">
        <v>6</v>
      </c>
      <c r="D68" s="41" t="s">
        <v>106</v>
      </c>
      <c r="E68" s="40">
        <v>4</v>
      </c>
      <c r="F68" s="39">
        <v>4</v>
      </c>
      <c r="G68" s="38"/>
      <c r="H68" s="37"/>
      <c r="I68" s="36"/>
      <c r="J68" s="35"/>
      <c r="K68" s="34"/>
      <c r="L68" s="32">
        <v>4</v>
      </c>
      <c r="M68" s="257"/>
      <c r="N68" s="259"/>
    </row>
    <row r="69" spans="1:14" ht="18" customHeight="1" thickBot="1">
      <c r="A69" s="293"/>
      <c r="B69" s="201" t="s">
        <v>7</v>
      </c>
      <c r="C69" s="19" t="s">
        <v>6</v>
      </c>
      <c r="D69" s="33" t="s">
        <v>115</v>
      </c>
      <c r="E69" s="190">
        <v>4</v>
      </c>
      <c r="F69" s="191">
        <v>4</v>
      </c>
      <c r="G69" s="17"/>
      <c r="H69" s="16"/>
      <c r="I69" s="15"/>
      <c r="J69" s="14"/>
      <c r="K69" s="13"/>
      <c r="L69" s="32"/>
      <c r="M69" s="257"/>
      <c r="N69" s="259"/>
    </row>
    <row r="70" spans="1:14" ht="18" customHeight="1" thickBot="1">
      <c r="A70" s="295"/>
      <c r="B70" s="31" t="s">
        <v>17</v>
      </c>
      <c r="C70" s="30" t="s">
        <v>4</v>
      </c>
      <c r="D70" s="29" t="s">
        <v>16</v>
      </c>
      <c r="E70" s="202">
        <v>4</v>
      </c>
      <c r="F70" s="203">
        <v>3</v>
      </c>
      <c r="G70" s="28"/>
      <c r="H70" s="27"/>
      <c r="I70" s="26"/>
      <c r="J70" s="25"/>
      <c r="K70" s="24"/>
      <c r="L70" s="23" t="s">
        <v>15</v>
      </c>
      <c r="M70" s="257"/>
      <c r="N70" s="259"/>
    </row>
    <row r="71" spans="1:14" ht="17.399999999999999" customHeight="1">
      <c r="A71" s="295"/>
      <c r="B71" s="22" t="s">
        <v>14</v>
      </c>
      <c r="C71" s="21" t="s">
        <v>4</v>
      </c>
      <c r="D71" s="20" t="s">
        <v>13</v>
      </c>
      <c r="E71" s="190">
        <v>4</v>
      </c>
      <c r="F71" s="191">
        <v>3</v>
      </c>
      <c r="G71" s="17"/>
      <c r="H71" s="16"/>
      <c r="I71" s="15"/>
      <c r="J71" s="14"/>
      <c r="K71" s="13"/>
      <c r="L71" s="12">
        <v>3</v>
      </c>
      <c r="M71" s="257"/>
      <c r="N71" s="259"/>
    </row>
    <row r="72" spans="1:14" ht="17.399999999999999" customHeight="1">
      <c r="A72" s="295"/>
      <c r="B72" s="22" t="s">
        <v>12</v>
      </c>
      <c r="C72" s="21" t="s">
        <v>6</v>
      </c>
      <c r="D72" s="20" t="s">
        <v>11</v>
      </c>
      <c r="E72" s="190">
        <v>4</v>
      </c>
      <c r="F72" s="191">
        <v>3</v>
      </c>
      <c r="G72" s="17"/>
      <c r="H72" s="16"/>
      <c r="I72" s="15"/>
      <c r="J72" s="14"/>
      <c r="K72" s="13"/>
      <c r="L72" s="12">
        <v>3</v>
      </c>
      <c r="M72" s="257"/>
      <c r="N72" s="259"/>
    </row>
    <row r="73" spans="1:14" ht="17.399999999999999" customHeight="1">
      <c r="A73" s="295"/>
      <c r="B73" s="306" t="s">
        <v>10</v>
      </c>
      <c r="C73" s="21" t="s">
        <v>4</v>
      </c>
      <c r="D73" s="20" t="s">
        <v>9</v>
      </c>
      <c r="E73" s="190">
        <v>4</v>
      </c>
      <c r="F73" s="191">
        <v>3</v>
      </c>
      <c r="G73" s="17"/>
      <c r="H73" s="16"/>
      <c r="I73" s="15"/>
      <c r="J73" s="14"/>
      <c r="K73" s="13"/>
      <c r="L73" s="12">
        <v>3</v>
      </c>
      <c r="M73" s="257"/>
      <c r="N73" s="259"/>
    </row>
    <row r="74" spans="1:14" ht="17.399999999999999" customHeight="1">
      <c r="A74" s="295"/>
      <c r="B74" s="307"/>
      <c r="C74" s="19" t="s">
        <v>6</v>
      </c>
      <c r="D74" s="18" t="s">
        <v>8</v>
      </c>
      <c r="E74" s="190">
        <v>4</v>
      </c>
      <c r="F74" s="191">
        <v>3</v>
      </c>
      <c r="G74" s="17"/>
      <c r="H74" s="16"/>
      <c r="I74" s="15"/>
      <c r="J74" s="14"/>
      <c r="K74" s="13"/>
      <c r="L74" s="12"/>
      <c r="M74" s="257"/>
      <c r="N74" s="259"/>
    </row>
    <row r="75" spans="1:14" ht="18" customHeight="1" thickBot="1">
      <c r="A75" s="295"/>
      <c r="B75" s="197" t="s">
        <v>7</v>
      </c>
      <c r="C75" s="19" t="s">
        <v>6</v>
      </c>
      <c r="D75" s="18" t="s">
        <v>116</v>
      </c>
      <c r="E75" s="190">
        <v>4</v>
      </c>
      <c r="F75" s="191">
        <v>3</v>
      </c>
      <c r="G75" s="17"/>
      <c r="H75" s="16"/>
      <c r="I75" s="15"/>
      <c r="J75" s="14"/>
      <c r="K75" s="13"/>
      <c r="L75" s="12"/>
      <c r="M75" s="305"/>
      <c r="N75" s="314"/>
    </row>
    <row r="76" spans="1:14" ht="17.399999999999999" customHeight="1">
      <c r="A76" s="11"/>
      <c r="B76" s="31" t="s">
        <v>14</v>
      </c>
      <c r="C76" s="81" t="s">
        <v>4</v>
      </c>
      <c r="D76" s="208" t="s">
        <v>94</v>
      </c>
      <c r="E76" s="51">
        <v>4</v>
      </c>
      <c r="F76" s="50">
        <v>3</v>
      </c>
      <c r="G76" s="212"/>
      <c r="H76" s="308" t="s">
        <v>95</v>
      </c>
      <c r="I76" s="308"/>
      <c r="J76" s="308"/>
      <c r="K76" s="308"/>
      <c r="L76" s="309"/>
      <c r="M76" s="264"/>
      <c r="N76" s="266"/>
    </row>
    <row r="77" spans="1:14" ht="17.399999999999999" customHeight="1">
      <c r="A77" s="11"/>
      <c r="B77" s="22" t="s">
        <v>10</v>
      </c>
      <c r="C77" s="80" t="s">
        <v>4</v>
      </c>
      <c r="D77" s="209" t="s">
        <v>96</v>
      </c>
      <c r="E77" s="40">
        <v>4</v>
      </c>
      <c r="F77" s="39">
        <v>3</v>
      </c>
      <c r="G77" s="213"/>
      <c r="H77" s="310"/>
      <c r="I77" s="310"/>
      <c r="J77" s="310"/>
      <c r="K77" s="310"/>
      <c r="L77" s="311"/>
      <c r="M77" s="257"/>
      <c r="N77" s="259"/>
    </row>
    <row r="78" spans="1:14" ht="18" customHeight="1" thickBot="1">
      <c r="A78" s="11"/>
      <c r="B78" s="60" t="s">
        <v>5</v>
      </c>
      <c r="C78" s="210" t="s">
        <v>4</v>
      </c>
      <c r="D78" s="211" t="s">
        <v>97</v>
      </c>
      <c r="E78" s="57">
        <v>3</v>
      </c>
      <c r="F78" s="56">
        <v>2</v>
      </c>
      <c r="G78" s="214"/>
      <c r="H78" s="312"/>
      <c r="I78" s="312"/>
      <c r="J78" s="312"/>
      <c r="K78" s="312"/>
      <c r="L78" s="313"/>
      <c r="M78" s="305"/>
      <c r="N78" s="314"/>
    </row>
    <row r="79" spans="1:14" ht="15" customHeight="1">
      <c r="A79" s="320" t="s">
        <v>3</v>
      </c>
      <c r="B79" s="321"/>
      <c r="C79" s="321"/>
      <c r="D79" s="321"/>
      <c r="E79" s="321"/>
      <c r="F79" s="322"/>
      <c r="G79" s="10">
        <f>SUM(G5:G39)</f>
        <v>30</v>
      </c>
      <c r="H79" s="10">
        <f>SUM(H5:H75)</f>
        <v>30</v>
      </c>
      <c r="I79" s="10">
        <v>30</v>
      </c>
      <c r="J79" s="10">
        <v>30</v>
      </c>
      <c r="K79" s="10">
        <v>28</v>
      </c>
      <c r="L79" s="10">
        <f>L33+L40+M65</f>
        <v>26</v>
      </c>
      <c r="M79" s="9">
        <f>SUM(G79:L79)</f>
        <v>174</v>
      </c>
      <c r="N79" s="8">
        <f>SUM(N5:N39)</f>
        <v>84</v>
      </c>
    </row>
    <row r="80" spans="1:14" ht="15" customHeight="1">
      <c r="A80" s="287" t="s">
        <v>2</v>
      </c>
      <c r="B80" s="288"/>
      <c r="C80" s="288"/>
      <c r="D80" s="288"/>
      <c r="E80" s="288"/>
      <c r="F80" s="289"/>
      <c r="G80" s="7">
        <v>3</v>
      </c>
      <c r="H80" s="7">
        <v>3</v>
      </c>
      <c r="I80" s="7">
        <v>3</v>
      </c>
      <c r="J80" s="7">
        <v>3</v>
      </c>
      <c r="K80" s="7">
        <v>3</v>
      </c>
      <c r="L80" s="7">
        <v>3</v>
      </c>
      <c r="M80" s="7">
        <f>SUM(G80:L80)</f>
        <v>18</v>
      </c>
      <c r="N80" s="6">
        <v>18</v>
      </c>
    </row>
    <row r="81" spans="1:14" ht="15" customHeight="1" thickBot="1">
      <c r="A81" s="290" t="s">
        <v>1</v>
      </c>
      <c r="B81" s="291"/>
      <c r="C81" s="291"/>
      <c r="D81" s="291"/>
      <c r="E81" s="291"/>
      <c r="F81" s="292"/>
      <c r="G81" s="5">
        <f t="shared" ref="G81:L81" si="0">G79+G80</f>
        <v>33</v>
      </c>
      <c r="H81" s="5">
        <f t="shared" si="0"/>
        <v>33</v>
      </c>
      <c r="I81" s="5">
        <f t="shared" si="0"/>
        <v>33</v>
      </c>
      <c r="J81" s="5">
        <f t="shared" si="0"/>
        <v>33</v>
      </c>
      <c r="K81" s="5">
        <f t="shared" si="0"/>
        <v>31</v>
      </c>
      <c r="L81" s="5">
        <f t="shared" si="0"/>
        <v>29</v>
      </c>
      <c r="M81" s="5">
        <f>SUM(G81:L81)</f>
        <v>192</v>
      </c>
      <c r="N81" s="4"/>
    </row>
    <row r="82" spans="1:14" ht="15" customHeight="1">
      <c r="B82" s="3"/>
      <c r="D82" s="3"/>
      <c r="M82" s="3"/>
      <c r="N82" s="3"/>
    </row>
    <row r="83" spans="1:14" ht="104.4" customHeight="1">
      <c r="B83" s="303" t="s">
        <v>0</v>
      </c>
      <c r="C83" s="303"/>
      <c r="D83" s="303"/>
      <c r="E83" s="304" t="s">
        <v>104</v>
      </c>
      <c r="F83" s="304"/>
      <c r="G83" s="304"/>
      <c r="H83" s="304"/>
      <c r="I83" s="304"/>
      <c r="J83" s="304"/>
      <c r="K83" s="304"/>
      <c r="L83" s="304"/>
      <c r="M83" s="304"/>
      <c r="N83" s="304"/>
    </row>
  </sheetData>
  <mergeCells count="78">
    <mergeCell ref="N76:N78"/>
    <mergeCell ref="A79:F79"/>
    <mergeCell ref="M52:M53"/>
    <mergeCell ref="M54:M57"/>
    <mergeCell ref="B54:B55"/>
    <mergeCell ref="B56:B57"/>
    <mergeCell ref="M58:M62"/>
    <mergeCell ref="B83:D83"/>
    <mergeCell ref="E83:N83"/>
    <mergeCell ref="M63:M64"/>
    <mergeCell ref="M65:M75"/>
    <mergeCell ref="B73:B74"/>
    <mergeCell ref="M76:M78"/>
    <mergeCell ref="H76:L78"/>
    <mergeCell ref="N41:N75"/>
    <mergeCell ref="B41:B42"/>
    <mergeCell ref="L43:L44"/>
    <mergeCell ref="M45:M46"/>
    <mergeCell ref="M47:M51"/>
    <mergeCell ref="B47:B48"/>
    <mergeCell ref="H43:H44"/>
    <mergeCell ref="J43:J44"/>
    <mergeCell ref="K43:K44"/>
    <mergeCell ref="A80:F80"/>
    <mergeCell ref="A81:F81"/>
    <mergeCell ref="A41:A75"/>
    <mergeCell ref="A5:A39"/>
    <mergeCell ref="B22:B25"/>
    <mergeCell ref="B60:B62"/>
    <mergeCell ref="B49:B50"/>
    <mergeCell ref="B38:B40"/>
    <mergeCell ref="B5:B9"/>
    <mergeCell ref="B10:B14"/>
    <mergeCell ref="B15:B19"/>
    <mergeCell ref="B43:B44"/>
    <mergeCell ref="C43:C44"/>
    <mergeCell ref="D43:D44"/>
    <mergeCell ref="E43:E44"/>
    <mergeCell ref="N22:N25"/>
    <mergeCell ref="B20:B21"/>
    <mergeCell ref="M20:M21"/>
    <mergeCell ref="N20:N21"/>
    <mergeCell ref="B34:B37"/>
    <mergeCell ref="G34:H34"/>
    <mergeCell ref="M34:M37"/>
    <mergeCell ref="N34:N37"/>
    <mergeCell ref="I36:J36"/>
    <mergeCell ref="B26:B27"/>
    <mergeCell ref="M26:M27"/>
    <mergeCell ref="N26:N27"/>
    <mergeCell ref="B28:B33"/>
    <mergeCell ref="M28:M33"/>
    <mergeCell ref="N28:N33"/>
    <mergeCell ref="M22:M25"/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  <mergeCell ref="M5:M9"/>
    <mergeCell ref="N5:N9"/>
    <mergeCell ref="M10:M14"/>
    <mergeCell ref="N10:N14"/>
    <mergeCell ref="M15:M19"/>
    <mergeCell ref="N15:N19"/>
    <mergeCell ref="G38:H38"/>
    <mergeCell ref="M38:M40"/>
    <mergeCell ref="N38:N40"/>
    <mergeCell ref="F43:F44"/>
    <mergeCell ref="G43:G44"/>
    <mergeCell ref="M41:M44"/>
  </mergeCells>
  <phoneticPr fontId="2" type="noConversion"/>
  <printOptions horizontalCentered="1"/>
  <pageMargins left="0.23622047244094491" right="0.23622047244094491" top="0.35433070866141736" bottom="0.27559055118110237" header="0.23622047244094491" footer="0.19685039370078741"/>
  <pageSetup paperSize="12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2026.6.16</vt:lpstr>
      <vt:lpstr>'2026.6.16'!Print_Area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2026-06-01T04:33:54Z</cp:lastPrinted>
  <dcterms:created xsi:type="dcterms:W3CDTF">2025-09-18T07:29:03Z</dcterms:created>
  <dcterms:modified xsi:type="dcterms:W3CDTF">2026-06-16T08:42:00Z</dcterms:modified>
</cp:coreProperties>
</file>