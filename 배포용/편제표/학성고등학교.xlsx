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MYPC\Desktop\편제\최최최종본(25.12.01)\"/>
    </mc:Choice>
  </mc:AlternateContent>
  <xr:revisionPtr revIDLastSave="0" documentId="13_ncr:1_{F971636F-4BC3-4263-B509-FAE3277D43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6학년도 신입생 3개년 편제(0713안)" sheetId="1" r:id="rId1"/>
    <sheet name="2025학년도 전학년 교육과정 편제(안)" sheetId="2" state="hidden" r:id="rId2"/>
  </sheets>
  <definedNames>
    <definedName name="_xlnm.Print_Area" localSheetId="0">'2026학년도 신입생 3개년 편제(0713안)'!$A$1:$N$74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72" i="1" l="1"/>
  <c r="K71" i="1"/>
  <c r="J71" i="1"/>
  <c r="I71" i="1"/>
  <c r="I72" i="1" l="1"/>
  <c r="L72" i="1"/>
  <c r="J72" i="1"/>
  <c r="J74" i="1" s="1"/>
  <c r="L74" i="1" l="1"/>
  <c r="K74" i="1"/>
  <c r="M35" i="1"/>
  <c r="M31" i="1"/>
  <c r="M25" i="1"/>
  <c r="M21" i="1"/>
  <c r="M13" i="1"/>
  <c r="M9" i="1"/>
  <c r="M5" i="1"/>
  <c r="H72" i="1"/>
  <c r="G72" i="1"/>
  <c r="T79" i="2"/>
  <c r="S79" i="2"/>
  <c r="R79" i="2"/>
  <c r="Q79" i="2"/>
  <c r="P79" i="2"/>
  <c r="H79" i="2"/>
  <c r="G79" i="2"/>
  <c r="M72" i="1" l="1"/>
  <c r="M74" i="1" s="1"/>
  <c r="I74" i="1"/>
  <c r="H74" i="1"/>
  <c r="G74" i="1"/>
</calcChain>
</file>

<file path=xl/sharedStrings.xml><?xml version="1.0" encoding="utf-8"?>
<sst xmlns="http://schemas.openxmlformats.org/spreadsheetml/2006/main" count="538" uniqueCount="225">
  <si>
    <t>학생선택 교과이수단위 소계</t>
  </si>
  <si>
    <t>세부과목</t>
  </si>
  <si>
    <t>이수 
학점</t>
  </si>
  <si>
    <t>교과
(군)</t>
  </si>
  <si>
    <t>운영학점</t>
  </si>
  <si>
    <t>기준
학점</t>
  </si>
  <si>
    <t>과학</t>
  </si>
  <si>
    <t>공통</t>
  </si>
  <si>
    <t>1학기</t>
  </si>
  <si>
    <t>구분</t>
  </si>
  <si>
    <t>수학</t>
  </si>
  <si>
    <t>2학년</t>
  </si>
  <si>
    <t>3학년</t>
  </si>
  <si>
    <t>한국사</t>
  </si>
  <si>
    <t>1학년</t>
  </si>
  <si>
    <t>국어</t>
  </si>
  <si>
    <t>2학기</t>
  </si>
  <si>
    <t>일반</t>
  </si>
  <si>
    <t>체육</t>
  </si>
  <si>
    <t>사회</t>
  </si>
  <si>
    <t>영어</t>
  </si>
  <si>
    <t>진로</t>
  </si>
  <si>
    <t>교과 이수단위 소계</t>
  </si>
  <si>
    <t>필수
이수
학점</t>
  </si>
  <si>
    <t>창의적 체험활동</t>
  </si>
  <si>
    <t>학기별 총 이수 단위</t>
  </si>
  <si>
    <t>학교지정
교육과정</t>
    <phoneticPr fontId="5" type="noConversion"/>
  </si>
  <si>
    <t>공통국어1</t>
    <phoneticPr fontId="5" type="noConversion"/>
  </si>
  <si>
    <t>공통국어2</t>
    <phoneticPr fontId="5" type="noConversion"/>
  </si>
  <si>
    <t>공통수학1</t>
    <phoneticPr fontId="5" type="noConversion"/>
  </si>
  <si>
    <t>공통수학2</t>
    <phoneticPr fontId="5" type="noConversion"/>
  </si>
  <si>
    <t>공통영어1</t>
    <phoneticPr fontId="5" type="noConversion"/>
  </si>
  <si>
    <t>공통영어2</t>
    <phoneticPr fontId="5" type="noConversion"/>
  </si>
  <si>
    <t>한국사1</t>
    <phoneticPr fontId="5" type="noConversion"/>
  </si>
  <si>
    <t>한국사2</t>
    <phoneticPr fontId="5" type="noConversion"/>
  </si>
  <si>
    <t>통합사회1</t>
    <phoneticPr fontId="5" type="noConversion"/>
  </si>
  <si>
    <t>통합사회2</t>
    <phoneticPr fontId="5" type="noConversion"/>
  </si>
  <si>
    <t>통합과학1</t>
    <phoneticPr fontId="5" type="noConversion"/>
  </si>
  <si>
    <t>통합과학2</t>
    <phoneticPr fontId="5" type="noConversion"/>
  </si>
  <si>
    <t>과학탐구실험1</t>
    <phoneticPr fontId="5" type="noConversion"/>
  </si>
  <si>
    <t>과학탐구실험2</t>
    <phoneticPr fontId="5" type="noConversion"/>
  </si>
  <si>
    <t>일반</t>
    <phoneticPr fontId="5" type="noConversion"/>
  </si>
  <si>
    <t>일반</t>
    <phoneticPr fontId="5" type="noConversion"/>
  </si>
  <si>
    <t>진로</t>
    <phoneticPr fontId="5" type="noConversion"/>
  </si>
  <si>
    <t>체육1</t>
    <phoneticPr fontId="5" type="noConversion"/>
  </si>
  <si>
    <t>융합</t>
    <phoneticPr fontId="5" type="noConversion"/>
  </si>
  <si>
    <t>일반</t>
    <phoneticPr fontId="5" type="noConversion"/>
  </si>
  <si>
    <t>문학</t>
    <phoneticPr fontId="5" type="noConversion"/>
  </si>
  <si>
    <t>독서와 작문</t>
    <phoneticPr fontId="5" type="noConversion"/>
  </si>
  <si>
    <t>대수</t>
    <phoneticPr fontId="5" type="noConversion"/>
  </si>
  <si>
    <t>영어Ⅰ</t>
    <phoneticPr fontId="5" type="noConversion"/>
  </si>
  <si>
    <t>영어Ⅱ</t>
    <phoneticPr fontId="5" type="noConversion"/>
  </si>
  <si>
    <t>스포츠 과학</t>
    <phoneticPr fontId="5" type="noConversion"/>
  </si>
  <si>
    <t>스포츠 문화</t>
    <phoneticPr fontId="5" type="noConversion"/>
  </si>
  <si>
    <t>스포츠 생활1</t>
    <phoneticPr fontId="5" type="noConversion"/>
  </si>
  <si>
    <t>스포츠 생활2</t>
    <phoneticPr fontId="5" type="noConversion"/>
  </si>
  <si>
    <t>한문/정보</t>
    <phoneticPr fontId="5" type="noConversion"/>
  </si>
  <si>
    <t>택1</t>
    <phoneticPr fontId="5" type="noConversion"/>
  </si>
  <si>
    <t>미적분Ⅰ</t>
    <phoneticPr fontId="5" type="noConversion"/>
  </si>
  <si>
    <t>정보</t>
    <phoneticPr fontId="5" type="noConversion"/>
  </si>
  <si>
    <t>한문</t>
    <phoneticPr fontId="5" type="noConversion"/>
  </si>
  <si>
    <t>학성고등학교</t>
    <phoneticPr fontId="5" type="noConversion"/>
  </si>
  <si>
    <t>체육2</t>
    <phoneticPr fontId="5" type="noConversion"/>
  </si>
  <si>
    <t>음악 연주와 창작</t>
    <phoneticPr fontId="5" type="noConversion"/>
  </si>
  <si>
    <t>국어</t>
    <phoneticPr fontId="10" type="noConversion"/>
  </si>
  <si>
    <t>융합</t>
    <phoneticPr fontId="10" type="noConversion"/>
  </si>
  <si>
    <t>독서 토론과 글쓰기</t>
    <phoneticPr fontId="10" type="noConversion"/>
  </si>
  <si>
    <t>수학</t>
    <phoneticPr fontId="10" type="noConversion"/>
  </si>
  <si>
    <t>일반</t>
    <phoneticPr fontId="10" type="noConversion"/>
  </si>
  <si>
    <t>확률과 통계</t>
    <phoneticPr fontId="10" type="noConversion"/>
  </si>
  <si>
    <t>영어</t>
    <phoneticPr fontId="10" type="noConversion"/>
  </si>
  <si>
    <t>진로</t>
    <phoneticPr fontId="10" type="noConversion"/>
  </si>
  <si>
    <t>영미 문학 읽기</t>
  </si>
  <si>
    <t>주제 탐구 독서</t>
    <phoneticPr fontId="10" type="noConversion"/>
  </si>
  <si>
    <t>기하</t>
    <phoneticPr fontId="10" type="noConversion"/>
  </si>
  <si>
    <t>영어 발표와 토론</t>
    <phoneticPr fontId="10" type="noConversion"/>
  </si>
  <si>
    <t>세계시민과 지리, 세계사, 사회와 문화, 현대사회와 윤리</t>
    <phoneticPr fontId="10" type="noConversion"/>
  </si>
  <si>
    <t>물리학, 화학, 생명과학, 지구과학</t>
    <phoneticPr fontId="10" type="noConversion"/>
  </si>
  <si>
    <t xml:space="preserve">역학과 에너지, 물질과 에너지, 세포와 물질대사,  행성우주과학 </t>
    <phoneticPr fontId="10" type="noConversion"/>
  </si>
  <si>
    <t>택2</t>
    <phoneticPr fontId="5" type="noConversion"/>
  </si>
  <si>
    <t>제2외국어</t>
    <phoneticPr fontId="10" type="noConversion"/>
  </si>
  <si>
    <t>정보</t>
    <phoneticPr fontId="10" type="noConversion"/>
  </si>
  <si>
    <t>데이터 과학</t>
  </si>
  <si>
    <t>한문</t>
    <phoneticPr fontId="10" type="noConversion"/>
  </si>
  <si>
    <t>한문 고전 읽기</t>
    <phoneticPr fontId="10" type="noConversion"/>
  </si>
  <si>
    <t>문학과 영상</t>
    <phoneticPr fontId="10" type="noConversion"/>
  </si>
  <si>
    <t>영어 독해와 작문</t>
    <phoneticPr fontId="10" type="noConversion"/>
  </si>
  <si>
    <t>매체 의사소통, 언어생활 탐구</t>
    <phoneticPr fontId="10" type="noConversion"/>
  </si>
  <si>
    <t>수학과제 탐구, 실용 통계, 수학과 문화</t>
    <phoneticPr fontId="10" type="noConversion"/>
  </si>
  <si>
    <t>심화 영어, 심화 영어 독해와 작문</t>
    <phoneticPr fontId="10" type="noConversion"/>
  </si>
  <si>
    <t>세계 문화와 영어</t>
    <phoneticPr fontId="10" type="noConversion"/>
  </si>
  <si>
    <t>화법과 언어</t>
    <phoneticPr fontId="10" type="noConversion"/>
  </si>
  <si>
    <t>직무 수학</t>
    <phoneticPr fontId="10" type="noConversion"/>
  </si>
  <si>
    <t>실생활 영어 회화</t>
  </si>
  <si>
    <t>사회</t>
    <phoneticPr fontId="10" type="noConversion"/>
  </si>
  <si>
    <t>기후변화와 지속가능한 세계</t>
    <phoneticPr fontId="10" type="noConversion"/>
  </si>
  <si>
    <t>과학</t>
    <phoneticPr fontId="10" type="noConversion"/>
  </si>
  <si>
    <t>과학의 역사와 문화</t>
    <phoneticPr fontId="10" type="noConversion"/>
  </si>
  <si>
    <t>도시의 미래 탐구, 동아시아 역사 기행</t>
    <phoneticPr fontId="10" type="noConversion"/>
  </si>
  <si>
    <t>법과 사회, 경제, 윤리와 사상, 국제 관계의 이해</t>
    <phoneticPr fontId="10" type="noConversion"/>
  </si>
  <si>
    <t>여행지리, 사회문제 탐구, 역사로 탐구하는 현대 세계</t>
    <phoneticPr fontId="10" type="noConversion"/>
  </si>
  <si>
    <t>금융과 경제생활, 윤리문제 탐구</t>
    <phoneticPr fontId="10" type="noConversion"/>
  </si>
  <si>
    <t>기후변화와 환경생태, 융합과학 탐구</t>
    <phoneticPr fontId="10" type="noConversion"/>
  </si>
  <si>
    <t>예술</t>
    <phoneticPr fontId="5" type="noConversion"/>
  </si>
  <si>
    <t>음악과 미디어</t>
    <phoneticPr fontId="5" type="noConversion"/>
  </si>
  <si>
    <t>미술과 매체</t>
    <phoneticPr fontId="5" type="noConversion"/>
  </si>
  <si>
    <t>교양</t>
    <phoneticPr fontId="5" type="noConversion"/>
  </si>
  <si>
    <t xml:space="preserve">음악 </t>
    <phoneticPr fontId="5" type="noConversion"/>
  </si>
  <si>
    <t>전자기와 양자, 화학 반응의 세계, 생물의 유전,  지구시스템과학</t>
    <phoneticPr fontId="10" type="noConversion"/>
  </si>
  <si>
    <r>
      <t>미술</t>
    </r>
    <r>
      <rPr>
        <sz val="10"/>
        <color rgb="FF000000"/>
        <rFont val="맑은 고딕"/>
        <family val="3"/>
        <charset val="129"/>
      </rPr>
      <t xml:space="preserve"> </t>
    </r>
    <r>
      <rPr>
        <sz val="10"/>
        <color rgb="FF000000"/>
        <rFont val="나눔고딕"/>
        <family val="3"/>
        <charset val="129"/>
      </rPr>
      <t>창작</t>
    </r>
    <phoneticPr fontId="5" type="noConversion"/>
  </si>
  <si>
    <t>일본어, 중국어</t>
    <phoneticPr fontId="5" type="noConversion"/>
  </si>
  <si>
    <t>일본 문화, 중국 문화</t>
    <phoneticPr fontId="5" type="noConversion"/>
  </si>
  <si>
    <t>논술</t>
    <phoneticPr fontId="10" type="noConversion"/>
  </si>
  <si>
    <t>인간과 심리, 교육의 이해, 보건</t>
    <phoneticPr fontId="10" type="noConversion"/>
  </si>
  <si>
    <t>생태와 환경</t>
    <phoneticPr fontId="10" type="noConversion"/>
  </si>
  <si>
    <t>생애설계와 자립</t>
    <phoneticPr fontId="5" type="noConversion"/>
  </si>
  <si>
    <t>기술가정정보</t>
    <phoneticPr fontId="5" type="noConversion"/>
  </si>
  <si>
    <r>
      <t>2025학년도 전학년 교육과정 편제</t>
    </r>
    <r>
      <rPr>
        <b/>
        <sz val="16"/>
        <color rgb="FF000000"/>
        <rFont val="맑은 고딕"/>
        <family val="3"/>
        <charset val="129"/>
      </rPr>
      <t>(안)</t>
    </r>
    <phoneticPr fontId="5" type="noConversion"/>
  </si>
  <si>
    <t>기준
학점</t>
    <phoneticPr fontId="5" type="noConversion"/>
  </si>
  <si>
    <t>운영학점</t>
    <phoneticPr fontId="5" type="noConversion"/>
  </si>
  <si>
    <t>공통</t>
    <phoneticPr fontId="10" type="noConversion"/>
  </si>
  <si>
    <t>문학</t>
  </si>
  <si>
    <t>독서</t>
  </si>
  <si>
    <t>언어와 매체</t>
    <phoneticPr fontId="10" type="noConversion"/>
  </si>
  <si>
    <t>화법과 작문</t>
    <phoneticPr fontId="10" type="noConversion"/>
  </si>
  <si>
    <t>수학Ⅰ</t>
    <phoneticPr fontId="10" type="noConversion"/>
  </si>
  <si>
    <t>수학Ⅱ</t>
    <phoneticPr fontId="10" type="noConversion"/>
  </si>
  <si>
    <t>영어Ⅰ</t>
    <phoneticPr fontId="10" type="noConversion"/>
  </si>
  <si>
    <t>영어Ⅱ</t>
    <phoneticPr fontId="10" type="noConversion"/>
  </si>
  <si>
    <t>영어독해와 작문</t>
    <phoneticPr fontId="10" type="noConversion"/>
  </si>
  <si>
    <t>진로영어</t>
    <phoneticPr fontId="10" type="noConversion"/>
  </si>
  <si>
    <t>한국사</t>
    <phoneticPr fontId="10" type="noConversion"/>
  </si>
  <si>
    <t>사회</t>
    <phoneticPr fontId="5" type="noConversion"/>
  </si>
  <si>
    <t>통합사회</t>
    <phoneticPr fontId="10" type="noConversion"/>
  </si>
  <si>
    <t>통합과학</t>
    <phoneticPr fontId="10" type="noConversion"/>
  </si>
  <si>
    <t>과학탐구실험</t>
    <phoneticPr fontId="10" type="noConversion"/>
  </si>
  <si>
    <t>체육</t>
    <phoneticPr fontId="5" type="noConversion"/>
  </si>
  <si>
    <t>체육</t>
    <phoneticPr fontId="10" type="noConversion"/>
  </si>
  <si>
    <t>운동과 건강</t>
    <phoneticPr fontId="10" type="noConversion"/>
  </si>
  <si>
    <t>음악</t>
    <phoneticPr fontId="10" type="noConversion"/>
  </si>
  <si>
    <t>교차↔집중</t>
    <phoneticPr fontId="5" type="noConversion"/>
  </si>
  <si>
    <t>미술</t>
    <phoneticPr fontId="10" type="noConversion"/>
  </si>
  <si>
    <t>기술·가정</t>
    <phoneticPr fontId="10" type="noConversion"/>
  </si>
  <si>
    <t>한문Ⅰ</t>
    <phoneticPr fontId="10" type="noConversion"/>
  </si>
  <si>
    <t>진로와직업</t>
    <phoneticPr fontId="10" type="noConversion"/>
  </si>
  <si>
    <t>예술</t>
  </si>
  <si>
    <t>음악</t>
    <phoneticPr fontId="5" type="noConversion"/>
  </si>
  <si>
    <t>진로와 직업</t>
    <phoneticPr fontId="5" type="noConversion"/>
  </si>
  <si>
    <r>
      <rPr>
        <sz val="10"/>
        <color rgb="FF000000"/>
        <rFont val="맑은 고딕"/>
        <family val="3"/>
        <charset val="129"/>
      </rPr>
      <t>학생</t>
    </r>
    <r>
      <rPr>
        <sz val="10"/>
        <color rgb="FF000000"/>
        <rFont val="나눔고딕"/>
        <family val="3"/>
        <charset val="129"/>
      </rPr>
      <t>선택교육과정</t>
    </r>
    <phoneticPr fontId="5" type="noConversion"/>
  </si>
  <si>
    <t>고전 읽기</t>
    <phoneticPr fontId="10" type="noConversion"/>
  </si>
  <si>
    <t>택1</t>
    <phoneticPr fontId="10" type="noConversion"/>
  </si>
  <si>
    <t>심화영어Ⅰ*</t>
    <phoneticPr fontId="10" type="noConversion"/>
  </si>
  <si>
    <t>심화국어</t>
    <phoneticPr fontId="10" type="noConversion"/>
  </si>
  <si>
    <t>택2</t>
    <phoneticPr fontId="10" type="noConversion"/>
  </si>
  <si>
    <t>미적분</t>
    <phoneticPr fontId="10" type="noConversion"/>
  </si>
  <si>
    <t>수학과제탐구</t>
    <phoneticPr fontId="10" type="noConversion"/>
  </si>
  <si>
    <r>
      <t>미적분</t>
    </r>
    <r>
      <rPr>
        <sz val="9"/>
        <color theme="1"/>
        <rFont val="바탕체"/>
        <family val="1"/>
        <charset val="129"/>
      </rPr>
      <t>Ⅱ</t>
    </r>
    <r>
      <rPr>
        <sz val="9"/>
        <color theme="1"/>
        <rFont val="맑은 고딕"/>
        <family val="3"/>
        <charset val="129"/>
      </rPr>
      <t>, 경제 수학, 인공지능 수학</t>
    </r>
    <phoneticPr fontId="10" type="noConversion"/>
  </si>
  <si>
    <t>경제수학</t>
    <phoneticPr fontId="10" type="noConversion"/>
  </si>
  <si>
    <t>영미문학읽기</t>
    <phoneticPr fontId="10" type="noConversion"/>
  </si>
  <si>
    <t>세계지리, 세계사, 정치와 법, 윤리와 사상</t>
    <phoneticPr fontId="10" type="noConversion"/>
  </si>
  <si>
    <t>택3</t>
    <phoneticPr fontId="10" type="noConversion"/>
  </si>
  <si>
    <t>물리학Ⅰ, 화학Ⅰ, 생명과학Ⅰ, 지구과학Ⅰ</t>
    <phoneticPr fontId="10" type="noConversion"/>
  </si>
  <si>
    <t>한국지리, 경제, 동아시아사, 사회·문화, 생활과 윤리</t>
    <phoneticPr fontId="10" type="noConversion"/>
  </si>
  <si>
    <t>물리학Ⅱ, 화학Ⅱ, 생명과학Ⅱ, 지구과학Ⅱ</t>
    <phoneticPr fontId="10" type="noConversion"/>
  </si>
  <si>
    <t>여행지리, 사회문제 탐구</t>
    <phoneticPr fontId="10" type="noConversion"/>
  </si>
  <si>
    <t>한국지리 탐구, 인문학과 윤리, 정치, 세계 유산 탐구</t>
    <phoneticPr fontId="10" type="noConversion"/>
  </si>
  <si>
    <t>과학사, 생활과 과학</t>
    <phoneticPr fontId="10" type="noConversion"/>
  </si>
  <si>
    <t>세계 문제와 미래 사회*, 고전과 윤리</t>
    <phoneticPr fontId="10" type="noConversion"/>
  </si>
  <si>
    <t>융합과학, 생태와 환경*</t>
    <phoneticPr fontId="10" type="noConversion"/>
  </si>
  <si>
    <t>예술</t>
    <phoneticPr fontId="10" type="noConversion"/>
  </si>
  <si>
    <t>음악연주</t>
    <phoneticPr fontId="10" type="noConversion"/>
  </si>
  <si>
    <t>미술창작</t>
    <phoneticPr fontId="10" type="noConversion"/>
  </si>
  <si>
    <t>중국어Ⅰ, 일본어Ⅰ</t>
    <phoneticPr fontId="10" type="noConversion"/>
  </si>
  <si>
    <t xml:space="preserve">소인수 / 거점형
</t>
    <phoneticPr fontId="5" type="noConversion"/>
  </si>
  <si>
    <t>일본어, 중국어</t>
  </si>
  <si>
    <t xml:space="preserve"> 인공지능 기초</t>
    <phoneticPr fontId="10" type="noConversion"/>
  </si>
  <si>
    <t>과학</t>
    <phoneticPr fontId="5" type="noConversion"/>
  </si>
  <si>
    <t>사회</t>
    <phoneticPr fontId="5" type="noConversion"/>
  </si>
  <si>
    <t>여행지리, 사회문제 탐구, 역사로 탐구하는 현대 세계
금융과 경제생활, 윤리문제 탐구</t>
    <phoneticPr fontId="10" type="noConversion"/>
  </si>
  <si>
    <t>택2</t>
    <phoneticPr fontId="5" type="noConversion"/>
  </si>
  <si>
    <t>주제 탐구 독서</t>
  </si>
  <si>
    <t>미술</t>
    <phoneticPr fontId="5" type="noConversion"/>
  </si>
  <si>
    <t>진로와직업</t>
    <phoneticPr fontId="5" type="noConversion"/>
  </si>
  <si>
    <t>택4</t>
    <phoneticPr fontId="5" type="noConversion"/>
  </si>
  <si>
    <t>2026학년도 신입생 3개년 교육과정 편제(안)</t>
    <phoneticPr fontId="5" type="noConversion"/>
  </si>
  <si>
    <t>한국지리 탐구, 인문학과 윤리, 법과 사회, 세계 유산 탐구</t>
    <phoneticPr fontId="10" type="noConversion"/>
  </si>
  <si>
    <t>체육2</t>
    <phoneticPr fontId="5" type="noConversion"/>
  </si>
  <si>
    <t>체육1</t>
    <phoneticPr fontId="5" type="noConversion"/>
  </si>
  <si>
    <t>문학과 영상</t>
    <phoneticPr fontId="5" type="noConversion"/>
  </si>
  <si>
    <t>화법과 언어</t>
    <phoneticPr fontId="5" type="noConversion"/>
  </si>
  <si>
    <t>심화영어</t>
    <phoneticPr fontId="5" type="noConversion"/>
  </si>
  <si>
    <t>언어생활 탐구</t>
  </si>
  <si>
    <t>융합</t>
  </si>
  <si>
    <t>수학과제 탐구, 실용 통계</t>
  </si>
  <si>
    <t>영어</t>
    <phoneticPr fontId="5" type="noConversion"/>
  </si>
  <si>
    <t>심화 영어 독해와 작문</t>
  </si>
  <si>
    <t>기후변화와 환경생태, 과학의 역사와 문화, 융합과학 탐구</t>
    <phoneticPr fontId="10" type="noConversion"/>
  </si>
  <si>
    <t>택6</t>
    <phoneticPr fontId="5" type="noConversion"/>
  </si>
  <si>
    <t>세계시민과 지리, 세계사, 사회와 문화, 현대사회와 윤리</t>
    <phoneticPr fontId="5" type="noConversion"/>
  </si>
  <si>
    <t>물리학, 화학, 생명과학, 지구과학</t>
    <phoneticPr fontId="5" type="noConversion"/>
  </si>
  <si>
    <t>국어</t>
    <phoneticPr fontId="5" type="noConversion"/>
  </si>
  <si>
    <t>수학</t>
    <phoneticPr fontId="5" type="noConversion"/>
  </si>
  <si>
    <t>4
4
4
4</t>
    <phoneticPr fontId="5" type="noConversion"/>
  </si>
  <si>
    <t>도시의 미래 탐구, 동아시아 역사 기행, 정치, 경제, 윤리와 사상, 국제 관계의 이해</t>
    <phoneticPr fontId="5" type="noConversion"/>
  </si>
  <si>
    <t>택3</t>
    <phoneticPr fontId="5" type="noConversion"/>
  </si>
  <si>
    <t>인공지능 기초</t>
  </si>
  <si>
    <t>정보</t>
    <phoneticPr fontId="5" type="noConversion"/>
  </si>
  <si>
    <t>진로</t>
    <phoneticPr fontId="5" type="noConversion"/>
  </si>
  <si>
    <t>데이터 과학</t>
    <phoneticPr fontId="5" type="noConversion"/>
  </si>
  <si>
    <t>일반</t>
    <phoneticPr fontId="5" type="noConversion"/>
  </si>
  <si>
    <t>영미 문학 읽기</t>
    <phoneticPr fontId="5" type="noConversion"/>
  </si>
  <si>
    <t xml:space="preserve"> 영어 독해와 작문</t>
    <phoneticPr fontId="5" type="noConversion"/>
  </si>
  <si>
    <t>교차집중(↔)</t>
    <phoneticPr fontId="5" type="noConversion"/>
  </si>
  <si>
    <t>학
교
지
정
교
육
과
정</t>
    <phoneticPr fontId="5" type="noConversion"/>
  </si>
  <si>
    <t xml:space="preserve">학
생
선
택
교
육
과
정
</t>
    <phoneticPr fontId="5" type="noConversion"/>
  </si>
  <si>
    <t>미적분Ⅱ, 인공지능 수학</t>
    <phoneticPr fontId="5" type="noConversion"/>
  </si>
  <si>
    <t>기하, 경제 수학</t>
    <phoneticPr fontId="5" type="noConversion"/>
  </si>
  <si>
    <t xml:space="preserve">역학과 에너지, 물질과 에너지, 세포와 물질대사, 지구시스템과학 </t>
    <phoneticPr fontId="5" type="noConversion"/>
  </si>
  <si>
    <t xml:space="preserve">전자기와 양자, 화학 반응의 세계, 생물의 유전,  행성우주과학 </t>
    <phoneticPr fontId="5" type="noConversion"/>
  </si>
  <si>
    <t>공동교육과정</t>
    <phoneticPr fontId="5" type="noConversion"/>
  </si>
  <si>
    <t>인간과 심리</t>
    <phoneticPr fontId="5" type="noConversion"/>
  </si>
  <si>
    <t>미디어 영어</t>
    <phoneticPr fontId="5" type="noConversion"/>
  </si>
  <si>
    <t>2학기, 여름계절</t>
    <phoneticPr fontId="5" type="noConversion"/>
  </si>
  <si>
    <t>2학기</t>
    <phoneticPr fontId="5" type="noConversion"/>
  </si>
  <si>
    <t>학성고등학교  12.04.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</si>
</sst>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2" formatCode="_-&quot;₩&quot;* #,##0_-;\-&quot;₩&quot;* #,##0_-;_-&quot;₩&quot;* &quot;-&quot;_-;_-@_-"/>
    <numFmt numFmtId="176" formatCode="0_);[Red]\(0\)"/>
  </numFmts>
  <fonts count="42" x14ac:knownFonts="1">
    <font>
      <sz val="11"/>
      <color rgb="FF000000"/>
      <name val="맑은 고딕"/>
    </font>
    <font>
      <sz val="11"/>
      <color rgb="FF000000"/>
      <name val="나눔고딕"/>
      <family val="3"/>
      <charset val="129"/>
    </font>
    <font>
      <sz val="10"/>
      <color rgb="FF000000"/>
      <name val="나눔고딕"/>
      <family val="3"/>
      <charset val="129"/>
    </font>
    <font>
      <b/>
      <sz val="10"/>
      <color rgb="FF000000"/>
      <name val="나눔고딕"/>
      <family val="3"/>
      <charset val="129"/>
    </font>
    <font>
      <sz val="9"/>
      <color rgb="FF000000"/>
      <name val="나눔고딕"/>
      <family val="3"/>
      <charset val="129"/>
    </font>
    <font>
      <sz val="8"/>
      <name val="돋움"/>
      <family val="3"/>
      <charset val="129"/>
    </font>
    <font>
      <b/>
      <sz val="16"/>
      <color rgb="FF000000"/>
      <name val="나눔고딕"/>
      <family val="3"/>
      <charset val="129"/>
    </font>
    <font>
      <sz val="10"/>
      <name val="나눔고딕"/>
      <family val="3"/>
      <charset val="129"/>
    </font>
    <font>
      <sz val="9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9"/>
      <color theme="1"/>
      <name val="바탕체"/>
      <family val="1"/>
      <charset val="129"/>
    </font>
    <font>
      <sz val="9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  <scheme val="major"/>
    </font>
    <font>
      <b/>
      <sz val="10"/>
      <color rgb="FF000000"/>
      <name val="나눔고딕"/>
      <charset val="129"/>
    </font>
    <font>
      <sz val="10"/>
      <name val="나눔고딕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sz val="10"/>
      <color rgb="FF000000"/>
      <name val="굴림"/>
      <family val="3"/>
      <charset val="129"/>
    </font>
    <font>
      <sz val="10"/>
      <color theme="1"/>
      <name val="굴림"/>
      <family val="3"/>
      <charset val="129"/>
    </font>
    <font>
      <sz val="10"/>
      <name val="굴림"/>
      <family val="3"/>
      <charset val="129"/>
    </font>
    <font>
      <sz val="10"/>
      <color theme="1"/>
      <name val="나눔고딕"/>
      <family val="3"/>
      <charset val="129"/>
    </font>
    <font>
      <sz val="10"/>
      <color theme="4"/>
      <name val="나눔고딕"/>
      <family val="3"/>
      <charset val="129"/>
    </font>
    <font>
      <sz val="8"/>
      <color rgb="FF000000"/>
      <name val="나눔고딕"/>
      <family val="3"/>
      <charset val="129"/>
    </font>
    <font>
      <sz val="6"/>
      <color theme="1"/>
      <name val="굴림"/>
      <family val="3"/>
      <charset val="129"/>
    </font>
    <font>
      <sz val="8"/>
      <color theme="1"/>
      <name val="굴림"/>
      <family val="3"/>
      <charset val="129"/>
    </font>
    <font>
      <sz val="9"/>
      <color theme="4"/>
      <name val="나눔고딕"/>
      <family val="3"/>
      <charset val="129"/>
    </font>
    <font>
      <sz val="9"/>
      <color theme="1"/>
      <name val="나눔고딕"/>
      <family val="3"/>
      <charset val="129"/>
    </font>
    <font>
      <b/>
      <sz val="10"/>
      <name val="굴림"/>
      <family val="3"/>
      <charset val="129"/>
    </font>
    <font>
      <sz val="8"/>
      <color theme="4"/>
      <name val="나눔고딕"/>
      <family val="3"/>
      <charset val="129"/>
    </font>
    <font>
      <b/>
      <sz val="10"/>
      <color theme="4"/>
      <name val="나눔고딕"/>
      <family val="3"/>
      <charset val="129"/>
    </font>
    <font>
      <sz val="9"/>
      <color theme="1"/>
      <name val="굴림"/>
      <family val="3"/>
      <charset val="129"/>
    </font>
    <font>
      <sz val="11"/>
      <color theme="1"/>
      <name val="나눔고딕"/>
      <family val="3"/>
      <charset val="129"/>
    </font>
    <font>
      <sz val="9"/>
      <color theme="4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ajor"/>
    </font>
    <font>
      <sz val="10"/>
      <color rgb="FF000000"/>
      <name val="나눔고딕"/>
      <charset val="129"/>
    </font>
    <font>
      <sz val="10"/>
      <color theme="1"/>
      <name val="나눔고딕"/>
      <charset val="129"/>
    </font>
    <font>
      <sz val="8"/>
      <color rgb="FF000000"/>
      <name val="나눔고딕"/>
      <charset val="129"/>
    </font>
    <font>
      <sz val="9"/>
      <color rgb="FF000000"/>
      <name val="나눔고딕"/>
      <charset val="129"/>
    </font>
    <font>
      <sz val="6"/>
      <color rgb="FF000000"/>
      <name val="나눔고딕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7DDE4"/>
        <bgColor indexed="64"/>
      </patternFill>
    </fill>
    <fill>
      <patternFill patternType="solid">
        <fgColor rgb="FFADBBCA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</fills>
  <borders count="1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/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/>
      <diagonal/>
    </border>
    <border>
      <left style="medium">
        <color indexed="64"/>
      </left>
      <right style="hair">
        <color auto="1"/>
      </right>
      <top/>
      <bottom style="medium">
        <color indexed="64"/>
      </bottom>
      <diagonal/>
    </border>
    <border>
      <left style="medium">
        <color indexed="64"/>
      </left>
      <right style="hair">
        <color auto="1"/>
      </right>
      <top/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hair">
        <color auto="1"/>
      </top>
      <bottom/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medium">
        <color indexed="64"/>
      </bottom>
      <diagonal/>
    </border>
    <border>
      <left style="hair">
        <color auto="1"/>
      </left>
      <right/>
      <top/>
      <bottom/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hair">
        <color auto="1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18" fillId="0" borderId="0" applyFont="0" applyFill="0" applyBorder="0" applyAlignment="0" applyProtection="0">
      <alignment vertical="center"/>
    </xf>
  </cellStyleXfs>
  <cellXfs count="922">
    <xf numFmtId="0" fontId="0" fillId="0" borderId="0" xfId="0" applyNumberFormat="1">
      <alignment vertical="center"/>
    </xf>
    <xf numFmtId="0" fontId="1" fillId="0" borderId="0" xfId="0" applyNumberFormat="1" applyFont="1" applyFill="1">
      <alignment vertical="center"/>
    </xf>
    <xf numFmtId="0" fontId="1" fillId="0" borderId="0" xfId="0" applyNumberFormat="1" applyFont="1" applyFill="1" applyBorder="1">
      <alignment vertical="center"/>
    </xf>
    <xf numFmtId="0" fontId="1" fillId="2" borderId="0" xfId="0" applyNumberFormat="1" applyFont="1" applyFill="1">
      <alignment vertical="center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>
      <alignment vertical="center"/>
    </xf>
    <xf numFmtId="176" fontId="2" fillId="3" borderId="9" xfId="0" applyNumberFormat="1" applyFont="1" applyFill="1" applyBorder="1" applyAlignment="1">
      <alignment horizontal="center" vertical="center" shrinkToFit="1"/>
    </xf>
    <xf numFmtId="176" fontId="2" fillId="3" borderId="3" xfId="0" applyNumberFormat="1" applyFont="1" applyFill="1" applyBorder="1" applyAlignment="1">
      <alignment horizontal="center" vertical="center" shrinkToFit="1"/>
    </xf>
    <xf numFmtId="176" fontId="2" fillId="0" borderId="10" xfId="0" applyNumberFormat="1" applyFont="1" applyFill="1" applyBorder="1" applyAlignment="1">
      <alignment horizontal="center" vertical="center" wrapText="1"/>
    </xf>
    <xf numFmtId="176" fontId="2" fillId="0" borderId="13" xfId="0" applyNumberFormat="1" applyFont="1" applyFill="1" applyBorder="1" applyAlignment="1">
      <alignment horizontal="center" vertical="center" wrapText="1"/>
    </xf>
    <xf numFmtId="176" fontId="3" fillId="0" borderId="10" xfId="0" applyNumberFormat="1" applyFont="1" applyFill="1" applyBorder="1" applyAlignment="1">
      <alignment vertical="center" wrapText="1"/>
    </xf>
    <xf numFmtId="176" fontId="3" fillId="0" borderId="2" xfId="0" applyNumberFormat="1" applyFont="1" applyFill="1" applyBorder="1" applyAlignment="1">
      <alignment vertical="center" wrapText="1"/>
    </xf>
    <xf numFmtId="176" fontId="1" fillId="0" borderId="0" xfId="0" applyNumberFormat="1" applyFont="1" applyFill="1">
      <alignment vertical="center"/>
    </xf>
    <xf numFmtId="176" fontId="2" fillId="0" borderId="0" xfId="0" applyNumberFormat="1" applyFont="1" applyBorder="1" applyAlignment="1">
      <alignment vertical="center" wrapText="1"/>
    </xf>
    <xf numFmtId="0" fontId="2" fillId="0" borderId="0" xfId="0" applyNumberFormat="1" applyFont="1" applyFill="1" applyBorder="1" applyAlignment="1">
      <alignment vertical="center"/>
    </xf>
    <xf numFmtId="176" fontId="2" fillId="0" borderId="0" xfId="0" applyNumberFormat="1" applyFont="1" applyFill="1" applyBorder="1" applyAlignment="1">
      <alignment vertical="center" wrapText="1"/>
    </xf>
    <xf numFmtId="176" fontId="2" fillId="0" borderId="18" xfId="0" applyNumberFormat="1" applyFont="1" applyFill="1" applyBorder="1" applyAlignment="1">
      <alignment horizontal="center" vertical="center" wrapText="1"/>
    </xf>
    <xf numFmtId="176" fontId="2" fillId="0" borderId="9" xfId="0" applyNumberFormat="1" applyFont="1" applyFill="1" applyBorder="1" applyAlignment="1">
      <alignment horizontal="center" vertical="center" wrapText="1"/>
    </xf>
    <xf numFmtId="176" fontId="2" fillId="0" borderId="37" xfId="0" applyNumberFormat="1" applyFont="1" applyFill="1" applyBorder="1" applyAlignment="1">
      <alignment horizontal="center" vertical="center" wrapText="1"/>
    </xf>
    <xf numFmtId="0" fontId="2" fillId="8" borderId="4" xfId="0" applyNumberFormat="1" applyFont="1" applyFill="1" applyBorder="1" applyAlignment="1">
      <alignment horizontal="center" vertical="center" wrapText="1"/>
    </xf>
    <xf numFmtId="0" fontId="2" fillId="8" borderId="16" xfId="0" applyNumberFormat="1" applyFont="1" applyFill="1" applyBorder="1" applyAlignment="1">
      <alignment horizontal="center" vertical="center" wrapText="1"/>
    </xf>
    <xf numFmtId="0" fontId="9" fillId="8" borderId="52" xfId="0" applyFont="1" applyFill="1" applyBorder="1" applyAlignment="1">
      <alignment horizontal="center" vertical="center" shrinkToFit="1"/>
    </xf>
    <xf numFmtId="0" fontId="2" fillId="8" borderId="2" xfId="0" applyNumberFormat="1" applyFont="1" applyFill="1" applyBorder="1" applyAlignment="1">
      <alignment horizontal="center" vertical="center" wrapText="1"/>
    </xf>
    <xf numFmtId="0" fontId="9" fillId="8" borderId="54" xfId="0" applyFont="1" applyFill="1" applyBorder="1" applyAlignment="1">
      <alignment horizontal="center" vertical="center" shrinkToFit="1"/>
    </xf>
    <xf numFmtId="176" fontId="3" fillId="0" borderId="20" xfId="0" applyNumberFormat="1" applyFont="1" applyFill="1" applyBorder="1" applyAlignment="1">
      <alignment vertical="center" wrapText="1"/>
    </xf>
    <xf numFmtId="176" fontId="3" fillId="0" borderId="21" xfId="0" applyNumberFormat="1" applyFont="1" applyFill="1" applyBorder="1" applyAlignment="1">
      <alignment vertical="center" wrapText="1"/>
    </xf>
    <xf numFmtId="176" fontId="2" fillId="8" borderId="5" xfId="0" applyNumberFormat="1" applyFont="1" applyFill="1" applyBorder="1" applyAlignment="1">
      <alignment horizontal="center" vertical="center" wrapText="1"/>
    </xf>
    <xf numFmtId="176" fontId="7" fillId="8" borderId="13" xfId="0" applyNumberFormat="1" applyFont="1" applyFill="1" applyBorder="1" applyAlignment="1">
      <alignment horizontal="center" vertical="center" wrapText="1"/>
    </xf>
    <xf numFmtId="176" fontId="7" fillId="8" borderId="4" xfId="0" applyNumberFormat="1" applyFont="1" applyFill="1" applyBorder="1" applyAlignment="1">
      <alignment horizontal="center" vertical="center" wrapText="1"/>
    </xf>
    <xf numFmtId="176" fontId="2" fillId="8" borderId="13" xfId="0" applyNumberFormat="1" applyFont="1" applyFill="1" applyBorder="1" applyAlignment="1">
      <alignment horizontal="center" vertical="center" wrapText="1"/>
    </xf>
    <xf numFmtId="176" fontId="2" fillId="8" borderId="4" xfId="0" applyNumberFormat="1" applyFont="1" applyFill="1" applyBorder="1" applyAlignment="1">
      <alignment horizontal="center" vertical="center" wrapText="1"/>
    </xf>
    <xf numFmtId="176" fontId="2" fillId="8" borderId="15" xfId="0" applyNumberFormat="1" applyFont="1" applyFill="1" applyBorder="1" applyAlignment="1">
      <alignment horizontal="center" vertical="center" wrapText="1"/>
    </xf>
    <xf numFmtId="176" fontId="7" fillId="8" borderId="10" xfId="0" applyNumberFormat="1" applyFont="1" applyFill="1" applyBorder="1" applyAlignment="1">
      <alignment horizontal="center" vertical="center" wrapText="1"/>
    </xf>
    <xf numFmtId="176" fontId="7" fillId="8" borderId="18" xfId="0" applyNumberFormat="1" applyFont="1" applyFill="1" applyBorder="1" applyAlignment="1">
      <alignment horizontal="center" vertical="center" wrapText="1"/>
    </xf>
    <xf numFmtId="176" fontId="7" fillId="8" borderId="16" xfId="0" applyNumberFormat="1" applyFont="1" applyFill="1" applyBorder="1" applyAlignment="1">
      <alignment horizontal="center" vertical="center" wrapText="1"/>
    </xf>
    <xf numFmtId="176" fontId="2" fillId="8" borderId="18" xfId="0" applyNumberFormat="1" applyFont="1" applyFill="1" applyBorder="1" applyAlignment="1">
      <alignment horizontal="center" vertical="center" wrapText="1"/>
    </xf>
    <xf numFmtId="176" fontId="2" fillId="8" borderId="16" xfId="0" applyNumberFormat="1" applyFont="1" applyFill="1" applyBorder="1" applyAlignment="1">
      <alignment horizontal="center" vertical="center" wrapText="1"/>
    </xf>
    <xf numFmtId="176" fontId="2" fillId="8" borderId="10" xfId="0" applyNumberFormat="1" applyFont="1" applyFill="1" applyBorder="1" applyAlignment="1">
      <alignment horizontal="center" vertical="center" wrapText="1"/>
    </xf>
    <xf numFmtId="176" fontId="2" fillId="8" borderId="2" xfId="0" applyNumberFormat="1" applyFont="1" applyFill="1" applyBorder="1" applyAlignment="1">
      <alignment horizontal="center" vertical="center" wrapText="1"/>
    </xf>
    <xf numFmtId="176" fontId="2" fillId="8" borderId="1" xfId="0" applyNumberFormat="1" applyFont="1" applyFill="1" applyBorder="1" applyAlignment="1">
      <alignment horizontal="center" vertical="center" wrapText="1"/>
    </xf>
    <xf numFmtId="0" fontId="8" fillId="8" borderId="47" xfId="0" applyFont="1" applyFill="1" applyBorder="1" applyAlignment="1">
      <alignment horizontal="center" vertical="center" shrinkToFit="1"/>
    </xf>
    <xf numFmtId="0" fontId="8" fillId="8" borderId="48" xfId="0" applyFont="1" applyFill="1" applyBorder="1" applyAlignment="1">
      <alignment horizontal="center" vertical="center" shrinkToFit="1"/>
    </xf>
    <xf numFmtId="176" fontId="2" fillId="8" borderId="9" xfId="0" applyNumberFormat="1" applyFont="1" applyFill="1" applyBorder="1" applyAlignment="1">
      <alignment horizontal="center" vertical="center" wrapText="1"/>
    </xf>
    <xf numFmtId="176" fontId="2" fillId="8" borderId="3" xfId="0" applyNumberFormat="1" applyFont="1" applyFill="1" applyBorder="1" applyAlignment="1">
      <alignment horizontal="center" vertical="center" wrapText="1"/>
    </xf>
    <xf numFmtId="0" fontId="9" fillId="8" borderId="9" xfId="0" applyFont="1" applyFill="1" applyBorder="1" applyAlignment="1">
      <alignment horizontal="center" vertical="center" shrinkToFit="1"/>
    </xf>
    <xf numFmtId="0" fontId="9" fillId="8" borderId="56" xfId="0" applyFont="1" applyFill="1" applyBorder="1" applyAlignment="1">
      <alignment horizontal="center" vertical="center" shrinkToFit="1"/>
    </xf>
    <xf numFmtId="0" fontId="2" fillId="8" borderId="20" xfId="0" applyNumberFormat="1" applyFont="1" applyFill="1" applyBorder="1" applyAlignment="1">
      <alignment horizontal="center" vertical="center" wrapText="1"/>
    </xf>
    <xf numFmtId="0" fontId="9" fillId="8" borderId="55" xfId="0" applyFont="1" applyFill="1" applyBorder="1" applyAlignment="1">
      <alignment horizontal="center" vertical="center" shrinkToFit="1"/>
    </xf>
    <xf numFmtId="0" fontId="9" fillId="8" borderId="57" xfId="0" applyFont="1" applyFill="1" applyBorder="1" applyAlignment="1">
      <alignment horizontal="center" vertical="center" shrinkToFit="1"/>
    </xf>
    <xf numFmtId="0" fontId="2" fillId="8" borderId="3" xfId="0" applyNumberFormat="1" applyFont="1" applyFill="1" applyBorder="1" applyAlignment="1">
      <alignment horizontal="center" vertical="center" wrapText="1"/>
    </xf>
    <xf numFmtId="0" fontId="9" fillId="8" borderId="59" xfId="0" applyFont="1" applyFill="1" applyBorder="1" applyAlignment="1">
      <alignment horizontal="center" vertical="center" shrinkToFit="1"/>
    </xf>
    <xf numFmtId="0" fontId="9" fillId="8" borderId="37" xfId="0" applyFont="1" applyFill="1" applyBorder="1" applyAlignment="1">
      <alignment horizontal="center" vertical="center" shrinkToFit="1"/>
    </xf>
    <xf numFmtId="0" fontId="9" fillId="8" borderId="11" xfId="0" applyFont="1" applyFill="1" applyBorder="1" applyAlignment="1">
      <alignment horizontal="center" vertical="center" shrinkToFit="1"/>
    </xf>
    <xf numFmtId="0" fontId="9" fillId="8" borderId="5" xfId="0" applyFont="1" applyFill="1" applyBorder="1" applyAlignment="1">
      <alignment horizontal="center" vertical="center" shrinkToFit="1"/>
    </xf>
    <xf numFmtId="0" fontId="9" fillId="8" borderId="62" xfId="0" applyFont="1" applyFill="1" applyBorder="1" applyAlignment="1">
      <alignment horizontal="center" vertical="center" shrinkToFit="1"/>
    </xf>
    <xf numFmtId="0" fontId="9" fillId="8" borderId="50" xfId="0" applyFont="1" applyFill="1" applyBorder="1" applyAlignment="1">
      <alignment horizontal="center" vertical="center" shrinkToFit="1"/>
    </xf>
    <xf numFmtId="176" fontId="2" fillId="8" borderId="34" xfId="0" applyNumberFormat="1" applyFont="1" applyFill="1" applyBorder="1" applyAlignment="1">
      <alignment horizontal="center" vertical="center" wrapText="1"/>
    </xf>
    <xf numFmtId="176" fontId="2" fillId="8" borderId="11" xfId="0" applyNumberFormat="1" applyFont="1" applyFill="1" applyBorder="1" applyAlignment="1">
      <alignment horizontal="center" vertical="center" wrapText="1"/>
    </xf>
    <xf numFmtId="176" fontId="2" fillId="0" borderId="56" xfId="0" applyNumberFormat="1" applyFont="1" applyFill="1" applyBorder="1" applyAlignment="1">
      <alignment horizontal="center" vertical="center" wrapText="1"/>
    </xf>
    <xf numFmtId="176" fontId="2" fillId="8" borderId="6" xfId="0" applyNumberFormat="1" applyFont="1" applyFill="1" applyBorder="1" applyAlignment="1">
      <alignment horizontal="center" vertical="center" wrapText="1"/>
    </xf>
    <xf numFmtId="176" fontId="7" fillId="8" borderId="56" xfId="0" applyNumberFormat="1" applyFont="1" applyFill="1" applyBorder="1" applyAlignment="1">
      <alignment horizontal="center" vertical="center" wrapText="1"/>
    </xf>
    <xf numFmtId="176" fontId="7" fillId="8" borderId="20" xfId="0" applyNumberFormat="1" applyFont="1" applyFill="1" applyBorder="1" applyAlignment="1">
      <alignment horizontal="center" vertical="center" wrapText="1"/>
    </xf>
    <xf numFmtId="176" fontId="2" fillId="8" borderId="56" xfId="0" applyNumberFormat="1" applyFont="1" applyFill="1" applyBorder="1" applyAlignment="1">
      <alignment horizontal="center" vertical="center" wrapText="1"/>
    </xf>
    <xf numFmtId="176" fontId="2" fillId="8" borderId="20" xfId="0" applyNumberFormat="1" applyFont="1" applyFill="1" applyBorder="1" applyAlignment="1">
      <alignment horizontal="center" vertical="center" wrapText="1"/>
    </xf>
    <xf numFmtId="176" fontId="2" fillId="0" borderId="4" xfId="0" applyNumberFormat="1" applyFont="1" applyFill="1" applyBorder="1" applyAlignment="1" applyProtection="1">
      <alignment vertical="center" wrapText="1"/>
    </xf>
    <xf numFmtId="176" fontId="3" fillId="8" borderId="4" xfId="0" applyNumberFormat="1" applyFont="1" applyFill="1" applyBorder="1" applyAlignment="1">
      <alignment vertical="center" wrapText="1"/>
    </xf>
    <xf numFmtId="176" fontId="3" fillId="8" borderId="2" xfId="0" applyNumberFormat="1" applyFont="1" applyFill="1" applyBorder="1" applyAlignment="1">
      <alignment vertical="center" wrapText="1"/>
    </xf>
    <xf numFmtId="176" fontId="3" fillId="8" borderId="20" xfId="0" applyNumberFormat="1" applyFont="1" applyFill="1" applyBorder="1" applyAlignment="1">
      <alignment vertical="center" wrapText="1"/>
    </xf>
    <xf numFmtId="0" fontId="8" fillId="8" borderId="60" xfId="0" applyFont="1" applyFill="1" applyBorder="1" applyAlignment="1">
      <alignment horizontal="center" vertical="center" shrinkToFit="1"/>
    </xf>
    <xf numFmtId="176" fontId="2" fillId="8" borderId="45" xfId="0" applyNumberFormat="1" applyFont="1" applyFill="1" applyBorder="1" applyAlignment="1">
      <alignment horizontal="center" vertical="center" wrapText="1"/>
    </xf>
    <xf numFmtId="176" fontId="2" fillId="8" borderId="30" xfId="0" applyNumberFormat="1" applyFont="1" applyFill="1" applyBorder="1" applyAlignment="1">
      <alignment horizontal="center" vertical="center" wrapText="1"/>
    </xf>
    <xf numFmtId="176" fontId="2" fillId="8" borderId="65" xfId="0" applyNumberFormat="1" applyFont="1" applyFill="1" applyBorder="1" applyAlignment="1">
      <alignment horizontal="center" vertical="center" wrapText="1"/>
    </xf>
    <xf numFmtId="176" fontId="2" fillId="8" borderId="30" xfId="0" applyNumberFormat="1" applyFont="1" applyFill="1" applyBorder="1" applyAlignment="1">
      <alignment horizontal="center" vertical="center" shrinkToFit="1"/>
    </xf>
    <xf numFmtId="176" fontId="2" fillId="8" borderId="65" xfId="0" applyNumberFormat="1" applyFont="1" applyFill="1" applyBorder="1" applyAlignment="1">
      <alignment horizontal="center" vertical="center" shrinkToFit="1"/>
    </xf>
    <xf numFmtId="176" fontId="2" fillId="8" borderId="45" xfId="0" applyNumberFormat="1" applyFont="1" applyFill="1" applyBorder="1" applyAlignment="1">
      <alignment horizontal="center" vertical="center" shrinkToFit="1"/>
    </xf>
    <xf numFmtId="0" fontId="8" fillId="8" borderId="59" xfId="0" applyFont="1" applyFill="1" applyBorder="1" applyAlignment="1">
      <alignment horizontal="center" vertical="center" shrinkToFit="1"/>
    </xf>
    <xf numFmtId="0" fontId="8" fillId="8" borderId="61" xfId="0" applyFont="1" applyFill="1" applyBorder="1" applyAlignment="1">
      <alignment horizontal="center" vertical="center" shrinkToFit="1"/>
    </xf>
    <xf numFmtId="0" fontId="9" fillId="8" borderId="61" xfId="0" applyFont="1" applyFill="1" applyBorder="1" applyAlignment="1">
      <alignment horizontal="center" vertical="center" shrinkToFit="1"/>
    </xf>
    <xf numFmtId="0" fontId="8" fillId="8" borderId="62" xfId="0" applyFont="1" applyFill="1" applyBorder="1" applyAlignment="1">
      <alignment horizontal="center" vertical="center" shrinkToFit="1"/>
    </xf>
    <xf numFmtId="0" fontId="8" fillId="8" borderId="64" xfId="0" applyFont="1" applyFill="1" applyBorder="1" applyAlignment="1">
      <alignment horizontal="center" vertical="center" shrinkToFit="1"/>
    </xf>
    <xf numFmtId="0" fontId="9" fillId="8" borderId="33" xfId="0" applyFont="1" applyFill="1" applyBorder="1" applyAlignment="1">
      <alignment horizontal="center" vertical="center" shrinkToFit="1"/>
    </xf>
    <xf numFmtId="0" fontId="9" fillId="8" borderId="0" xfId="0" applyFont="1" applyFill="1" applyBorder="1" applyAlignment="1">
      <alignment horizontal="center" vertical="center" shrinkToFit="1"/>
    </xf>
    <xf numFmtId="0" fontId="9" fillId="8" borderId="65" xfId="0" applyFont="1" applyFill="1" applyBorder="1" applyAlignment="1">
      <alignment horizontal="center" vertical="center" shrinkToFit="1"/>
    </xf>
    <xf numFmtId="0" fontId="9" fillId="8" borderId="45" xfId="0" applyFont="1" applyFill="1" applyBorder="1" applyAlignment="1">
      <alignment horizontal="center" vertical="center" shrinkToFit="1"/>
    </xf>
    <xf numFmtId="0" fontId="9" fillId="8" borderId="64" xfId="0" applyFont="1" applyFill="1" applyBorder="1" applyAlignment="1">
      <alignment horizontal="center" vertical="center" shrinkToFit="1"/>
    </xf>
    <xf numFmtId="0" fontId="2" fillId="8" borderId="13" xfId="0" applyNumberFormat="1" applyFont="1" applyFill="1" applyBorder="1" applyAlignment="1">
      <alignment horizontal="center" vertical="center" wrapText="1"/>
    </xf>
    <xf numFmtId="0" fontId="2" fillId="8" borderId="10" xfId="0" applyNumberFormat="1" applyFont="1" applyFill="1" applyBorder="1" applyAlignment="1">
      <alignment horizontal="center" vertical="center" wrapText="1"/>
    </xf>
    <xf numFmtId="0" fontId="2" fillId="8" borderId="56" xfId="0" applyNumberFormat="1" applyFont="1" applyFill="1" applyBorder="1" applyAlignment="1">
      <alignment horizontal="center" vertical="center" wrapText="1"/>
    </xf>
    <xf numFmtId="0" fontId="9" fillId="8" borderId="10" xfId="0" applyFont="1" applyFill="1" applyBorder="1" applyAlignment="1">
      <alignment horizontal="center" vertical="center" shrinkToFit="1"/>
    </xf>
    <xf numFmtId="176" fontId="2" fillId="0" borderId="27" xfId="0" applyNumberFormat="1" applyFont="1" applyFill="1" applyBorder="1" applyAlignment="1">
      <alignment horizontal="center" vertical="center" wrapText="1"/>
    </xf>
    <xf numFmtId="176" fontId="3" fillId="8" borderId="16" xfId="0" applyNumberFormat="1" applyFont="1" applyFill="1" applyBorder="1" applyAlignment="1">
      <alignment horizontal="center" vertical="center" wrapText="1"/>
    </xf>
    <xf numFmtId="176" fontId="3" fillId="8" borderId="2" xfId="0" applyNumberFormat="1" applyFont="1" applyFill="1" applyBorder="1" applyAlignment="1">
      <alignment horizontal="center" vertical="center" wrapText="1"/>
    </xf>
    <xf numFmtId="176" fontId="3" fillId="8" borderId="20" xfId="0" applyNumberFormat="1" applyFont="1" applyFill="1" applyBorder="1" applyAlignment="1">
      <alignment horizontal="center" vertical="center" wrapText="1"/>
    </xf>
    <xf numFmtId="176" fontId="3" fillId="8" borderId="13" xfId="0" applyNumberFormat="1" applyFont="1" applyFill="1" applyBorder="1" applyAlignment="1">
      <alignment horizontal="center" vertical="center" wrapText="1"/>
    </xf>
    <xf numFmtId="176" fontId="3" fillId="8" borderId="10" xfId="0" applyNumberFormat="1" applyFont="1" applyFill="1" applyBorder="1" applyAlignment="1">
      <alignment horizontal="center" vertical="center" wrapText="1"/>
    </xf>
    <xf numFmtId="176" fontId="3" fillId="8" borderId="56" xfId="0" applyNumberFormat="1" applyFont="1" applyFill="1" applyBorder="1" applyAlignment="1">
      <alignment horizontal="center" vertical="center" wrapText="1"/>
    </xf>
    <xf numFmtId="176" fontId="3" fillId="8" borderId="4" xfId="0" applyNumberFormat="1" applyFont="1" applyFill="1" applyBorder="1" applyAlignment="1">
      <alignment horizontal="center" vertical="center" wrapText="1"/>
    </xf>
    <xf numFmtId="176" fontId="3" fillId="8" borderId="9" xfId="0" applyNumberFormat="1" applyFont="1" applyFill="1" applyBorder="1" applyAlignment="1">
      <alignment vertical="center" wrapText="1"/>
    </xf>
    <xf numFmtId="176" fontId="3" fillId="8" borderId="56" xfId="0" applyNumberFormat="1" applyFont="1" applyFill="1" applyBorder="1" applyAlignment="1">
      <alignment vertical="center" wrapText="1"/>
    </xf>
    <xf numFmtId="176" fontId="3" fillId="8" borderId="13" xfId="0" applyNumberFormat="1" applyFont="1" applyFill="1" applyBorder="1" applyAlignment="1">
      <alignment vertical="center" wrapText="1"/>
    </xf>
    <xf numFmtId="176" fontId="3" fillId="8" borderId="10" xfId="0" applyNumberFormat="1" applyFont="1" applyFill="1" applyBorder="1" applyAlignment="1">
      <alignment vertical="center" wrapText="1"/>
    </xf>
    <xf numFmtId="176" fontId="3" fillId="0" borderId="24" xfId="0" applyNumberFormat="1" applyFont="1" applyFill="1" applyBorder="1" applyAlignment="1">
      <alignment vertical="center" wrapText="1"/>
    </xf>
    <xf numFmtId="0" fontId="9" fillId="8" borderId="3" xfId="0" applyFont="1" applyFill="1" applyBorder="1" applyAlignment="1">
      <alignment horizontal="center" vertical="center" shrinkToFit="1"/>
    </xf>
    <xf numFmtId="0" fontId="9" fillId="8" borderId="20" xfId="0" applyFont="1" applyFill="1" applyBorder="1" applyAlignment="1">
      <alignment horizontal="center" vertical="center" shrinkToFit="1"/>
    </xf>
    <xf numFmtId="0" fontId="9" fillId="8" borderId="2" xfId="0" applyFont="1" applyFill="1" applyBorder="1" applyAlignment="1">
      <alignment horizontal="center" vertical="center" shrinkToFit="1"/>
    </xf>
    <xf numFmtId="0" fontId="9" fillId="8" borderId="21" xfId="0" applyFont="1" applyFill="1" applyBorder="1" applyAlignment="1">
      <alignment horizontal="center" vertical="center" shrinkToFit="1"/>
    </xf>
    <xf numFmtId="0" fontId="8" fillId="8" borderId="2" xfId="0" applyFont="1" applyFill="1" applyBorder="1" applyAlignment="1">
      <alignment horizontal="center" vertical="center" shrinkToFit="1"/>
    </xf>
    <xf numFmtId="0" fontId="8" fillId="8" borderId="20" xfId="0" applyFont="1" applyFill="1" applyBorder="1" applyAlignment="1">
      <alignment horizontal="center" vertical="center" shrinkToFit="1"/>
    </xf>
    <xf numFmtId="0" fontId="8" fillId="8" borderId="74" xfId="0" applyFont="1" applyFill="1" applyBorder="1" applyAlignment="1">
      <alignment horizontal="center" vertical="center" shrinkToFit="1"/>
    </xf>
    <xf numFmtId="0" fontId="13" fillId="0" borderId="44" xfId="0" applyFont="1" applyBorder="1" applyAlignment="1">
      <alignment horizontal="center" vertical="center" shrinkToFit="1"/>
    </xf>
    <xf numFmtId="0" fontId="13" fillId="0" borderId="14" xfId="0" applyFont="1" applyBorder="1" applyAlignment="1">
      <alignment horizontal="center" vertical="center" shrinkToFit="1"/>
    </xf>
    <xf numFmtId="176" fontId="2" fillId="8" borderId="75" xfId="0" applyNumberFormat="1" applyFont="1" applyFill="1" applyBorder="1" applyAlignment="1">
      <alignment horizontal="center" vertical="center" shrinkToFit="1"/>
    </xf>
    <xf numFmtId="0" fontId="2" fillId="8" borderId="9" xfId="0" applyNumberFormat="1" applyFont="1" applyFill="1" applyBorder="1" applyAlignment="1">
      <alignment horizontal="center" vertical="center" wrapText="1"/>
    </xf>
    <xf numFmtId="176" fontId="2" fillId="0" borderId="4" xfId="0" applyNumberFormat="1" applyFont="1" applyFill="1" applyBorder="1" applyAlignment="1">
      <alignment horizontal="center" vertical="center" wrapText="1"/>
    </xf>
    <xf numFmtId="176" fontId="3" fillId="0" borderId="56" xfId="0" applyNumberFormat="1" applyFont="1" applyFill="1" applyBorder="1" applyAlignment="1">
      <alignment vertical="center" wrapText="1"/>
    </xf>
    <xf numFmtId="176" fontId="2" fillId="0" borderId="13" xfId="0" applyNumberFormat="1" applyFont="1" applyFill="1" applyBorder="1" applyAlignment="1" applyProtection="1">
      <alignment horizontal="center" vertical="center" wrapText="1"/>
    </xf>
    <xf numFmtId="176" fontId="3" fillId="8" borderId="16" xfId="0" applyNumberFormat="1" applyFont="1" applyFill="1" applyBorder="1" applyAlignment="1">
      <alignment vertical="center" wrapText="1"/>
    </xf>
    <xf numFmtId="176" fontId="2" fillId="0" borderId="20" xfId="0" applyNumberFormat="1" applyFont="1" applyFill="1" applyBorder="1" applyAlignment="1">
      <alignment horizontal="center" vertical="center" wrapText="1"/>
    </xf>
    <xf numFmtId="176" fontId="3" fillId="9" borderId="18" xfId="0" applyNumberFormat="1" applyFont="1" applyFill="1" applyBorder="1" applyAlignment="1">
      <alignment horizontal="center" vertical="center" wrapText="1"/>
    </xf>
    <xf numFmtId="0" fontId="9" fillId="8" borderId="13" xfId="0" applyFont="1" applyFill="1" applyBorder="1" applyAlignment="1">
      <alignment horizontal="center" vertical="center" shrinkToFit="1"/>
    </xf>
    <xf numFmtId="176" fontId="2" fillId="4" borderId="26" xfId="0" applyNumberFormat="1" applyFont="1" applyFill="1" applyBorder="1" applyAlignment="1">
      <alignment horizontal="center" vertical="center" wrapText="1"/>
    </xf>
    <xf numFmtId="176" fontId="2" fillId="4" borderId="27" xfId="0" applyNumberFormat="1" applyFont="1" applyFill="1" applyBorder="1" applyAlignment="1">
      <alignment horizontal="center" vertical="center" wrapText="1"/>
    </xf>
    <xf numFmtId="176" fontId="3" fillId="4" borderId="26" xfId="0" applyNumberFormat="1" applyFont="1" applyFill="1" applyBorder="1" applyAlignment="1">
      <alignment horizontal="center" vertical="center" wrapText="1"/>
    </xf>
    <xf numFmtId="176" fontId="3" fillId="4" borderId="6" xfId="0" applyNumberFormat="1" applyFont="1" applyFill="1" applyBorder="1" applyAlignment="1">
      <alignment horizontal="center" vertical="center" wrapText="1"/>
    </xf>
    <xf numFmtId="176" fontId="13" fillId="0" borderId="40" xfId="0" applyNumberFormat="1" applyFont="1" applyBorder="1" applyAlignment="1">
      <alignment horizontal="center" vertical="center" shrinkToFit="1"/>
    </xf>
    <xf numFmtId="0" fontId="13" fillId="0" borderId="40" xfId="0" applyFont="1" applyBorder="1" applyAlignment="1">
      <alignment horizontal="center" vertical="center" shrinkToFit="1"/>
    </xf>
    <xf numFmtId="176" fontId="13" fillId="0" borderId="76" xfId="0" applyNumberFormat="1" applyFont="1" applyBorder="1" applyAlignment="1">
      <alignment horizontal="center" vertical="center" shrinkToFit="1"/>
    </xf>
    <xf numFmtId="0" fontId="13" fillId="0" borderId="76" xfId="0" applyFont="1" applyBorder="1" applyAlignment="1">
      <alignment horizontal="center" vertical="center" shrinkToFit="1"/>
    </xf>
    <xf numFmtId="0" fontId="13" fillId="0" borderId="76" xfId="0" applyFont="1" applyFill="1" applyBorder="1" applyAlignment="1">
      <alignment horizontal="center" vertical="center" shrinkToFit="1"/>
    </xf>
    <xf numFmtId="176" fontId="3" fillId="4" borderId="41" xfId="0" applyNumberFormat="1" applyFont="1" applyFill="1" applyBorder="1" applyAlignment="1">
      <alignment horizontal="center" vertical="center" wrapText="1"/>
    </xf>
    <xf numFmtId="176" fontId="3" fillId="4" borderId="14" xfId="0" applyNumberFormat="1" applyFont="1" applyFill="1" applyBorder="1" applyAlignment="1">
      <alignment horizontal="center" vertical="center" wrapText="1"/>
    </xf>
    <xf numFmtId="176" fontId="3" fillId="4" borderId="40" xfId="0" applyNumberFormat="1" applyFont="1" applyFill="1" applyBorder="1" applyAlignment="1">
      <alignment horizontal="center" vertical="center" wrapText="1"/>
    </xf>
    <xf numFmtId="0" fontId="9" fillId="8" borderId="82" xfId="0" applyFont="1" applyFill="1" applyBorder="1" applyAlignment="1">
      <alignment horizontal="center" vertical="center" shrinkToFit="1"/>
    </xf>
    <xf numFmtId="176" fontId="13" fillId="0" borderId="76" xfId="0" applyNumberFormat="1" applyFont="1" applyFill="1" applyBorder="1" applyAlignment="1">
      <alignment horizontal="center" vertical="center" shrinkToFit="1"/>
    </xf>
    <xf numFmtId="0" fontId="13" fillId="0" borderId="83" xfId="0" applyFont="1" applyBorder="1" applyAlignment="1">
      <alignment horizontal="center" vertical="center" shrinkToFit="1"/>
    </xf>
    <xf numFmtId="176" fontId="2" fillId="5" borderId="63" xfId="0" applyNumberFormat="1" applyFont="1" applyFill="1" applyBorder="1" applyAlignment="1">
      <alignment vertical="center" wrapText="1"/>
    </xf>
    <xf numFmtId="176" fontId="2" fillId="5" borderId="28" xfId="0" applyNumberFormat="1" applyFont="1" applyFill="1" applyBorder="1" applyAlignment="1">
      <alignment vertical="center" wrapText="1"/>
    </xf>
    <xf numFmtId="176" fontId="2" fillId="6" borderId="63" xfId="0" applyNumberFormat="1" applyFont="1" applyFill="1" applyBorder="1" applyAlignment="1">
      <alignment vertical="center" wrapText="1"/>
    </xf>
    <xf numFmtId="176" fontId="2" fillId="6" borderId="28" xfId="0" applyNumberFormat="1" applyFont="1" applyFill="1" applyBorder="1" applyAlignment="1">
      <alignment vertical="center" wrapText="1"/>
    </xf>
    <xf numFmtId="176" fontId="2" fillId="7" borderId="63" xfId="0" applyNumberFormat="1" applyFont="1" applyFill="1" applyBorder="1" applyAlignment="1">
      <alignment vertical="center" wrapText="1"/>
    </xf>
    <xf numFmtId="176" fontId="2" fillId="7" borderId="28" xfId="0" applyNumberFormat="1" applyFont="1" applyFill="1" applyBorder="1" applyAlignment="1">
      <alignment vertical="center" wrapText="1"/>
    </xf>
    <xf numFmtId="176" fontId="2" fillId="8" borderId="84" xfId="0" applyNumberFormat="1" applyFont="1" applyFill="1" applyBorder="1" applyAlignment="1">
      <alignment horizontal="center" vertical="center" shrinkToFit="1"/>
    </xf>
    <xf numFmtId="176" fontId="2" fillId="8" borderId="18" xfId="0" applyNumberFormat="1" applyFont="1" applyFill="1" applyBorder="1" applyAlignment="1">
      <alignment vertical="center" wrapText="1"/>
    </xf>
    <xf numFmtId="176" fontId="2" fillId="8" borderId="16" xfId="0" applyNumberFormat="1" applyFont="1" applyFill="1" applyBorder="1" applyAlignment="1">
      <alignment vertical="center" wrapText="1"/>
    </xf>
    <xf numFmtId="0" fontId="14" fillId="0" borderId="13" xfId="0" applyNumberFormat="1" applyFont="1" applyFill="1" applyBorder="1" applyAlignment="1">
      <alignment horizontal="center" vertical="center" wrapText="1"/>
    </xf>
    <xf numFmtId="0" fontId="14" fillId="0" borderId="4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176" fontId="2" fillId="0" borderId="79" xfId="0" applyNumberFormat="1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shrinkToFit="1"/>
    </xf>
    <xf numFmtId="0" fontId="2" fillId="0" borderId="2" xfId="0" applyNumberFormat="1" applyFont="1" applyFill="1" applyBorder="1" applyAlignment="1">
      <alignment horizontal="center" vertical="center" wrapText="1"/>
    </xf>
    <xf numFmtId="176" fontId="2" fillId="0" borderId="12" xfId="0" applyNumberFormat="1" applyFont="1" applyFill="1" applyBorder="1" applyAlignment="1">
      <alignment horizontal="center" vertical="center" wrapText="1"/>
    </xf>
    <xf numFmtId="176" fontId="2" fillId="0" borderId="80" xfId="0" applyNumberFormat="1" applyFont="1" applyFill="1" applyBorder="1" applyAlignment="1">
      <alignment horizontal="center" vertical="center" wrapText="1"/>
    </xf>
    <xf numFmtId="0" fontId="2" fillId="0" borderId="27" xfId="0" applyNumberFormat="1" applyFont="1" applyFill="1" applyBorder="1" applyAlignment="1">
      <alignment horizontal="center" vertical="center" wrapText="1"/>
    </xf>
    <xf numFmtId="0" fontId="9" fillId="0" borderId="79" xfId="0" applyFont="1" applyFill="1" applyBorder="1" applyAlignment="1">
      <alignment horizontal="center" vertical="center" shrinkToFit="1"/>
    </xf>
    <xf numFmtId="0" fontId="9" fillId="0" borderId="41" xfId="0" applyFont="1" applyFill="1" applyBorder="1" applyAlignment="1">
      <alignment horizontal="center" vertical="center" wrapText="1" shrinkToFit="1"/>
    </xf>
    <xf numFmtId="0" fontId="2" fillId="0" borderId="16" xfId="0" applyNumberFormat="1" applyFont="1" applyFill="1" applyBorder="1" applyAlignment="1">
      <alignment horizontal="center" vertical="center" wrapText="1"/>
    </xf>
    <xf numFmtId="176" fontId="2" fillId="0" borderId="87" xfId="0" applyNumberFormat="1" applyFont="1" applyFill="1" applyBorder="1" applyAlignment="1">
      <alignment horizontal="center" vertical="center" wrapText="1"/>
    </xf>
    <xf numFmtId="0" fontId="9" fillId="0" borderId="87" xfId="0" applyFont="1" applyFill="1" applyBorder="1" applyAlignment="1">
      <alignment horizontal="center" vertical="center" wrapText="1" shrinkToFit="1"/>
    </xf>
    <xf numFmtId="0" fontId="9" fillId="0" borderId="20" xfId="0" applyFont="1" applyFill="1" applyBorder="1" applyAlignment="1">
      <alignment horizontal="center" vertical="center" shrinkToFit="1"/>
    </xf>
    <xf numFmtId="0" fontId="2" fillId="8" borderId="81" xfId="0" applyNumberFormat="1" applyFont="1" applyFill="1" applyBorder="1" applyAlignment="1">
      <alignment horizontal="center" vertical="center" wrapText="1"/>
    </xf>
    <xf numFmtId="0" fontId="9" fillId="8" borderId="18" xfId="0" applyFont="1" applyFill="1" applyBorder="1" applyAlignment="1">
      <alignment horizontal="center" vertical="center" shrinkToFit="1"/>
    </xf>
    <xf numFmtId="0" fontId="17" fillId="0" borderId="4" xfId="0" applyNumberFormat="1" applyFont="1" applyFill="1" applyBorder="1" applyAlignment="1">
      <alignment horizontal="center" vertical="center"/>
    </xf>
    <xf numFmtId="176" fontId="2" fillId="0" borderId="7" xfId="0" applyNumberFormat="1" applyFont="1" applyFill="1" applyBorder="1" applyAlignment="1">
      <alignment horizontal="center" vertical="center" wrapText="1"/>
    </xf>
    <xf numFmtId="176" fontId="2" fillId="8" borderId="24" xfId="0" applyNumberFormat="1" applyFont="1" applyFill="1" applyBorder="1" applyAlignment="1">
      <alignment horizontal="center" vertical="center" wrapText="1"/>
    </xf>
    <xf numFmtId="176" fontId="2" fillId="8" borderId="37" xfId="0" applyNumberFormat="1" applyFont="1" applyFill="1" applyBorder="1" applyAlignment="1">
      <alignment horizontal="center" vertical="center" wrapText="1"/>
    </xf>
    <xf numFmtId="0" fontId="9" fillId="8" borderId="58" xfId="0" applyFont="1" applyFill="1" applyBorder="1" applyAlignment="1">
      <alignment horizontal="center" vertical="center" shrinkToFit="1"/>
    </xf>
    <xf numFmtId="0" fontId="9" fillId="8" borderId="35" xfId="0" applyFont="1" applyFill="1" applyBorder="1" applyAlignment="1">
      <alignment horizontal="center" vertical="center" shrinkToFit="1"/>
    </xf>
    <xf numFmtId="0" fontId="9" fillId="8" borderId="24" xfId="0" applyFont="1" applyFill="1" applyBorder="1" applyAlignment="1">
      <alignment horizontal="center" vertical="center" shrinkToFit="1"/>
    </xf>
    <xf numFmtId="176" fontId="2" fillId="8" borderId="35" xfId="0" applyNumberFormat="1" applyFont="1" applyFill="1" applyBorder="1" applyAlignment="1">
      <alignment horizontal="center" vertical="center" wrapText="1"/>
    </xf>
    <xf numFmtId="0" fontId="9" fillId="8" borderId="49" xfId="0" applyFont="1" applyFill="1" applyBorder="1" applyAlignment="1">
      <alignment horizontal="center" vertical="center" shrinkToFit="1"/>
    </xf>
    <xf numFmtId="0" fontId="9" fillId="0" borderId="18" xfId="0" applyFont="1" applyFill="1" applyBorder="1" applyAlignment="1">
      <alignment horizontal="center" vertical="center" shrinkToFit="1"/>
    </xf>
    <xf numFmtId="176" fontId="2" fillId="0" borderId="22" xfId="0" applyNumberFormat="1" applyFont="1" applyFill="1" applyBorder="1" applyAlignment="1">
      <alignment horizontal="center" vertical="center" wrapText="1"/>
    </xf>
    <xf numFmtId="176" fontId="2" fillId="0" borderId="35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shrinkToFit="1"/>
    </xf>
    <xf numFmtId="176" fontId="2" fillId="3" borderId="88" xfId="0" applyNumberFormat="1" applyFont="1" applyFill="1" applyBorder="1" applyAlignment="1">
      <alignment horizontal="center" vertical="center" shrinkToFit="1"/>
    </xf>
    <xf numFmtId="176" fontId="2" fillId="3" borderId="8" xfId="0" applyNumberFormat="1" applyFont="1" applyFill="1" applyBorder="1" applyAlignment="1">
      <alignment horizontal="center" vertical="center" shrinkToFit="1"/>
    </xf>
    <xf numFmtId="176" fontId="7" fillId="8" borderId="80" xfId="0" applyNumberFormat="1" applyFont="1" applyFill="1" applyBorder="1" applyAlignment="1">
      <alignment horizontal="center" vertical="center" wrapText="1"/>
    </xf>
    <xf numFmtId="176" fontId="20" fillId="8" borderId="5" xfId="0" applyNumberFormat="1" applyFont="1" applyFill="1" applyBorder="1" applyAlignment="1">
      <alignment horizontal="center" vertical="center" wrapText="1"/>
    </xf>
    <xf numFmtId="176" fontId="21" fillId="8" borderId="80" xfId="0" applyNumberFormat="1" applyFont="1" applyFill="1" applyBorder="1" applyAlignment="1">
      <alignment horizontal="center" vertical="center" wrapText="1"/>
    </xf>
    <xf numFmtId="0" fontId="22" fillId="8" borderId="13" xfId="0" applyFont="1" applyFill="1" applyBorder="1" applyAlignment="1">
      <alignment horizontal="center" vertical="center" wrapText="1"/>
    </xf>
    <xf numFmtId="0" fontId="22" fillId="8" borderId="4" xfId="0" applyFont="1" applyFill="1" applyBorder="1" applyAlignment="1">
      <alignment horizontal="center" vertical="center" wrapText="1"/>
    </xf>
    <xf numFmtId="176" fontId="22" fillId="0" borderId="13" xfId="0" applyNumberFormat="1" applyFont="1" applyBorder="1" applyAlignment="1">
      <alignment horizontal="center" vertical="center" wrapText="1"/>
    </xf>
    <xf numFmtId="176" fontId="22" fillId="0" borderId="4" xfId="0" applyNumberFormat="1" applyFont="1" applyBorder="1" applyAlignment="1">
      <alignment horizontal="center" vertical="center" wrapText="1"/>
    </xf>
    <xf numFmtId="176" fontId="7" fillId="8" borderId="79" xfId="0" applyNumberFormat="1" applyFont="1" applyFill="1" applyBorder="1" applyAlignment="1">
      <alignment horizontal="center" vertical="center" wrapText="1"/>
    </xf>
    <xf numFmtId="176" fontId="20" fillId="8" borderId="15" xfId="0" applyNumberFormat="1" applyFont="1" applyFill="1" applyBorder="1" applyAlignment="1">
      <alignment horizontal="center" vertical="center" wrapText="1"/>
    </xf>
    <xf numFmtId="176" fontId="21" fillId="8" borderId="79" xfId="0" applyNumberFormat="1" applyFont="1" applyFill="1" applyBorder="1" applyAlignment="1">
      <alignment horizontal="center" vertical="center" wrapText="1"/>
    </xf>
    <xf numFmtId="0" fontId="22" fillId="8" borderId="18" xfId="0" applyFont="1" applyFill="1" applyBorder="1" applyAlignment="1">
      <alignment horizontal="center" vertical="center" wrapText="1"/>
    </xf>
    <xf numFmtId="0" fontId="22" fillId="8" borderId="16" xfId="0" applyFont="1" applyFill="1" applyBorder="1" applyAlignment="1">
      <alignment horizontal="center" vertical="center" wrapText="1"/>
    </xf>
    <xf numFmtId="176" fontId="22" fillId="0" borderId="18" xfId="0" applyNumberFormat="1" applyFont="1" applyBorder="1" applyAlignment="1">
      <alignment horizontal="center" vertical="center" wrapText="1"/>
    </xf>
    <xf numFmtId="176" fontId="22" fillId="0" borderId="16" xfId="0" applyNumberFormat="1" applyFont="1" applyBorder="1" applyAlignment="1">
      <alignment horizontal="center" vertical="center" wrapText="1"/>
    </xf>
    <xf numFmtId="0" fontId="21" fillId="8" borderId="79" xfId="0" applyFont="1" applyFill="1" applyBorder="1" applyAlignment="1">
      <alignment horizontal="center" vertical="center"/>
    </xf>
    <xf numFmtId="176" fontId="7" fillId="8" borderId="90" xfId="0" applyNumberFormat="1" applyFont="1" applyFill="1" applyBorder="1" applyAlignment="1">
      <alignment horizontal="center" vertical="center" wrapText="1"/>
    </xf>
    <xf numFmtId="176" fontId="20" fillId="8" borderId="1" xfId="0" applyNumberFormat="1" applyFont="1" applyFill="1" applyBorder="1" applyAlignment="1">
      <alignment horizontal="center" vertical="center" wrapText="1"/>
    </xf>
    <xf numFmtId="0" fontId="22" fillId="8" borderId="10" xfId="0" applyFont="1" applyFill="1" applyBorder="1" applyAlignment="1">
      <alignment horizontal="center" vertical="center" wrapText="1"/>
    </xf>
    <xf numFmtId="0" fontId="22" fillId="8" borderId="2" xfId="0" applyFont="1" applyFill="1" applyBorder="1" applyAlignment="1">
      <alignment horizontal="center" vertical="center" wrapText="1"/>
    </xf>
    <xf numFmtId="176" fontId="22" fillId="0" borderId="10" xfId="0" applyNumberFormat="1" applyFont="1" applyFill="1" applyBorder="1" applyAlignment="1">
      <alignment horizontal="center" vertical="center" wrapText="1"/>
    </xf>
    <xf numFmtId="176" fontId="22" fillId="0" borderId="2" xfId="0" applyNumberFormat="1" applyFont="1" applyBorder="1" applyAlignment="1">
      <alignment horizontal="center" vertical="center" wrapText="1"/>
    </xf>
    <xf numFmtId="176" fontId="22" fillId="0" borderId="10" xfId="0" applyNumberFormat="1" applyFont="1" applyBorder="1" applyAlignment="1">
      <alignment horizontal="center" vertical="center" wrapText="1"/>
    </xf>
    <xf numFmtId="176" fontId="20" fillId="8" borderId="11" xfId="0" applyNumberFormat="1" applyFont="1" applyFill="1" applyBorder="1" applyAlignment="1">
      <alignment horizontal="center" vertical="center" wrapText="1"/>
    </xf>
    <xf numFmtId="176" fontId="21" fillId="0" borderId="90" xfId="0" applyNumberFormat="1" applyFont="1" applyFill="1" applyBorder="1" applyAlignment="1">
      <alignment horizontal="center" vertical="center" wrapText="1"/>
    </xf>
    <xf numFmtId="0" fontId="22" fillId="8" borderId="56" xfId="0" applyFont="1" applyFill="1" applyBorder="1" applyAlignment="1">
      <alignment horizontal="center" vertical="center" wrapText="1"/>
    </xf>
    <xf numFmtId="0" fontId="22" fillId="8" borderId="20" xfId="0" applyFont="1" applyFill="1" applyBorder="1" applyAlignment="1">
      <alignment horizontal="center" vertical="center" wrapText="1"/>
    </xf>
    <xf numFmtId="176" fontId="22" fillId="0" borderId="9" xfId="0" applyNumberFormat="1" applyFont="1" applyBorder="1" applyAlignment="1">
      <alignment horizontal="center" vertical="center" wrapText="1"/>
    </xf>
    <xf numFmtId="176" fontId="22" fillId="0" borderId="3" xfId="0" applyNumberFormat="1" applyFont="1" applyFill="1" applyBorder="1" applyAlignment="1">
      <alignment horizontal="center" vertical="center" wrapText="1"/>
    </xf>
    <xf numFmtId="176" fontId="22" fillId="0" borderId="9" xfId="0" applyNumberFormat="1" applyFont="1" applyFill="1" applyBorder="1" applyAlignment="1">
      <alignment horizontal="center" vertical="center" wrapText="1"/>
    </xf>
    <xf numFmtId="176" fontId="22" fillId="0" borderId="3" xfId="0" applyNumberFormat="1" applyFont="1" applyBorder="1" applyAlignment="1">
      <alignment horizontal="center" vertical="center" wrapText="1"/>
    </xf>
    <xf numFmtId="0" fontId="22" fillId="0" borderId="4" xfId="0" applyFont="1" applyFill="1" applyBorder="1" applyAlignment="1">
      <alignment horizontal="center" vertical="center" wrapText="1"/>
    </xf>
    <xf numFmtId="176" fontId="22" fillId="0" borderId="13" xfId="0" applyNumberFormat="1" applyFont="1" applyFill="1" applyBorder="1" applyAlignment="1">
      <alignment horizontal="center" vertical="center" wrapText="1"/>
    </xf>
    <xf numFmtId="176" fontId="22" fillId="0" borderId="4" xfId="0" applyNumberFormat="1" applyFont="1" applyFill="1" applyBorder="1" applyAlignment="1">
      <alignment horizontal="center" vertical="center" wrapText="1"/>
    </xf>
    <xf numFmtId="0" fontId="22" fillId="0" borderId="2" xfId="0" applyFont="1" applyFill="1" applyBorder="1" applyAlignment="1">
      <alignment horizontal="center" vertical="center" wrapText="1"/>
    </xf>
    <xf numFmtId="176" fontId="22" fillId="0" borderId="2" xfId="0" applyNumberFormat="1" applyFont="1" applyFill="1" applyBorder="1" applyAlignment="1">
      <alignment horizontal="center" vertical="center" wrapText="1"/>
    </xf>
    <xf numFmtId="176" fontId="21" fillId="8" borderId="90" xfId="0" applyNumberFormat="1" applyFont="1" applyFill="1" applyBorder="1" applyAlignment="1">
      <alignment horizontal="center" vertical="center" wrapText="1"/>
    </xf>
    <xf numFmtId="0" fontId="22" fillId="0" borderId="20" xfId="0" applyFont="1" applyFill="1" applyBorder="1" applyAlignment="1">
      <alignment horizontal="center" vertical="center" wrapText="1"/>
    </xf>
    <xf numFmtId="176" fontId="22" fillId="0" borderId="56" xfId="0" applyNumberFormat="1" applyFont="1" applyFill="1" applyBorder="1" applyAlignment="1">
      <alignment horizontal="center" vertical="center" wrapText="1"/>
    </xf>
    <xf numFmtId="176" fontId="22" fillId="0" borderId="20" xfId="0" applyNumberFormat="1" applyFont="1" applyFill="1" applyBorder="1" applyAlignment="1">
      <alignment horizontal="center" vertical="center" wrapText="1"/>
    </xf>
    <xf numFmtId="176" fontId="2" fillId="8" borderId="80" xfId="0" applyNumberFormat="1" applyFont="1" applyFill="1" applyBorder="1" applyAlignment="1">
      <alignment horizontal="center" vertical="center" wrapText="1"/>
    </xf>
    <xf numFmtId="176" fontId="2" fillId="8" borderId="79" xfId="0" applyNumberFormat="1" applyFont="1" applyFill="1" applyBorder="1" applyAlignment="1">
      <alignment horizontal="center" vertical="center" wrapText="1"/>
    </xf>
    <xf numFmtId="176" fontId="21" fillId="8" borderId="79" xfId="0" applyNumberFormat="1" applyFont="1" applyFill="1" applyBorder="1" applyAlignment="1">
      <alignment horizontal="center" vertical="center" shrinkToFit="1"/>
    </xf>
    <xf numFmtId="176" fontId="2" fillId="8" borderId="90" xfId="0" applyNumberFormat="1" applyFont="1" applyFill="1" applyBorder="1" applyAlignment="1">
      <alignment horizontal="center" vertical="center" wrapText="1"/>
    </xf>
    <xf numFmtId="176" fontId="21" fillId="8" borderId="90" xfId="0" applyNumberFormat="1" applyFont="1" applyFill="1" applyBorder="1" applyAlignment="1">
      <alignment horizontal="center" vertical="center" shrinkToFit="1"/>
    </xf>
    <xf numFmtId="176" fontId="23" fillId="2" borderId="35" xfId="0" applyNumberFormat="1" applyFont="1" applyFill="1" applyBorder="1" applyAlignment="1">
      <alignment vertical="center" shrinkToFit="1"/>
    </xf>
    <xf numFmtId="176" fontId="20" fillId="8" borderId="36" xfId="0" applyNumberFormat="1" applyFont="1" applyFill="1" applyBorder="1" applyAlignment="1">
      <alignment horizontal="center" vertical="center" wrapText="1"/>
    </xf>
    <xf numFmtId="176" fontId="21" fillId="8" borderId="89" xfId="0" applyNumberFormat="1" applyFont="1" applyFill="1" applyBorder="1" applyAlignment="1">
      <alignment horizontal="center" vertical="center" wrapText="1"/>
    </xf>
    <xf numFmtId="0" fontId="21" fillId="8" borderId="24" xfId="0" applyFont="1" applyFill="1" applyBorder="1" applyAlignment="1">
      <alignment horizontal="center" vertical="center" wrapText="1"/>
    </xf>
    <xf numFmtId="0" fontId="21" fillId="0" borderId="21" xfId="0" applyFont="1" applyFill="1" applyBorder="1" applyAlignment="1">
      <alignment horizontal="center" vertical="center" wrapText="1"/>
    </xf>
    <xf numFmtId="0" fontId="24" fillId="8" borderId="35" xfId="0" applyNumberFormat="1" applyFont="1" applyFill="1" applyBorder="1" applyAlignment="1">
      <alignment horizontal="center" vertical="center" wrapText="1"/>
    </xf>
    <xf numFmtId="0" fontId="24" fillId="8" borderId="38" xfId="0" applyNumberFormat="1" applyFont="1" applyFill="1" applyBorder="1" applyAlignment="1">
      <alignment horizontal="center" vertical="center" wrapText="1"/>
    </xf>
    <xf numFmtId="176" fontId="24" fillId="8" borderId="29" xfId="0" applyNumberFormat="1" applyFont="1" applyFill="1" applyBorder="1" applyAlignment="1">
      <alignment horizontal="center" vertical="center" wrapText="1"/>
    </xf>
    <xf numFmtId="176" fontId="24" fillId="8" borderId="38" xfId="0" applyNumberFormat="1" applyFont="1" applyFill="1" applyBorder="1" applyAlignment="1">
      <alignment horizontal="center" vertical="center" wrapText="1"/>
    </xf>
    <xf numFmtId="176" fontId="23" fillId="0" borderId="29" xfId="0" applyNumberFormat="1" applyFont="1" applyFill="1" applyBorder="1" applyAlignment="1">
      <alignment horizontal="center" vertical="center" wrapText="1"/>
    </xf>
    <xf numFmtId="176" fontId="23" fillId="0" borderId="38" xfId="0" applyNumberFormat="1" applyFont="1" applyBorder="1" applyAlignment="1">
      <alignment horizontal="center" vertical="center" wrapText="1"/>
    </xf>
    <xf numFmtId="176" fontId="23" fillId="2" borderId="76" xfId="0" applyNumberFormat="1" applyFont="1" applyFill="1" applyBorder="1" applyAlignment="1">
      <alignment horizontal="center" vertical="center" wrapText="1"/>
    </xf>
    <xf numFmtId="176" fontId="20" fillId="8" borderId="91" xfId="0" applyNumberFormat="1" applyFont="1" applyFill="1" applyBorder="1" applyAlignment="1">
      <alignment horizontal="center" vertical="center" wrapText="1"/>
    </xf>
    <xf numFmtId="176" fontId="21" fillId="8" borderId="92" xfId="0" applyNumberFormat="1" applyFont="1" applyFill="1" applyBorder="1" applyAlignment="1">
      <alignment horizontal="center" vertical="center" wrapText="1"/>
    </xf>
    <xf numFmtId="0" fontId="22" fillId="8" borderId="76" xfId="0" applyFont="1" applyFill="1" applyBorder="1" applyAlignment="1">
      <alignment horizontal="center" vertical="center" wrapText="1"/>
    </xf>
    <xf numFmtId="0" fontId="22" fillId="0" borderId="28" xfId="0" applyFont="1" applyFill="1" applyBorder="1" applyAlignment="1">
      <alignment horizontal="center" vertical="center" wrapText="1"/>
    </xf>
    <xf numFmtId="0" fontId="24" fillId="8" borderId="76" xfId="0" applyNumberFormat="1" applyFont="1" applyFill="1" applyBorder="1" applyAlignment="1">
      <alignment horizontal="center" vertical="center" wrapText="1"/>
    </xf>
    <xf numFmtId="0" fontId="24" fillId="8" borderId="28" xfId="0" applyNumberFormat="1" applyFont="1" applyFill="1" applyBorder="1" applyAlignment="1">
      <alignment horizontal="center" vertical="center" wrapText="1"/>
    </xf>
    <xf numFmtId="176" fontId="24" fillId="8" borderId="63" xfId="0" applyNumberFormat="1" applyFont="1" applyFill="1" applyBorder="1" applyAlignment="1">
      <alignment horizontal="center" vertical="center" wrapText="1"/>
    </xf>
    <xf numFmtId="176" fontId="24" fillId="8" borderId="28" xfId="0" applyNumberFormat="1" applyFont="1" applyFill="1" applyBorder="1" applyAlignment="1">
      <alignment horizontal="center" vertical="center" wrapText="1"/>
    </xf>
    <xf numFmtId="176" fontId="23" fillId="0" borderId="63" xfId="0" applyNumberFormat="1" applyFont="1" applyFill="1" applyBorder="1" applyAlignment="1">
      <alignment horizontal="center" vertical="center" wrapText="1"/>
    </xf>
    <xf numFmtId="0" fontId="23" fillId="0" borderId="28" xfId="0" applyNumberFormat="1" applyFont="1" applyFill="1" applyBorder="1" applyAlignment="1">
      <alignment horizontal="center" vertical="center"/>
    </xf>
    <xf numFmtId="176" fontId="21" fillId="8" borderId="80" xfId="0" applyNumberFormat="1" applyFont="1" applyFill="1" applyBorder="1" applyAlignment="1">
      <alignment horizontal="center" vertical="center" shrinkToFit="1"/>
    </xf>
    <xf numFmtId="0" fontId="24" fillId="8" borderId="13" xfId="0" applyNumberFormat="1" applyFont="1" applyFill="1" applyBorder="1" applyAlignment="1">
      <alignment horizontal="center" vertical="center" wrapText="1"/>
    </xf>
    <xf numFmtId="0" fontId="24" fillId="8" borderId="4" xfId="0" applyNumberFormat="1" applyFont="1" applyFill="1" applyBorder="1" applyAlignment="1">
      <alignment horizontal="center" vertical="center" wrapText="1"/>
    </xf>
    <xf numFmtId="176" fontId="24" fillId="8" borderId="12" xfId="0" applyNumberFormat="1" applyFont="1" applyFill="1" applyBorder="1" applyAlignment="1">
      <alignment horizontal="center" vertical="center" wrapText="1"/>
    </xf>
    <xf numFmtId="176" fontId="24" fillId="8" borderId="4" xfId="0" applyNumberFormat="1" applyFont="1" applyFill="1" applyBorder="1" applyAlignment="1">
      <alignment horizontal="center" vertical="center" wrapText="1"/>
    </xf>
    <xf numFmtId="0" fontId="24" fillId="8" borderId="37" xfId="0" applyNumberFormat="1" applyFont="1" applyFill="1" applyBorder="1" applyAlignment="1">
      <alignment horizontal="center" vertical="center" wrapText="1"/>
    </xf>
    <xf numFmtId="0" fontId="24" fillId="8" borderId="27" xfId="0" applyNumberFormat="1" applyFont="1" applyFill="1" applyBorder="1" applyAlignment="1">
      <alignment horizontal="center" vertical="center" wrapText="1"/>
    </xf>
    <xf numFmtId="176" fontId="24" fillId="8" borderId="26" xfId="0" applyNumberFormat="1" applyFont="1" applyFill="1" applyBorder="1" applyAlignment="1">
      <alignment horizontal="center" vertical="center" wrapText="1"/>
    </xf>
    <xf numFmtId="176" fontId="24" fillId="8" borderId="27" xfId="0" applyNumberFormat="1" applyFont="1" applyFill="1" applyBorder="1" applyAlignment="1">
      <alignment horizontal="center" vertical="center" wrapText="1"/>
    </xf>
    <xf numFmtId="176" fontId="20" fillId="8" borderId="45" xfId="0" applyNumberFormat="1" applyFont="1" applyFill="1" applyBorder="1" applyAlignment="1">
      <alignment horizontal="center" vertical="center" wrapText="1"/>
    </xf>
    <xf numFmtId="176" fontId="21" fillId="8" borderId="77" xfId="0" applyNumberFormat="1" applyFont="1" applyFill="1" applyBorder="1" applyAlignment="1">
      <alignment horizontal="center" vertical="center" shrinkToFit="1"/>
    </xf>
    <xf numFmtId="0" fontId="22" fillId="8" borderId="12" xfId="0" applyFont="1" applyFill="1" applyBorder="1" applyAlignment="1">
      <alignment horizontal="center" vertical="center" wrapText="1"/>
    </xf>
    <xf numFmtId="0" fontId="22" fillId="0" borderId="80" xfId="0" applyFont="1" applyFill="1" applyBorder="1" applyAlignment="1">
      <alignment horizontal="center" vertical="center" wrapText="1"/>
    </xf>
    <xf numFmtId="176" fontId="20" fillId="8" borderId="65" xfId="0" applyNumberFormat="1" applyFont="1" applyFill="1" applyBorder="1" applyAlignment="1">
      <alignment horizontal="center" vertical="center" wrapText="1"/>
    </xf>
    <xf numFmtId="176" fontId="21" fillId="0" borderId="93" xfId="0" applyNumberFormat="1" applyFont="1" applyFill="1" applyBorder="1" applyAlignment="1">
      <alignment horizontal="center" vertical="center" shrinkToFit="1"/>
    </xf>
    <xf numFmtId="0" fontId="22" fillId="0" borderId="8" xfId="0" applyFont="1" applyFill="1" applyBorder="1" applyAlignment="1">
      <alignment horizontal="center" vertical="center" wrapText="1"/>
    </xf>
    <xf numFmtId="0" fontId="22" fillId="0" borderId="88" xfId="0" applyFont="1" applyFill="1" applyBorder="1" applyAlignment="1">
      <alignment horizontal="center" vertical="center" wrapText="1"/>
    </xf>
    <xf numFmtId="0" fontId="22" fillId="8" borderId="80" xfId="0" applyFont="1" applyFill="1" applyBorder="1" applyAlignment="1">
      <alignment horizontal="center" vertical="center" wrapText="1"/>
    </xf>
    <xf numFmtId="176" fontId="22" fillId="8" borderId="5" xfId="0" applyNumberFormat="1" applyFont="1" applyFill="1" applyBorder="1" applyAlignment="1">
      <alignment horizontal="center" vertical="center" wrapText="1"/>
    </xf>
    <xf numFmtId="176" fontId="21" fillId="8" borderId="86" xfId="0" applyNumberFormat="1" applyFont="1" applyFill="1" applyBorder="1" applyAlignment="1">
      <alignment horizontal="center" vertical="center" shrinkToFit="1"/>
    </xf>
    <xf numFmtId="0" fontId="22" fillId="8" borderId="94" xfId="0" applyFont="1" applyFill="1" applyBorder="1" applyAlignment="1">
      <alignment horizontal="center" vertical="center" wrapText="1"/>
    </xf>
    <xf numFmtId="0" fontId="22" fillId="8" borderId="90" xfId="0" applyFont="1" applyFill="1" applyBorder="1" applyAlignment="1">
      <alignment horizontal="center" vertical="center" wrapText="1"/>
    </xf>
    <xf numFmtId="176" fontId="22" fillId="8" borderId="11" xfId="0" applyNumberFormat="1" applyFont="1" applyFill="1" applyBorder="1" applyAlignment="1">
      <alignment horizontal="center" vertical="center" wrapText="1"/>
    </xf>
    <xf numFmtId="176" fontId="26" fillId="8" borderId="77" xfId="0" applyNumberFormat="1" applyFont="1" applyFill="1" applyBorder="1" applyAlignment="1">
      <alignment horizontal="center" vertical="center" wrapText="1"/>
    </xf>
    <xf numFmtId="176" fontId="21" fillId="8" borderId="64" xfId="0" applyNumberFormat="1" applyFont="1" applyFill="1" applyBorder="1" applyAlignment="1">
      <alignment horizontal="center" vertical="center" wrapText="1"/>
    </xf>
    <xf numFmtId="176" fontId="21" fillId="8" borderId="31" xfId="0" applyNumberFormat="1" applyFont="1" applyFill="1" applyBorder="1" applyAlignment="1">
      <alignment horizontal="center" vertical="center" wrapText="1"/>
    </xf>
    <xf numFmtId="0" fontId="21" fillId="8" borderId="13" xfId="0" applyFont="1" applyFill="1" applyBorder="1" applyAlignment="1">
      <alignment horizontal="center" vertical="center" wrapText="1"/>
    </xf>
    <xf numFmtId="0" fontId="21" fillId="8" borderId="4" xfId="0" applyFont="1" applyFill="1" applyBorder="1" applyAlignment="1">
      <alignment horizontal="center" vertical="center" wrapText="1"/>
    </xf>
    <xf numFmtId="176" fontId="27" fillId="8" borderId="95" xfId="0" applyNumberFormat="1" applyFont="1" applyFill="1" applyBorder="1" applyAlignment="1">
      <alignment horizontal="center" vertical="center" wrapText="1"/>
    </xf>
    <xf numFmtId="176" fontId="20" fillId="8" borderId="75" xfId="0" applyNumberFormat="1" applyFont="1" applyFill="1" applyBorder="1" applyAlignment="1">
      <alignment horizontal="center" vertical="center" wrapText="1"/>
    </xf>
    <xf numFmtId="176" fontId="21" fillId="8" borderId="95" xfId="0" applyNumberFormat="1" applyFont="1" applyFill="1" applyBorder="1" applyAlignment="1">
      <alignment horizontal="center" vertical="center" shrinkToFit="1"/>
    </xf>
    <xf numFmtId="0" fontId="24" fillId="8" borderId="10" xfId="0" applyNumberFormat="1" applyFont="1" applyFill="1" applyBorder="1" applyAlignment="1">
      <alignment horizontal="center" vertical="center" wrapText="1"/>
    </xf>
    <xf numFmtId="0" fontId="24" fillId="8" borderId="2" xfId="0" applyNumberFormat="1" applyFont="1" applyFill="1" applyBorder="1" applyAlignment="1">
      <alignment horizontal="center" vertical="center" wrapText="1"/>
    </xf>
    <xf numFmtId="176" fontId="24" fillId="8" borderId="8" xfId="0" applyNumberFormat="1" applyFont="1" applyFill="1" applyBorder="1" applyAlignment="1">
      <alignment horizontal="center" vertical="center" wrapText="1"/>
    </xf>
    <xf numFmtId="176" fontId="24" fillId="8" borderId="3" xfId="0" applyNumberFormat="1" applyFont="1" applyFill="1" applyBorder="1" applyAlignment="1">
      <alignment horizontal="center" vertical="center" wrapText="1"/>
    </xf>
    <xf numFmtId="176" fontId="22" fillId="8" borderId="7" xfId="0" applyNumberFormat="1" applyFont="1" applyFill="1" applyBorder="1" applyAlignment="1">
      <alignment horizontal="center" vertical="center" wrapText="1"/>
    </xf>
    <xf numFmtId="176" fontId="22" fillId="8" borderId="2" xfId="0" applyNumberFormat="1" applyFont="1" applyFill="1" applyBorder="1" applyAlignment="1">
      <alignment horizontal="center" vertical="center" wrapText="1"/>
    </xf>
    <xf numFmtId="176" fontId="21" fillId="8" borderId="93" xfId="0" applyNumberFormat="1" applyFont="1" applyFill="1" applyBorder="1" applyAlignment="1">
      <alignment horizontal="center" vertical="center" shrinkToFit="1"/>
    </xf>
    <xf numFmtId="0" fontId="22" fillId="8" borderId="9" xfId="0" applyFont="1" applyFill="1" applyBorder="1" applyAlignment="1">
      <alignment horizontal="center" vertical="center" wrapText="1"/>
    </xf>
    <xf numFmtId="0" fontId="22" fillId="8" borderId="3" xfId="0" applyFont="1" applyFill="1" applyBorder="1" applyAlignment="1">
      <alignment horizontal="center" vertical="center" wrapText="1"/>
    </xf>
    <xf numFmtId="0" fontId="24" fillId="8" borderId="9" xfId="0" applyNumberFormat="1" applyFont="1" applyFill="1" applyBorder="1" applyAlignment="1">
      <alignment horizontal="center" vertical="center" wrapText="1"/>
    </xf>
    <xf numFmtId="0" fontId="24" fillId="8" borderId="3" xfId="0" applyNumberFormat="1" applyFont="1" applyFill="1" applyBorder="1" applyAlignment="1">
      <alignment horizontal="center" vertical="center" wrapText="1"/>
    </xf>
    <xf numFmtId="176" fontId="22" fillId="8" borderId="8" xfId="0" applyNumberFormat="1" applyFont="1" applyFill="1" applyBorder="1" applyAlignment="1">
      <alignment horizontal="center" vertical="center" wrapText="1"/>
    </xf>
    <xf numFmtId="176" fontId="22" fillId="8" borderId="3" xfId="0" applyNumberFormat="1" applyFont="1" applyFill="1" applyBorder="1" applyAlignment="1">
      <alignment horizontal="center" vertical="center" wrapText="1"/>
    </xf>
    <xf numFmtId="176" fontId="24" fillId="13" borderId="49" xfId="0" applyNumberFormat="1" applyFont="1" applyFill="1" applyBorder="1" applyAlignment="1">
      <alignment vertical="center" wrapText="1"/>
    </xf>
    <xf numFmtId="176" fontId="24" fillId="13" borderId="64" xfId="0" applyNumberFormat="1" applyFont="1" applyFill="1" applyBorder="1" applyAlignment="1">
      <alignment horizontal="center" vertical="center" wrapText="1"/>
    </xf>
    <xf numFmtId="176" fontId="24" fillId="13" borderId="64" xfId="0" applyNumberFormat="1" applyFont="1" applyFill="1" applyBorder="1" applyAlignment="1">
      <alignment horizontal="center" vertical="center" shrinkToFit="1"/>
    </xf>
    <xf numFmtId="0" fontId="24" fillId="13" borderId="64" xfId="0" applyNumberFormat="1" applyFont="1" applyFill="1" applyBorder="1" applyAlignment="1">
      <alignment horizontal="center" vertical="center" wrapText="1"/>
    </xf>
    <xf numFmtId="0" fontId="24" fillId="13" borderId="31" xfId="0" applyNumberFormat="1" applyFont="1" applyFill="1" applyBorder="1" applyAlignment="1">
      <alignment horizontal="center" vertical="center" wrapText="1"/>
    </xf>
    <xf numFmtId="0" fontId="24" fillId="13" borderId="96" xfId="0" applyNumberFormat="1" applyFont="1" applyFill="1" applyBorder="1" applyAlignment="1">
      <alignment horizontal="center" vertical="center" wrapText="1"/>
    </xf>
    <xf numFmtId="176" fontId="24" fillId="13" borderId="0" xfId="0" applyNumberFormat="1" applyFont="1" applyFill="1" applyBorder="1" applyAlignment="1">
      <alignment horizontal="center" vertical="center" wrapText="1"/>
    </xf>
    <xf numFmtId="176" fontId="24" fillId="13" borderId="0" xfId="0" applyNumberFormat="1" applyFont="1" applyFill="1" applyBorder="1" applyAlignment="1">
      <alignment horizontal="center" vertical="center" shrinkToFit="1"/>
    </xf>
    <xf numFmtId="0" fontId="24" fillId="13" borderId="0" xfId="0" applyNumberFormat="1" applyFont="1" applyFill="1" applyBorder="1" applyAlignment="1">
      <alignment horizontal="center" vertical="center" wrapText="1"/>
    </xf>
    <xf numFmtId="0" fontId="24" fillId="13" borderId="32" xfId="0" applyNumberFormat="1" applyFont="1" applyFill="1" applyBorder="1" applyAlignment="1">
      <alignment horizontal="center" vertical="center" wrapText="1"/>
    </xf>
    <xf numFmtId="0" fontId="24" fillId="13" borderId="81" xfId="0" applyNumberFormat="1" applyFont="1" applyFill="1" applyBorder="1" applyAlignment="1">
      <alignment horizontal="center" vertical="center" wrapText="1"/>
    </xf>
    <xf numFmtId="176" fontId="16" fillId="8" borderId="30" xfId="0" applyNumberFormat="1" applyFont="1" applyFill="1" applyBorder="1" applyAlignment="1">
      <alignment horizontal="center" vertical="center" shrinkToFit="1"/>
    </xf>
    <xf numFmtId="176" fontId="2" fillId="8" borderId="88" xfId="0" applyNumberFormat="1" applyFont="1" applyFill="1" applyBorder="1" applyAlignment="1">
      <alignment horizontal="center" vertical="center" wrapText="1"/>
    </xf>
    <xf numFmtId="176" fontId="2" fillId="0" borderId="90" xfId="0" applyNumberFormat="1" applyFont="1" applyFill="1" applyBorder="1" applyAlignment="1">
      <alignment horizontal="center" vertical="center" wrapText="1"/>
    </xf>
    <xf numFmtId="0" fontId="9" fillId="8" borderId="97" xfId="0" applyFont="1" applyFill="1" applyBorder="1" applyAlignment="1">
      <alignment horizontal="center" vertical="center" shrinkToFit="1"/>
    </xf>
    <xf numFmtId="0" fontId="29" fillId="8" borderId="66" xfId="0" applyFont="1" applyFill="1" applyBorder="1" applyAlignment="1">
      <alignment horizontal="center" vertical="center" shrinkToFit="1"/>
    </xf>
    <xf numFmtId="0" fontId="21" fillId="0" borderId="12" xfId="0" applyFont="1" applyFill="1" applyBorder="1" applyAlignment="1">
      <alignment horizontal="center" vertical="center"/>
    </xf>
    <xf numFmtId="0" fontId="21" fillId="0" borderId="64" xfId="0" applyFont="1" applyFill="1" applyBorder="1" applyAlignment="1">
      <alignment horizontal="center" vertical="center"/>
    </xf>
    <xf numFmtId="176" fontId="21" fillId="8" borderId="23" xfId="0" applyNumberFormat="1" applyFont="1" applyFill="1" applyBorder="1" applyAlignment="1">
      <alignment horizontal="center" vertical="center" shrinkToFit="1"/>
    </xf>
    <xf numFmtId="0" fontId="21" fillId="0" borderId="13" xfId="0" applyFont="1" applyFill="1" applyBorder="1" applyAlignment="1">
      <alignment horizontal="center" vertical="center"/>
    </xf>
    <xf numFmtId="0" fontId="21" fillId="0" borderId="96" xfId="0" applyFont="1" applyFill="1" applyBorder="1" applyAlignment="1">
      <alignment horizontal="center" vertical="center"/>
    </xf>
    <xf numFmtId="176" fontId="30" fillId="14" borderId="77" xfId="0" applyNumberFormat="1" applyFont="1" applyFill="1" applyBorder="1" applyAlignment="1">
      <alignment horizontal="center" vertical="center" wrapText="1"/>
    </xf>
    <xf numFmtId="176" fontId="24" fillId="0" borderId="22" xfId="0" applyNumberFormat="1" applyFont="1" applyFill="1" applyBorder="1" applyAlignment="1">
      <alignment horizontal="center" vertical="center" wrapText="1"/>
    </xf>
    <xf numFmtId="176" fontId="24" fillId="0" borderId="21" xfId="0" applyNumberFormat="1" applyFont="1" applyFill="1" applyBorder="1" applyAlignment="1">
      <alignment horizontal="center" vertical="center" wrapText="1"/>
    </xf>
    <xf numFmtId="0" fontId="9" fillId="8" borderId="98" xfId="0" applyFont="1" applyFill="1" applyBorder="1" applyAlignment="1">
      <alignment horizontal="center" vertical="center" shrinkToFit="1"/>
    </xf>
    <xf numFmtId="0" fontId="9" fillId="8" borderId="47" xfId="0" applyFont="1" applyFill="1" applyBorder="1" applyAlignment="1">
      <alignment horizontal="center" vertical="center" shrinkToFit="1"/>
    </xf>
    <xf numFmtId="0" fontId="21" fillId="0" borderId="1" xfId="0" applyFont="1" applyFill="1" applyBorder="1" applyAlignment="1">
      <alignment horizontal="center" vertical="center"/>
    </xf>
    <xf numFmtId="0" fontId="21" fillId="0" borderId="79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21" fillId="0" borderId="2" xfId="0" applyFont="1" applyFill="1" applyBorder="1" applyAlignment="1">
      <alignment horizontal="center" vertical="center"/>
    </xf>
    <xf numFmtId="176" fontId="30" fillId="0" borderId="81" xfId="0" applyNumberFormat="1" applyFont="1" applyFill="1" applyBorder="1" applyAlignment="1">
      <alignment horizontal="center" vertical="center" wrapText="1"/>
    </xf>
    <xf numFmtId="176" fontId="22" fillId="0" borderId="32" xfId="0" applyNumberFormat="1" applyFont="1" applyBorder="1" applyAlignment="1">
      <alignment horizontal="center" vertical="center" wrapText="1"/>
    </xf>
    <xf numFmtId="176" fontId="24" fillId="0" borderId="7" xfId="0" applyNumberFormat="1" applyFont="1" applyFill="1" applyBorder="1" applyAlignment="1">
      <alignment horizontal="center" vertical="center" wrapText="1"/>
    </xf>
    <xf numFmtId="176" fontId="24" fillId="0" borderId="2" xfId="0" applyNumberFormat="1" applyFont="1" applyFill="1" applyBorder="1" applyAlignment="1">
      <alignment horizontal="center" vertical="center" wrapText="1"/>
    </xf>
    <xf numFmtId="0" fontId="9" fillId="8" borderId="99" xfId="0" applyFont="1" applyFill="1" applyBorder="1" applyAlignment="1">
      <alignment horizontal="center" vertical="center" shrinkToFit="1"/>
    </xf>
    <xf numFmtId="0" fontId="9" fillId="8" borderId="48" xfId="0" applyFont="1" applyFill="1" applyBorder="1" applyAlignment="1">
      <alignment horizontal="center" vertical="center" shrinkToFit="1"/>
    </xf>
    <xf numFmtId="176" fontId="21" fillId="8" borderId="87" xfId="0" applyNumberFormat="1" applyFont="1" applyFill="1" applyBorder="1" applyAlignment="1">
      <alignment horizontal="center" vertical="center" wrapText="1"/>
    </xf>
    <xf numFmtId="176" fontId="22" fillId="0" borderId="81" xfId="0" applyNumberFormat="1" applyFont="1" applyFill="1" applyBorder="1" applyAlignment="1">
      <alignment horizontal="center" vertical="center" wrapText="1"/>
    </xf>
    <xf numFmtId="176" fontId="24" fillId="0" borderId="1" xfId="0" applyNumberFormat="1" applyFont="1" applyFill="1" applyBorder="1" applyAlignment="1">
      <alignment horizontal="center" vertical="center" wrapText="1"/>
    </xf>
    <xf numFmtId="0" fontId="9" fillId="8" borderId="46" xfId="0" applyFont="1" applyFill="1" applyBorder="1" applyAlignment="1">
      <alignment horizontal="center" vertical="center" shrinkToFit="1"/>
    </xf>
    <xf numFmtId="176" fontId="20" fillId="8" borderId="26" xfId="0" applyNumberFormat="1" applyFont="1" applyFill="1" applyBorder="1" applyAlignment="1">
      <alignment horizontal="center" vertical="center" wrapText="1"/>
    </xf>
    <xf numFmtId="176" fontId="22" fillId="0" borderId="78" xfId="0" applyNumberFormat="1" applyFont="1" applyFill="1" applyBorder="1" applyAlignment="1">
      <alignment horizontal="center" vertical="center" wrapText="1"/>
    </xf>
    <xf numFmtId="176" fontId="22" fillId="0" borderId="25" xfId="0" applyNumberFormat="1" applyFont="1" applyBorder="1" applyAlignment="1">
      <alignment horizontal="center" vertical="center" wrapText="1"/>
    </xf>
    <xf numFmtId="176" fontId="24" fillId="0" borderId="26" xfId="0" applyNumberFormat="1" applyFont="1" applyFill="1" applyBorder="1" applyAlignment="1">
      <alignment horizontal="center" vertical="center" wrapText="1"/>
    </xf>
    <xf numFmtId="176" fontId="24" fillId="0" borderId="27" xfId="0" applyNumberFormat="1" applyFont="1" applyFill="1" applyBorder="1" applyAlignment="1">
      <alignment horizontal="center" vertical="center" wrapText="1"/>
    </xf>
    <xf numFmtId="176" fontId="20" fillId="8" borderId="22" xfId="0" applyNumberFormat="1" applyFont="1" applyFill="1" applyBorder="1" applyAlignment="1">
      <alignment horizontal="center" vertical="center" wrapText="1"/>
    </xf>
    <xf numFmtId="176" fontId="21" fillId="8" borderId="80" xfId="0" applyNumberFormat="1" applyFont="1" applyFill="1" applyBorder="1" applyAlignment="1">
      <alignment horizontal="center" vertical="center" wrapText="1" shrinkToFit="1"/>
    </xf>
    <xf numFmtId="0" fontId="24" fillId="8" borderId="17" xfId="0" applyNumberFormat="1" applyFont="1" applyFill="1" applyBorder="1" applyAlignment="1">
      <alignment horizontal="center" vertical="center" wrapText="1"/>
    </xf>
    <xf numFmtId="0" fontId="24" fillId="8" borderId="15" xfId="0" applyNumberFormat="1" applyFont="1" applyFill="1" applyBorder="1" applyAlignment="1">
      <alignment horizontal="center" vertical="center" wrapText="1"/>
    </xf>
    <xf numFmtId="0" fontId="24" fillId="8" borderId="7" xfId="0" applyNumberFormat="1" applyFont="1" applyFill="1" applyBorder="1" applyAlignment="1">
      <alignment horizontal="center" vertical="center" wrapText="1"/>
    </xf>
    <xf numFmtId="0" fontId="24" fillId="8" borderId="1" xfId="0" applyNumberFormat="1" applyFont="1" applyFill="1" applyBorder="1" applyAlignment="1">
      <alignment horizontal="center" vertical="center" wrapText="1"/>
    </xf>
    <xf numFmtId="176" fontId="22" fillId="0" borderId="50" xfId="0" applyNumberFormat="1" applyFont="1" applyBorder="1" applyAlignment="1">
      <alignment horizontal="center" vertical="center" wrapText="1"/>
    </xf>
    <xf numFmtId="176" fontId="22" fillId="0" borderId="81" xfId="0" applyNumberFormat="1" applyFont="1" applyBorder="1" applyAlignment="1">
      <alignment horizontal="center" vertical="center" wrapText="1"/>
    </xf>
    <xf numFmtId="176" fontId="21" fillId="8" borderId="87" xfId="0" applyNumberFormat="1" applyFont="1" applyFill="1" applyBorder="1" applyAlignment="1">
      <alignment horizontal="center" vertical="center" shrinkToFit="1"/>
    </xf>
    <xf numFmtId="176" fontId="20" fillId="8" borderId="29" xfId="0" applyNumberFormat="1" applyFont="1" applyFill="1" applyBorder="1" applyAlignment="1">
      <alignment horizontal="center" vertical="center" wrapText="1"/>
    </xf>
    <xf numFmtId="176" fontId="20" fillId="8" borderId="6" xfId="0" applyNumberFormat="1" applyFont="1" applyFill="1" applyBorder="1" applyAlignment="1">
      <alignment horizontal="center" vertical="center" wrapText="1"/>
    </xf>
    <xf numFmtId="176" fontId="21" fillId="0" borderId="41" xfId="0" applyNumberFormat="1" applyFont="1" applyFill="1" applyBorder="1" applyAlignment="1">
      <alignment horizontal="center" vertical="center" wrapText="1"/>
    </xf>
    <xf numFmtId="0" fontId="22" fillId="8" borderId="37" xfId="0" applyFont="1" applyFill="1" applyBorder="1" applyAlignment="1">
      <alignment horizontal="center" vertical="center" wrapText="1"/>
    </xf>
    <xf numFmtId="0" fontId="22" fillId="8" borderId="27" xfId="0" applyFont="1" applyFill="1" applyBorder="1" applyAlignment="1">
      <alignment horizontal="center" vertical="center" wrapText="1"/>
    </xf>
    <xf numFmtId="0" fontId="24" fillId="8" borderId="8" xfId="0" applyNumberFormat="1" applyFont="1" applyFill="1" applyBorder="1" applyAlignment="1">
      <alignment horizontal="center" vertical="center" wrapText="1"/>
    </xf>
    <xf numFmtId="0" fontId="24" fillId="8" borderId="19" xfId="0" applyNumberFormat="1" applyFont="1" applyFill="1" applyBorder="1" applyAlignment="1">
      <alignment horizontal="center" vertical="center" wrapText="1"/>
    </xf>
    <xf numFmtId="176" fontId="22" fillId="0" borderId="50" xfId="0" applyNumberFormat="1" applyFont="1" applyFill="1" applyBorder="1" applyAlignment="1">
      <alignment horizontal="center" vertical="center" wrapText="1"/>
    </xf>
    <xf numFmtId="176" fontId="32" fillId="8" borderId="13" xfId="0" applyNumberFormat="1" applyFont="1" applyFill="1" applyBorder="1" applyAlignment="1">
      <alignment vertical="center" wrapText="1"/>
    </xf>
    <xf numFmtId="176" fontId="32" fillId="8" borderId="4" xfId="0" applyNumberFormat="1" applyFont="1" applyFill="1" applyBorder="1" applyAlignment="1">
      <alignment horizontal="center" vertical="center" wrapText="1"/>
    </xf>
    <xf numFmtId="176" fontId="32" fillId="8" borderId="10" xfId="0" applyNumberFormat="1" applyFont="1" applyFill="1" applyBorder="1" applyAlignment="1">
      <alignment vertical="center" wrapText="1"/>
    </xf>
    <xf numFmtId="176" fontId="32" fillId="8" borderId="2" xfId="0" applyNumberFormat="1" applyFont="1" applyFill="1" applyBorder="1" applyAlignment="1">
      <alignment vertical="center" wrapText="1"/>
    </xf>
    <xf numFmtId="176" fontId="2" fillId="0" borderId="88" xfId="0" applyNumberFormat="1" applyFont="1" applyFill="1" applyBorder="1" applyAlignment="1">
      <alignment horizontal="center" vertical="center" wrapText="1"/>
    </xf>
    <xf numFmtId="176" fontId="22" fillId="0" borderId="54" xfId="0" applyNumberFormat="1" applyFont="1" applyFill="1" applyBorder="1" applyAlignment="1">
      <alignment horizontal="center" vertical="center" wrapText="1"/>
    </xf>
    <xf numFmtId="176" fontId="32" fillId="8" borderId="56" xfId="0" applyNumberFormat="1" applyFont="1" applyFill="1" applyBorder="1" applyAlignment="1">
      <alignment vertical="center" wrapText="1"/>
    </xf>
    <xf numFmtId="176" fontId="32" fillId="8" borderId="20" xfId="0" applyNumberFormat="1" applyFont="1" applyFill="1" applyBorder="1" applyAlignment="1">
      <alignment vertical="center" wrapText="1"/>
    </xf>
    <xf numFmtId="0" fontId="24" fillId="8" borderId="12" xfId="0" applyNumberFormat="1" applyFont="1" applyFill="1" applyBorder="1" applyAlignment="1">
      <alignment horizontal="center" vertical="center" wrapText="1"/>
    </xf>
    <xf numFmtId="0" fontId="24" fillId="8" borderId="5" xfId="0" applyNumberFormat="1" applyFont="1" applyFill="1" applyBorder="1" applyAlignment="1">
      <alignment horizontal="center" vertical="center" wrapText="1"/>
    </xf>
    <xf numFmtId="176" fontId="20" fillId="8" borderId="8" xfId="0" applyNumberFormat="1" applyFont="1" applyFill="1" applyBorder="1" applyAlignment="1">
      <alignment horizontal="center" vertical="center" shrinkToFit="1"/>
    </xf>
    <xf numFmtId="176" fontId="20" fillId="8" borderId="19" xfId="0" applyNumberFormat="1" applyFont="1" applyFill="1" applyBorder="1" applyAlignment="1">
      <alignment horizontal="center" vertical="center" wrapText="1"/>
    </xf>
    <xf numFmtId="176" fontId="21" fillId="0" borderId="88" xfId="0" applyNumberFormat="1" applyFont="1" applyFill="1" applyBorder="1" applyAlignment="1">
      <alignment horizontal="center" vertical="center" shrinkToFit="1"/>
    </xf>
    <xf numFmtId="0" fontId="24" fillId="8" borderId="94" xfId="0" applyNumberFormat="1" applyFont="1" applyFill="1" applyBorder="1" applyAlignment="1">
      <alignment horizontal="center" vertical="center" wrapText="1"/>
    </xf>
    <xf numFmtId="0" fontId="24" fillId="8" borderId="11" xfId="0" applyNumberFormat="1" applyFont="1" applyFill="1" applyBorder="1" applyAlignment="1">
      <alignment horizontal="center" vertical="center" wrapText="1"/>
    </xf>
    <xf numFmtId="176" fontId="22" fillId="0" borderId="54" xfId="0" applyNumberFormat="1" applyFont="1" applyBorder="1" applyAlignment="1">
      <alignment horizontal="center" vertical="center" wrapText="1"/>
    </xf>
    <xf numFmtId="176" fontId="22" fillId="0" borderId="78" xfId="0" applyNumberFormat="1" applyFont="1" applyBorder="1" applyAlignment="1">
      <alignment horizontal="center" vertical="center" wrapText="1"/>
    </xf>
    <xf numFmtId="0" fontId="29" fillId="8" borderId="42" xfId="0" applyFont="1" applyFill="1" applyBorder="1" applyAlignment="1">
      <alignment horizontal="center" vertical="center" shrinkToFit="1"/>
    </xf>
    <xf numFmtId="176" fontId="20" fillId="8" borderId="24" xfId="0" applyNumberFormat="1" applyFont="1" applyFill="1" applyBorder="1" applyAlignment="1">
      <alignment horizontal="center" vertical="center" wrapText="1"/>
    </xf>
    <xf numFmtId="176" fontId="20" fillId="8" borderId="34" xfId="0" applyNumberFormat="1" applyFont="1" applyFill="1" applyBorder="1" applyAlignment="1">
      <alignment horizontal="center" vertical="center" wrapText="1"/>
    </xf>
    <xf numFmtId="0" fontId="21" fillId="0" borderId="64" xfId="0" applyFont="1" applyFill="1" applyBorder="1" applyAlignment="1">
      <alignment horizontal="center" vertical="center" wrapText="1"/>
    </xf>
    <xf numFmtId="176" fontId="30" fillId="14" borderId="31" xfId="0" applyNumberFormat="1" applyFont="1" applyFill="1" applyBorder="1" applyAlignment="1">
      <alignment horizontal="center" vertical="center" wrapText="1"/>
    </xf>
    <xf numFmtId="0" fontId="34" fillId="0" borderId="96" xfId="0" applyFont="1" applyFill="1" applyBorder="1">
      <alignment vertical="center"/>
    </xf>
    <xf numFmtId="0" fontId="29" fillId="8" borderId="101" xfId="0" applyFont="1" applyFill="1" applyBorder="1" applyAlignment="1">
      <alignment horizontal="center" vertical="center" shrinkToFit="1"/>
    </xf>
    <xf numFmtId="176" fontId="20" fillId="8" borderId="99" xfId="0" applyNumberFormat="1" applyFont="1" applyFill="1" applyBorder="1" applyAlignment="1">
      <alignment horizontal="center" vertical="center" wrapText="1"/>
    </xf>
    <xf numFmtId="0" fontId="21" fillId="0" borderId="65" xfId="0" applyFont="1" applyFill="1" applyBorder="1" applyAlignment="1">
      <alignment horizontal="center" vertical="center" wrapText="1"/>
    </xf>
    <xf numFmtId="0" fontId="24" fillId="8" borderId="56" xfId="0" applyNumberFormat="1" applyFont="1" applyFill="1" applyBorder="1" applyAlignment="1">
      <alignment horizontal="center" vertical="center" wrapText="1"/>
    </xf>
    <xf numFmtId="0" fontId="24" fillId="8" borderId="20" xfId="0" applyNumberFormat="1" applyFont="1" applyFill="1" applyBorder="1" applyAlignment="1">
      <alignment horizontal="center" vertical="center" wrapText="1"/>
    </xf>
    <xf numFmtId="176" fontId="30" fillId="0" borderId="25" xfId="0" applyNumberFormat="1" applyFont="1" applyBorder="1" applyAlignment="1">
      <alignment horizontal="center" vertical="center" wrapText="1"/>
    </xf>
    <xf numFmtId="176" fontId="20" fillId="8" borderId="18" xfId="0" applyNumberFormat="1" applyFont="1" applyFill="1" applyBorder="1" applyAlignment="1">
      <alignment horizontal="center" vertical="center" wrapText="1"/>
    </xf>
    <xf numFmtId="176" fontId="27" fillId="8" borderId="87" xfId="0" applyNumberFormat="1" applyFont="1" applyFill="1" applyBorder="1" applyAlignment="1">
      <alignment horizontal="center" vertical="center" wrapText="1"/>
    </xf>
    <xf numFmtId="0" fontId="24" fillId="8" borderId="18" xfId="0" applyNumberFormat="1" applyFont="1" applyFill="1" applyBorder="1" applyAlignment="1">
      <alignment horizontal="center" vertical="center" wrapText="1"/>
    </xf>
    <xf numFmtId="0" fontId="24" fillId="8" borderId="16" xfId="0" applyNumberFormat="1" applyFont="1" applyFill="1" applyBorder="1" applyAlignment="1">
      <alignment horizontal="center" vertical="center" wrapText="1"/>
    </xf>
    <xf numFmtId="176" fontId="22" fillId="8" borderId="31" xfId="0" applyNumberFormat="1" applyFont="1" applyFill="1" applyBorder="1" applyAlignment="1">
      <alignment horizontal="center" vertical="center" wrapText="1"/>
    </xf>
    <xf numFmtId="176" fontId="20" fillId="8" borderId="37" xfId="0" applyNumberFormat="1" applyFont="1" applyFill="1" applyBorder="1" applyAlignment="1">
      <alignment horizontal="center" vertical="center" wrapText="1"/>
    </xf>
    <xf numFmtId="176" fontId="21" fillId="8" borderId="41" xfId="0" applyNumberFormat="1" applyFont="1" applyFill="1" applyBorder="1" applyAlignment="1">
      <alignment horizontal="center" vertical="center" wrapText="1"/>
    </xf>
    <xf numFmtId="176" fontId="22" fillId="8" borderId="25" xfId="0" applyNumberFormat="1" applyFont="1" applyFill="1" applyBorder="1" applyAlignment="1">
      <alignment horizontal="center" vertical="center" wrapText="1"/>
    </xf>
    <xf numFmtId="176" fontId="21" fillId="8" borderId="88" xfId="0" applyNumberFormat="1" applyFont="1" applyFill="1" applyBorder="1" applyAlignment="1">
      <alignment horizontal="center" vertical="center" shrinkToFit="1"/>
    </xf>
    <xf numFmtId="176" fontId="22" fillId="8" borderId="18" xfId="0" applyNumberFormat="1" applyFont="1" applyFill="1" applyBorder="1" applyAlignment="1">
      <alignment horizontal="center" vertical="center" wrapText="1"/>
    </xf>
    <xf numFmtId="176" fontId="22" fillId="8" borderId="16" xfId="0" applyNumberFormat="1" applyFont="1" applyFill="1" applyBorder="1" applyAlignment="1">
      <alignment horizontal="center" vertical="center" wrapText="1"/>
    </xf>
    <xf numFmtId="176" fontId="22" fillId="8" borderId="56" xfId="0" applyNumberFormat="1" applyFont="1" applyFill="1" applyBorder="1" applyAlignment="1">
      <alignment horizontal="center" vertical="center" wrapText="1"/>
    </xf>
    <xf numFmtId="176" fontId="22" fillId="8" borderId="20" xfId="0" applyNumberFormat="1" applyFont="1" applyFill="1" applyBorder="1" applyAlignment="1">
      <alignment horizontal="center" vertical="center" wrapText="1"/>
    </xf>
    <xf numFmtId="176" fontId="22" fillId="8" borderId="54" xfId="0" applyNumberFormat="1" applyFont="1" applyFill="1" applyBorder="1" applyAlignment="1">
      <alignment horizontal="center" vertical="center" wrapText="1"/>
    </xf>
    <xf numFmtId="176" fontId="22" fillId="8" borderId="78" xfId="0" applyNumberFormat="1" applyFont="1" applyFill="1" applyBorder="1" applyAlignment="1">
      <alignment horizontal="center" vertical="center" wrapText="1"/>
    </xf>
    <xf numFmtId="0" fontId="2" fillId="8" borderId="77" xfId="0" applyNumberFormat="1" applyFont="1" applyFill="1" applyBorder="1" applyAlignment="1">
      <alignment horizontal="center" vertical="center" wrapText="1"/>
    </xf>
    <xf numFmtId="176" fontId="22" fillId="8" borderId="13" xfId="0" applyNumberFormat="1" applyFont="1" applyFill="1" applyBorder="1" applyAlignment="1">
      <alignment horizontal="center" vertical="center" wrapText="1"/>
    </xf>
    <xf numFmtId="176" fontId="22" fillId="8" borderId="4" xfId="0" applyNumberFormat="1" applyFont="1" applyFill="1" applyBorder="1" applyAlignment="1">
      <alignment horizontal="center" vertical="center" wrapText="1"/>
    </xf>
    <xf numFmtId="0" fontId="9" fillId="8" borderId="102" xfId="0" applyFont="1" applyFill="1" applyBorder="1" applyAlignment="1">
      <alignment horizontal="center" vertical="center" shrinkToFit="1"/>
    </xf>
    <xf numFmtId="0" fontId="2" fillId="8" borderId="95" xfId="0" applyNumberFormat="1" applyFont="1" applyFill="1" applyBorder="1" applyAlignment="1">
      <alignment horizontal="center" vertical="center" wrapText="1"/>
    </xf>
    <xf numFmtId="0" fontId="21" fillId="0" borderId="56" xfId="0" applyFont="1" applyFill="1" applyBorder="1" applyAlignment="1">
      <alignment horizontal="center" vertical="center" wrapText="1"/>
    </xf>
    <xf numFmtId="0" fontId="21" fillId="0" borderId="20" xfId="0" applyFont="1" applyFill="1" applyBorder="1" applyAlignment="1">
      <alignment horizontal="center" vertical="center" wrapText="1"/>
    </xf>
    <xf numFmtId="0" fontId="29" fillId="8" borderId="99" xfId="0" applyFont="1" applyFill="1" applyBorder="1" applyAlignment="1">
      <alignment horizontal="center" vertical="center" shrinkToFit="1"/>
    </xf>
    <xf numFmtId="0" fontId="2" fillId="8" borderId="86" xfId="0" applyNumberFormat="1" applyFont="1" applyFill="1" applyBorder="1" applyAlignment="1">
      <alignment horizontal="center" vertical="center" wrapText="1"/>
    </xf>
    <xf numFmtId="176" fontId="2" fillId="0" borderId="94" xfId="0" applyNumberFormat="1" applyFont="1" applyFill="1" applyBorder="1" applyAlignment="1">
      <alignment horizontal="center" vertical="center" wrapText="1"/>
    </xf>
    <xf numFmtId="176" fontId="22" fillId="0" borderId="13" xfId="0" applyNumberFormat="1" applyFont="1" applyFill="1" applyBorder="1" applyAlignment="1">
      <alignment horizontal="center" vertical="center" shrinkToFit="1"/>
    </xf>
    <xf numFmtId="176" fontId="21" fillId="8" borderId="5" xfId="0" applyNumberFormat="1" applyFont="1" applyFill="1" applyBorder="1" applyAlignment="1">
      <alignment horizontal="center" vertical="center" shrinkToFit="1"/>
    </xf>
    <xf numFmtId="0" fontId="29" fillId="8" borderId="77" xfId="0" applyFont="1" applyFill="1" applyBorder="1" applyAlignment="1">
      <alignment horizontal="center" vertical="center" shrinkToFit="1"/>
    </xf>
    <xf numFmtId="176" fontId="22" fillId="8" borderId="15" xfId="0" applyNumberFormat="1" applyFont="1" applyFill="1" applyBorder="1" applyAlignment="1">
      <alignment horizontal="center" vertical="center" wrapText="1"/>
    </xf>
    <xf numFmtId="176" fontId="21" fillId="8" borderId="15" xfId="0" applyNumberFormat="1" applyFont="1" applyFill="1" applyBorder="1" applyAlignment="1">
      <alignment horizontal="center" vertical="center" shrinkToFit="1"/>
    </xf>
    <xf numFmtId="0" fontId="9" fillId="8" borderId="88" xfId="0" applyFont="1" applyFill="1" applyBorder="1" applyAlignment="1">
      <alignment horizontal="center" vertical="center" shrinkToFit="1"/>
    </xf>
    <xf numFmtId="0" fontId="29" fillId="8" borderId="95" xfId="0" applyFont="1" applyFill="1" applyBorder="1" applyAlignment="1">
      <alignment horizontal="center" vertical="center" shrinkToFit="1"/>
    </xf>
    <xf numFmtId="0" fontId="2" fillId="8" borderId="103" xfId="0" applyNumberFormat="1" applyFont="1" applyFill="1" applyBorder="1" applyAlignment="1">
      <alignment horizontal="center" vertical="center" wrapText="1"/>
    </xf>
    <xf numFmtId="176" fontId="22" fillId="8" borderId="1" xfId="0" applyNumberFormat="1" applyFont="1" applyFill="1" applyBorder="1" applyAlignment="1">
      <alignment horizontal="center" vertical="center" wrapText="1"/>
    </xf>
    <xf numFmtId="176" fontId="21" fillId="8" borderId="1" xfId="0" applyNumberFormat="1" applyFont="1" applyFill="1" applyBorder="1" applyAlignment="1">
      <alignment horizontal="center" vertical="center" shrinkToFit="1"/>
    </xf>
    <xf numFmtId="0" fontId="9" fillId="8" borderId="90" xfId="0" applyFont="1" applyFill="1" applyBorder="1" applyAlignment="1">
      <alignment horizontal="center" vertical="center" shrinkToFit="1"/>
    </xf>
    <xf numFmtId="0" fontId="29" fillId="8" borderId="86" xfId="0" applyFont="1" applyFill="1" applyBorder="1" applyAlignment="1">
      <alignment horizontal="center" vertical="center" shrinkToFit="1"/>
    </xf>
    <xf numFmtId="0" fontId="2" fillId="8" borderId="78" xfId="0" applyNumberFormat="1" applyFont="1" applyFill="1" applyBorder="1" applyAlignment="1">
      <alignment horizontal="center" vertical="center" wrapText="1"/>
    </xf>
    <xf numFmtId="176" fontId="22" fillId="0" borderId="7" xfId="0" applyNumberFormat="1" applyFont="1" applyFill="1" applyBorder="1" applyAlignment="1">
      <alignment horizontal="center" vertical="center" wrapText="1"/>
    </xf>
    <xf numFmtId="0" fontId="2" fillId="8" borderId="31" xfId="0" applyNumberFormat="1" applyFont="1" applyFill="1" applyBorder="1" applyAlignment="1">
      <alignment horizontal="center" vertical="center" wrapText="1"/>
    </xf>
    <xf numFmtId="176" fontId="22" fillId="0" borderId="7" xfId="0" applyNumberFormat="1" applyFont="1" applyFill="1" applyBorder="1" applyAlignment="1">
      <alignment horizontal="center" vertical="center" shrinkToFit="1"/>
    </xf>
    <xf numFmtId="0" fontId="29" fillId="8" borderId="98" xfId="0" applyFont="1" applyFill="1" applyBorder="1" applyAlignment="1">
      <alignment horizontal="center" vertical="center" shrinkToFit="1"/>
    </xf>
    <xf numFmtId="0" fontId="2" fillId="8" borderId="93" xfId="0" applyNumberFormat="1" applyFont="1" applyFill="1" applyBorder="1" applyAlignment="1">
      <alignment horizontal="center" vertical="center" wrapText="1"/>
    </xf>
    <xf numFmtId="176" fontId="2" fillId="0" borderId="89" xfId="0" applyNumberFormat="1" applyFont="1" applyFill="1" applyBorder="1" applyAlignment="1">
      <alignment horizontal="center" vertical="center" wrapText="1"/>
    </xf>
    <xf numFmtId="0" fontId="9" fillId="8" borderId="49" xfId="0" applyFont="1" applyFill="1" applyBorder="1" applyAlignment="1">
      <alignment vertical="center" shrinkToFit="1"/>
    </xf>
    <xf numFmtId="176" fontId="2" fillId="0" borderId="23" xfId="0" applyNumberFormat="1" applyFont="1" applyFill="1" applyBorder="1" applyAlignment="1">
      <alignment horizontal="center" vertical="center" wrapText="1"/>
    </xf>
    <xf numFmtId="176" fontId="21" fillId="8" borderId="19" xfId="0" applyNumberFormat="1" applyFont="1" applyFill="1" applyBorder="1" applyAlignment="1">
      <alignment horizontal="center" vertical="center" shrinkToFit="1"/>
    </xf>
    <xf numFmtId="0" fontId="2" fillId="8" borderId="32" xfId="0" applyNumberFormat="1" applyFont="1" applyFill="1" applyBorder="1" applyAlignment="1">
      <alignment horizontal="center" vertical="center" wrapText="1"/>
    </xf>
    <xf numFmtId="176" fontId="22" fillId="0" borderId="29" xfId="0" applyNumberFormat="1" applyFont="1" applyFill="1" applyBorder="1" applyAlignment="1">
      <alignment horizontal="center" vertical="center" shrinkToFit="1"/>
    </xf>
    <xf numFmtId="176" fontId="22" fillId="8" borderId="36" xfId="0" applyNumberFormat="1" applyFont="1" applyFill="1" applyBorder="1" applyAlignment="1">
      <alignment horizontal="center" vertical="center" wrapText="1"/>
    </xf>
    <xf numFmtId="176" fontId="21" fillId="8" borderId="36" xfId="0" applyNumberFormat="1" applyFont="1" applyFill="1" applyBorder="1" applyAlignment="1">
      <alignment horizontal="center" vertical="center" shrinkToFit="1"/>
    </xf>
    <xf numFmtId="176" fontId="22" fillId="8" borderId="38" xfId="0" applyNumberFormat="1" applyFont="1" applyFill="1" applyBorder="1" applyAlignment="1">
      <alignment horizontal="center" vertical="center" wrapText="1"/>
    </xf>
    <xf numFmtId="0" fontId="9" fillId="0" borderId="17" xfId="0" applyFont="1" applyFill="1" applyBorder="1" applyAlignment="1">
      <alignment horizontal="center" vertical="center" shrinkToFit="1"/>
    </xf>
    <xf numFmtId="0" fontId="9" fillId="0" borderId="87" xfId="0" applyFont="1" applyFill="1" applyBorder="1" applyAlignment="1">
      <alignment horizontal="center" vertical="center" shrinkToFit="1"/>
    </xf>
    <xf numFmtId="0" fontId="2" fillId="0" borderId="87" xfId="0" applyNumberFormat="1" applyFont="1" applyFill="1" applyBorder="1" applyAlignment="1">
      <alignment horizontal="center" vertical="center" wrapText="1"/>
    </xf>
    <xf numFmtId="0" fontId="9" fillId="0" borderId="94" xfId="0" applyFont="1" applyFill="1" applyBorder="1" applyAlignment="1">
      <alignment horizontal="center" vertical="center" shrinkToFit="1"/>
    </xf>
    <xf numFmtId="0" fontId="2" fillId="0" borderId="79" xfId="0" applyNumberFormat="1" applyFont="1" applyFill="1" applyBorder="1" applyAlignment="1">
      <alignment horizontal="center" vertical="center" wrapText="1"/>
    </xf>
    <xf numFmtId="42" fontId="13" fillId="0" borderId="77" xfId="1" applyFont="1" applyFill="1" applyBorder="1" applyAlignment="1">
      <alignment horizontal="center" vertical="center" shrinkToFit="1"/>
    </xf>
    <xf numFmtId="0" fontId="17" fillId="0" borderId="45" xfId="0" applyNumberFormat="1" applyFont="1" applyFill="1" applyBorder="1" applyAlignment="1">
      <alignment horizontal="center" vertical="center"/>
    </xf>
    <xf numFmtId="176" fontId="2" fillId="8" borderId="29" xfId="0" applyNumberFormat="1" applyFont="1" applyFill="1" applyBorder="1" applyAlignment="1">
      <alignment horizontal="center" vertical="center" wrapText="1"/>
    </xf>
    <xf numFmtId="176" fontId="2" fillId="8" borderId="89" xfId="0" applyNumberFormat="1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shrinkToFit="1"/>
    </xf>
    <xf numFmtId="0" fontId="9" fillId="0" borderId="26" xfId="0" applyFont="1" applyFill="1" applyBorder="1" applyAlignment="1">
      <alignment horizontal="center" vertical="center" shrinkToFit="1"/>
    </xf>
    <xf numFmtId="176" fontId="36" fillId="4" borderId="26" xfId="0" applyNumberFormat="1" applyFont="1" applyFill="1" applyBorder="1" applyAlignment="1">
      <alignment horizontal="center" vertical="center" wrapText="1"/>
    </xf>
    <xf numFmtId="176" fontId="36" fillId="4" borderId="41" xfId="0" applyNumberFormat="1" applyFont="1" applyFill="1" applyBorder="1" applyAlignment="1">
      <alignment horizontal="center" vertical="center" wrapText="1"/>
    </xf>
    <xf numFmtId="176" fontId="3" fillId="4" borderId="24" xfId="0" applyNumberFormat="1" applyFont="1" applyFill="1" applyBorder="1" applyAlignment="1">
      <alignment horizontal="center" vertical="center" wrapText="1"/>
    </xf>
    <xf numFmtId="176" fontId="3" fillId="4" borderId="21" xfId="0" applyNumberFormat="1" applyFont="1" applyFill="1" applyBorder="1" applyAlignment="1">
      <alignment horizontal="center" vertical="center" wrapText="1"/>
    </xf>
    <xf numFmtId="176" fontId="3" fillId="4" borderId="17" xfId="0" applyNumberFormat="1" applyFont="1" applyFill="1" applyBorder="1" applyAlignment="1">
      <alignment horizontal="center" vertical="center" wrapText="1"/>
    </xf>
    <xf numFmtId="176" fontId="3" fillId="4" borderId="15" xfId="0" applyNumberFormat="1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center" vertical="center" wrapText="1"/>
    </xf>
    <xf numFmtId="176" fontId="36" fillId="4" borderId="29" xfId="0" applyNumberFormat="1" applyFont="1" applyFill="1" applyBorder="1" applyAlignment="1">
      <alignment horizontal="center" vertical="center" wrapText="1"/>
    </xf>
    <xf numFmtId="176" fontId="36" fillId="4" borderId="6" xfId="0" applyNumberFormat="1" applyFont="1" applyFill="1" applyBorder="1" applyAlignment="1">
      <alignment horizontal="center" vertical="center" wrapText="1"/>
    </xf>
    <xf numFmtId="176" fontId="3" fillId="4" borderId="91" xfId="0" applyNumberFormat="1" applyFont="1" applyFill="1" applyBorder="1" applyAlignment="1">
      <alignment horizontal="center" vertical="center" wrapText="1"/>
    </xf>
    <xf numFmtId="176" fontId="3" fillId="4" borderId="28" xfId="0" applyNumberFormat="1" applyFont="1" applyFill="1" applyBorder="1" applyAlignment="1">
      <alignment horizontal="center" vertical="center" wrapText="1"/>
    </xf>
    <xf numFmtId="176" fontId="2" fillId="5" borderId="17" xfId="0" applyNumberFormat="1" applyFont="1" applyFill="1" applyBorder="1" applyAlignment="1">
      <alignment vertical="center" wrapText="1"/>
    </xf>
    <xf numFmtId="176" fontId="2" fillId="5" borderId="16" xfId="0" applyNumberFormat="1" applyFont="1" applyFill="1" applyBorder="1" applyAlignment="1">
      <alignment vertical="center" wrapText="1"/>
    </xf>
    <xf numFmtId="0" fontId="13" fillId="0" borderId="104" xfId="0" applyFont="1" applyBorder="1" applyAlignment="1">
      <alignment horizontal="center" vertical="center" shrinkToFit="1"/>
    </xf>
    <xf numFmtId="0" fontId="13" fillId="0" borderId="105" xfId="0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center" vertical="center" shrinkToFit="1"/>
    </xf>
    <xf numFmtId="0" fontId="13" fillId="0" borderId="2" xfId="0" applyFont="1" applyBorder="1" applyAlignment="1">
      <alignment horizontal="center" vertical="center" shrinkToFit="1"/>
    </xf>
    <xf numFmtId="0" fontId="13" fillId="0" borderId="7" xfId="0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 shrinkToFit="1"/>
    </xf>
    <xf numFmtId="176" fontId="36" fillId="0" borderId="5" xfId="0" applyNumberFormat="1" applyFont="1" applyFill="1" applyBorder="1" applyAlignment="1">
      <alignment horizontal="center" vertical="center" wrapText="1"/>
    </xf>
    <xf numFmtId="176" fontId="2" fillId="6" borderId="7" xfId="0" applyNumberFormat="1" applyFont="1" applyFill="1" applyBorder="1" applyAlignment="1">
      <alignment vertical="center" wrapText="1"/>
    </xf>
    <xf numFmtId="176" fontId="2" fillId="6" borderId="2" xfId="0" applyNumberFormat="1" applyFont="1" applyFill="1" applyBorder="1" applyAlignment="1">
      <alignment vertical="center" wrapText="1"/>
    </xf>
    <xf numFmtId="0" fontId="13" fillId="0" borderId="71" xfId="0" applyFont="1" applyBorder="1" applyAlignment="1">
      <alignment horizontal="center" vertical="center" shrinkToFit="1"/>
    </xf>
    <xf numFmtId="0" fontId="13" fillId="0" borderId="106" xfId="0" applyFont="1" applyBorder="1" applyAlignment="1">
      <alignment horizontal="center" vertical="center" shrinkToFit="1"/>
    </xf>
    <xf numFmtId="176" fontId="36" fillId="0" borderId="1" xfId="0" applyNumberFormat="1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shrinkToFit="1"/>
    </xf>
    <xf numFmtId="0" fontId="13" fillId="0" borderId="32" xfId="0" applyFont="1" applyBorder="1" applyAlignment="1">
      <alignment horizontal="center" vertical="center" shrinkToFit="1"/>
    </xf>
    <xf numFmtId="176" fontId="2" fillId="7" borderId="7" xfId="0" applyNumberFormat="1" applyFont="1" applyFill="1" applyBorder="1" applyAlignment="1">
      <alignment vertical="center" wrapText="1"/>
    </xf>
    <xf numFmtId="176" fontId="2" fillId="7" borderId="2" xfId="0" applyNumberFormat="1" applyFont="1" applyFill="1" applyBorder="1" applyAlignment="1">
      <alignment vertical="center" wrapText="1"/>
    </xf>
    <xf numFmtId="0" fontId="13" fillId="0" borderId="56" xfId="0" applyFont="1" applyBorder="1" applyAlignment="1">
      <alignment horizontal="center" vertical="center" shrinkToFit="1"/>
    </xf>
    <xf numFmtId="0" fontId="13" fillId="0" borderId="20" xfId="0" applyFont="1" applyBorder="1" applyAlignment="1">
      <alignment horizontal="center" vertical="center" shrinkToFit="1"/>
    </xf>
    <xf numFmtId="176" fontId="36" fillId="0" borderId="11" xfId="0" applyNumberFormat="1" applyFont="1" applyBorder="1" applyAlignment="1">
      <alignment horizontal="center" vertical="center" wrapText="1"/>
    </xf>
    <xf numFmtId="0" fontId="13" fillId="0" borderId="107" xfId="0" applyFont="1" applyBorder="1" applyAlignment="1">
      <alignment horizontal="center" vertical="center" shrinkToFit="1"/>
    </xf>
    <xf numFmtId="176" fontId="3" fillId="0" borderId="7" xfId="0" applyNumberFormat="1" applyFont="1" applyFill="1" applyBorder="1" applyAlignment="1">
      <alignment vertical="center" wrapText="1"/>
    </xf>
    <xf numFmtId="0" fontId="9" fillId="8" borderId="7" xfId="0" applyFont="1" applyFill="1" applyBorder="1" applyAlignment="1">
      <alignment horizontal="center" vertical="center" shrinkToFit="1"/>
    </xf>
    <xf numFmtId="176" fontId="3" fillId="0" borderId="43" xfId="0" applyNumberFormat="1" applyFont="1" applyFill="1" applyBorder="1" applyAlignment="1">
      <alignment vertical="center" wrapText="1"/>
    </xf>
    <xf numFmtId="176" fontId="3" fillId="0" borderId="103" xfId="0" applyNumberFormat="1" applyFont="1" applyFill="1" applyBorder="1" applyAlignment="1">
      <alignment vertical="center" wrapText="1"/>
    </xf>
    <xf numFmtId="176" fontId="3" fillId="9" borderId="77" xfId="0" applyNumberFormat="1" applyFont="1" applyFill="1" applyBorder="1" applyAlignment="1">
      <alignment horizontal="center" vertical="center" wrapText="1"/>
    </xf>
    <xf numFmtId="176" fontId="3" fillId="9" borderId="43" xfId="0" applyNumberFormat="1" applyFont="1" applyFill="1" applyBorder="1" applyAlignment="1">
      <alignment horizontal="center" vertical="center" wrapText="1"/>
    </xf>
    <xf numFmtId="176" fontId="3" fillId="0" borderId="77" xfId="0" applyNumberFormat="1" applyFont="1" applyFill="1" applyBorder="1" applyAlignment="1">
      <alignment vertical="center" wrapText="1"/>
    </xf>
    <xf numFmtId="176" fontId="3" fillId="0" borderId="95" xfId="0" applyNumberFormat="1" applyFont="1" applyFill="1" applyBorder="1" applyAlignment="1">
      <alignment vertical="center" wrapText="1"/>
    </xf>
    <xf numFmtId="176" fontId="3" fillId="0" borderId="86" xfId="0" applyNumberFormat="1" applyFont="1" applyFill="1" applyBorder="1" applyAlignment="1">
      <alignment vertical="center" wrapText="1"/>
    </xf>
    <xf numFmtId="176" fontId="3" fillId="8" borderId="84" xfId="0" applyNumberFormat="1" applyFont="1" applyFill="1" applyBorder="1" applyAlignment="1">
      <alignment horizontal="center" vertical="center" wrapText="1"/>
    </xf>
    <xf numFmtId="0" fontId="8" fillId="8" borderId="43" xfId="0" applyFont="1" applyFill="1" applyBorder="1" applyAlignment="1">
      <alignment horizontal="center" vertical="center" shrinkToFit="1"/>
    </xf>
    <xf numFmtId="0" fontId="8" fillId="8" borderId="33" xfId="0" applyFont="1" applyFill="1" applyBorder="1" applyAlignment="1">
      <alignment horizontal="center" vertical="center" shrinkToFit="1"/>
    </xf>
    <xf numFmtId="0" fontId="8" fillId="8" borderId="103" xfId="0" applyFont="1" applyFill="1" applyBorder="1" applyAlignment="1">
      <alignment horizontal="center" vertical="center" shrinkToFit="1"/>
    </xf>
    <xf numFmtId="0" fontId="8" fillId="8" borderId="85" xfId="0" applyFont="1" applyFill="1" applyBorder="1" applyAlignment="1">
      <alignment horizontal="center" vertical="center" shrinkToFit="1"/>
    </xf>
    <xf numFmtId="176" fontId="2" fillId="0" borderId="17" xfId="0" applyNumberFormat="1" applyFont="1" applyFill="1" applyBorder="1" applyAlignment="1">
      <alignment horizontal="center" vertical="center" wrapText="1"/>
    </xf>
    <xf numFmtId="176" fontId="2" fillId="0" borderId="7" xfId="0" applyNumberFormat="1" applyFont="1" applyFill="1" applyBorder="1" applyAlignment="1">
      <alignment horizontal="center" vertical="center" wrapText="1"/>
    </xf>
    <xf numFmtId="176" fontId="2" fillId="8" borderId="7" xfId="0" applyNumberFormat="1" applyFont="1" applyFill="1" applyBorder="1" applyAlignment="1">
      <alignment horizontal="center" vertical="center" wrapText="1"/>
    </xf>
    <xf numFmtId="176" fontId="2" fillId="8" borderId="17" xfId="0" applyNumberFormat="1" applyFont="1" applyFill="1" applyBorder="1" applyAlignment="1">
      <alignment horizontal="center" vertical="center" wrapText="1"/>
    </xf>
    <xf numFmtId="176" fontId="2" fillId="8" borderId="56" xfId="0" applyNumberFormat="1" applyFont="1" applyFill="1" applyBorder="1" applyAlignment="1">
      <alignment horizontal="center" vertical="center" wrapText="1"/>
    </xf>
    <xf numFmtId="176" fontId="2" fillId="0" borderId="16" xfId="0" applyNumberFormat="1" applyFont="1" applyFill="1" applyBorder="1" applyAlignment="1">
      <alignment horizontal="center" vertical="center" wrapText="1"/>
    </xf>
    <xf numFmtId="176" fontId="2" fillId="0" borderId="2" xfId="0" applyNumberFormat="1" applyFont="1" applyFill="1" applyBorder="1" applyAlignment="1">
      <alignment horizontal="center" vertical="center" wrapText="1"/>
    </xf>
    <xf numFmtId="176" fontId="2" fillId="8" borderId="36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176" fontId="2" fillId="8" borderId="16" xfId="0" applyNumberFormat="1" applyFont="1" applyFill="1" applyBorder="1" applyAlignment="1">
      <alignment horizontal="center" vertical="center" shrinkToFit="1"/>
    </xf>
    <xf numFmtId="176" fontId="3" fillId="8" borderId="50" xfId="0" applyNumberFormat="1" applyFont="1" applyFill="1" applyBorder="1" applyAlignment="1">
      <alignment horizontal="center" vertical="center" wrapText="1"/>
    </xf>
    <xf numFmtId="176" fontId="2" fillId="8" borderId="20" xfId="0" applyNumberFormat="1" applyFont="1" applyFill="1" applyBorder="1" applyAlignment="1">
      <alignment horizontal="center" vertical="center" shrinkToFit="1"/>
    </xf>
    <xf numFmtId="176" fontId="15" fillId="0" borderId="2" xfId="0" applyNumberFormat="1" applyFont="1" applyFill="1" applyBorder="1" applyAlignment="1">
      <alignment horizontal="center" vertical="center" shrinkToFit="1"/>
    </xf>
    <xf numFmtId="176" fontId="37" fillId="0" borderId="5" xfId="0" applyNumberFormat="1" applyFont="1" applyFill="1" applyBorder="1" applyAlignment="1">
      <alignment horizontal="center" vertical="center" wrapText="1"/>
    </xf>
    <xf numFmtId="176" fontId="2" fillId="8" borderId="12" xfId="0" applyNumberFormat="1" applyFont="1" applyFill="1" applyBorder="1" applyAlignment="1">
      <alignment horizontal="center" vertical="center" wrapText="1"/>
    </xf>
    <xf numFmtId="0" fontId="9" fillId="8" borderId="19" xfId="0" applyFont="1" applyFill="1" applyBorder="1" applyAlignment="1">
      <alignment horizontal="center" vertical="center" shrinkToFit="1"/>
    </xf>
    <xf numFmtId="0" fontId="8" fillId="8" borderId="16" xfId="0" applyFont="1" applyFill="1" applyBorder="1" applyAlignment="1">
      <alignment horizontal="center" vertical="center" shrinkToFit="1"/>
    </xf>
    <xf numFmtId="0" fontId="9" fillId="8" borderId="3" xfId="0" applyFont="1" applyFill="1" applyBorder="1" applyAlignment="1">
      <alignment horizontal="center" vertical="center" shrinkToFit="1"/>
    </xf>
    <xf numFmtId="0" fontId="9" fillId="8" borderId="36" xfId="0" applyFont="1" applyFill="1" applyBorder="1" applyAlignment="1">
      <alignment horizontal="center" vertical="center" shrinkToFit="1"/>
    </xf>
    <xf numFmtId="0" fontId="9" fillId="8" borderId="53" xfId="0" applyFont="1" applyFill="1" applyBorder="1" applyAlignment="1">
      <alignment horizontal="center" vertical="center" shrinkToFit="1"/>
    </xf>
    <xf numFmtId="176" fontId="2" fillId="0" borderId="38" xfId="0" applyNumberFormat="1" applyFont="1" applyFill="1" applyBorder="1" applyAlignment="1">
      <alignment horizontal="center" vertical="center" wrapText="1"/>
    </xf>
    <xf numFmtId="176" fontId="2" fillId="0" borderId="27" xfId="0" applyNumberFormat="1" applyFont="1" applyFill="1" applyBorder="1" applyAlignment="1">
      <alignment horizontal="center" vertical="center" wrapText="1"/>
    </xf>
    <xf numFmtId="176" fontId="2" fillId="0" borderId="4" xfId="0" applyNumberFormat="1" applyFont="1" applyFill="1" applyBorder="1" applyAlignment="1">
      <alignment horizontal="center" vertical="center" wrapText="1"/>
    </xf>
    <xf numFmtId="176" fontId="2" fillId="0" borderId="2" xfId="0" applyNumberFormat="1" applyFont="1" applyFill="1" applyBorder="1" applyAlignment="1">
      <alignment horizontal="center" vertical="center" wrapText="1"/>
    </xf>
    <xf numFmtId="176" fontId="2" fillId="0" borderId="37" xfId="0" applyNumberFormat="1" applyFont="1" applyFill="1" applyBorder="1" applyAlignment="1">
      <alignment horizontal="center" vertical="center" wrapText="1"/>
    </xf>
    <xf numFmtId="0" fontId="9" fillId="8" borderId="34" xfId="0" applyFont="1" applyFill="1" applyBorder="1" applyAlignment="1">
      <alignment horizontal="center" vertical="center" shrinkToFit="1"/>
    </xf>
    <xf numFmtId="176" fontId="3" fillId="8" borderId="3" xfId="0" applyNumberFormat="1" applyFont="1" applyFill="1" applyBorder="1" applyAlignment="1">
      <alignment horizontal="center" vertical="center" wrapText="1"/>
    </xf>
    <xf numFmtId="0" fontId="9" fillId="8" borderId="29" xfId="0" applyFont="1" applyFill="1" applyBorder="1" applyAlignment="1">
      <alignment horizontal="center" vertical="center" shrinkToFit="1"/>
    </xf>
    <xf numFmtId="0" fontId="9" fillId="8" borderId="17" xfId="0" applyFont="1" applyFill="1" applyBorder="1" applyAlignment="1">
      <alignment horizontal="center" vertical="center" shrinkToFit="1"/>
    </xf>
    <xf numFmtId="0" fontId="9" fillId="8" borderId="26" xfId="0" applyFont="1" applyFill="1" applyBorder="1" applyAlignment="1">
      <alignment horizontal="center" vertical="center" shrinkToFit="1"/>
    </xf>
    <xf numFmtId="0" fontId="9" fillId="8" borderId="21" xfId="0" applyFont="1" applyFill="1" applyBorder="1" applyAlignment="1">
      <alignment horizontal="center" vertical="center" shrinkToFit="1"/>
    </xf>
    <xf numFmtId="0" fontId="9" fillId="8" borderId="6" xfId="0" applyFont="1" applyFill="1" applyBorder="1" applyAlignment="1">
      <alignment horizontal="center" vertical="center" shrinkToFit="1"/>
    </xf>
    <xf numFmtId="0" fontId="9" fillId="8" borderId="15" xfId="0" applyFont="1" applyFill="1" applyBorder="1" applyAlignment="1">
      <alignment horizontal="center" vertical="center" shrinkToFit="1"/>
    </xf>
    <xf numFmtId="0" fontId="9" fillId="8" borderId="18" xfId="0" applyFont="1" applyFill="1" applyBorder="1" applyAlignment="1">
      <alignment horizontal="center" vertical="center" shrinkToFit="1"/>
    </xf>
    <xf numFmtId="0" fontId="9" fillId="8" borderId="16" xfId="0" applyFont="1" applyFill="1" applyBorder="1" applyAlignment="1">
      <alignment horizontal="center" vertical="center" shrinkToFit="1"/>
    </xf>
    <xf numFmtId="0" fontId="9" fillId="8" borderId="27" xfId="0" applyFont="1" applyFill="1" applyBorder="1" applyAlignment="1">
      <alignment horizontal="center" vertical="center" shrinkToFit="1"/>
    </xf>
    <xf numFmtId="176" fontId="2" fillId="0" borderId="35" xfId="0" applyNumberFormat="1" applyFont="1" applyFill="1" applyBorder="1" applyAlignment="1">
      <alignment horizontal="center" vertical="center" wrapText="1"/>
    </xf>
    <xf numFmtId="176" fontId="37" fillId="0" borderId="45" xfId="0" applyNumberFormat="1" applyFont="1" applyFill="1" applyBorder="1" applyAlignment="1">
      <alignment horizontal="center" vertical="center" shrinkToFit="1"/>
    </xf>
    <xf numFmtId="176" fontId="3" fillId="8" borderId="18" xfId="0" applyNumberFormat="1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shrinkToFit="1"/>
    </xf>
    <xf numFmtId="0" fontId="8" fillId="8" borderId="38" xfId="0" applyFont="1" applyFill="1" applyBorder="1" applyAlignment="1">
      <alignment horizontal="center" vertical="center" shrinkToFit="1"/>
    </xf>
    <xf numFmtId="0" fontId="37" fillId="8" borderId="13" xfId="0" applyNumberFormat="1" applyFont="1" applyFill="1" applyBorder="1" applyAlignment="1">
      <alignment horizontal="center" vertical="center" wrapText="1"/>
    </xf>
    <xf numFmtId="0" fontId="37" fillId="8" borderId="4" xfId="0" applyNumberFormat="1" applyFont="1" applyFill="1" applyBorder="1" applyAlignment="1">
      <alignment horizontal="center" vertical="center" wrapText="1"/>
    </xf>
    <xf numFmtId="0" fontId="37" fillId="8" borderId="10" xfId="0" applyNumberFormat="1" applyFont="1" applyFill="1" applyBorder="1" applyAlignment="1">
      <alignment horizontal="center" vertical="center" wrapText="1"/>
    </xf>
    <xf numFmtId="0" fontId="37" fillId="8" borderId="2" xfId="0" applyNumberFormat="1" applyFont="1" applyFill="1" applyBorder="1" applyAlignment="1">
      <alignment horizontal="center" vertical="center" wrapText="1"/>
    </xf>
    <xf numFmtId="0" fontId="37" fillId="8" borderId="56" xfId="0" applyNumberFormat="1" applyFont="1" applyFill="1" applyBorder="1" applyAlignment="1">
      <alignment horizontal="center" vertical="center" wrapText="1"/>
    </xf>
    <xf numFmtId="0" fontId="37" fillId="8" borderId="20" xfId="0" applyNumberFormat="1" applyFont="1" applyFill="1" applyBorder="1" applyAlignment="1">
      <alignment horizontal="center" vertical="center" wrapText="1"/>
    </xf>
    <xf numFmtId="0" fontId="37" fillId="0" borderId="56" xfId="0" applyNumberFormat="1" applyFont="1" applyFill="1" applyBorder="1" applyAlignment="1">
      <alignment horizontal="center" vertical="center" wrapText="1"/>
    </xf>
    <xf numFmtId="0" fontId="37" fillId="0" borderId="20" xfId="0" applyNumberFormat="1" applyFont="1" applyFill="1" applyBorder="1" applyAlignment="1">
      <alignment horizontal="center" vertical="center" wrapText="1"/>
    </xf>
    <xf numFmtId="0" fontId="37" fillId="8" borderId="18" xfId="0" applyNumberFormat="1" applyFont="1" applyFill="1" applyBorder="1" applyAlignment="1">
      <alignment horizontal="center" vertical="center" wrapText="1"/>
    </xf>
    <xf numFmtId="0" fontId="37" fillId="8" borderId="16" xfId="0" applyNumberFormat="1" applyFont="1" applyFill="1" applyBorder="1" applyAlignment="1">
      <alignment horizontal="center" vertical="center" wrapText="1"/>
    </xf>
    <xf numFmtId="0" fontId="37" fillId="8" borderId="17" xfId="0" applyNumberFormat="1" applyFont="1" applyFill="1" applyBorder="1" applyAlignment="1">
      <alignment horizontal="center" vertical="center" wrapText="1"/>
    </xf>
    <xf numFmtId="0" fontId="37" fillId="8" borderId="27" xfId="0" applyNumberFormat="1" applyFont="1" applyFill="1" applyBorder="1" applyAlignment="1">
      <alignment horizontal="center" vertical="center" wrapText="1"/>
    </xf>
    <xf numFmtId="0" fontId="37" fillId="8" borderId="16" xfId="0" applyNumberFormat="1" applyFont="1" applyFill="1" applyBorder="1" applyAlignment="1">
      <alignment horizontal="center" vertical="center" wrapText="1"/>
    </xf>
    <xf numFmtId="0" fontId="37" fillId="8" borderId="38" xfId="0" applyNumberFormat="1" applyFont="1" applyFill="1" applyBorder="1" applyAlignment="1">
      <alignment horizontal="center" vertical="center" wrapText="1"/>
    </xf>
    <xf numFmtId="0" fontId="38" fillId="8" borderId="66" xfId="0" applyFont="1" applyFill="1" applyBorder="1" applyAlignment="1">
      <alignment horizontal="center" vertical="center" shrinkToFit="1"/>
    </xf>
    <xf numFmtId="0" fontId="38" fillId="8" borderId="67" xfId="0" applyFont="1" applyFill="1" applyBorder="1" applyAlignment="1">
      <alignment horizontal="center" vertical="center" shrinkToFit="1"/>
    </xf>
    <xf numFmtId="0" fontId="38" fillId="8" borderId="68" xfId="0" applyFont="1" applyFill="1" applyBorder="1" applyAlignment="1">
      <alignment horizontal="center" vertical="center" shrinkToFit="1"/>
    </xf>
    <xf numFmtId="0" fontId="38" fillId="8" borderId="69" xfId="0" applyFont="1" applyFill="1" applyBorder="1" applyAlignment="1">
      <alignment horizontal="center" vertical="center" shrinkToFit="1"/>
    </xf>
    <xf numFmtId="0" fontId="38" fillId="8" borderId="10" xfId="0" applyFont="1" applyFill="1" applyBorder="1" applyAlignment="1">
      <alignment horizontal="center" vertical="center" shrinkToFit="1"/>
    </xf>
    <xf numFmtId="0" fontId="38" fillId="8" borderId="7" xfId="0" applyFont="1" applyFill="1" applyBorder="1" applyAlignment="1">
      <alignment horizontal="center" vertical="center" shrinkToFit="1"/>
    </xf>
    <xf numFmtId="0" fontId="38" fillId="8" borderId="8" xfId="0" applyFont="1" applyFill="1" applyBorder="1" applyAlignment="1">
      <alignment horizontal="center" vertical="center" shrinkToFit="1"/>
    </xf>
    <xf numFmtId="0" fontId="38" fillId="8" borderId="101" xfId="0" applyFont="1" applyFill="1" applyBorder="1" applyAlignment="1">
      <alignment horizontal="center" vertical="center" shrinkToFit="1"/>
    </xf>
    <xf numFmtId="0" fontId="38" fillId="8" borderId="17" xfId="0" applyFont="1" applyFill="1" applyBorder="1" applyAlignment="1">
      <alignment horizontal="center" vertical="center" shrinkToFit="1"/>
    </xf>
    <xf numFmtId="0" fontId="38" fillId="8" borderId="110" xfId="0" applyFont="1" applyFill="1" applyBorder="1" applyAlignment="1">
      <alignment horizontal="center" vertical="center" shrinkToFit="1"/>
    </xf>
    <xf numFmtId="0" fontId="38" fillId="8" borderId="94" xfId="0" applyFont="1" applyFill="1" applyBorder="1" applyAlignment="1">
      <alignment horizontal="center" vertical="center" shrinkToFit="1"/>
    </xf>
    <xf numFmtId="0" fontId="38" fillId="8" borderId="90" xfId="0" applyFont="1" applyFill="1" applyBorder="1" applyAlignment="1">
      <alignment horizontal="center" vertical="center" shrinkToFit="1"/>
    </xf>
    <xf numFmtId="0" fontId="38" fillId="8" borderId="87" xfId="0" applyFont="1" applyFill="1" applyBorder="1" applyAlignment="1">
      <alignment horizontal="center" vertical="center" shrinkToFit="1"/>
    </xf>
    <xf numFmtId="0" fontId="38" fillId="8" borderId="29" xfId="0" applyFont="1" applyFill="1" applyBorder="1" applyAlignment="1">
      <alignment horizontal="center" vertical="center" shrinkToFit="1"/>
    </xf>
    <xf numFmtId="0" fontId="38" fillId="8" borderId="38" xfId="0" applyFont="1" applyFill="1" applyBorder="1" applyAlignment="1">
      <alignment horizontal="center" vertical="center" shrinkToFit="1"/>
    </xf>
    <xf numFmtId="0" fontId="38" fillId="8" borderId="11" xfId="0" applyFont="1" applyFill="1" applyBorder="1" applyAlignment="1">
      <alignment horizontal="center" vertical="center" shrinkToFit="1"/>
    </xf>
    <xf numFmtId="0" fontId="38" fillId="8" borderId="72" xfId="0" applyFont="1" applyFill="1" applyBorder="1" applyAlignment="1">
      <alignment horizontal="center" vertical="center" shrinkToFit="1"/>
    </xf>
    <xf numFmtId="0" fontId="38" fillId="8" borderId="70" xfId="0" applyFont="1" applyFill="1" applyBorder="1" applyAlignment="1">
      <alignment horizontal="center" vertical="center" shrinkToFit="1"/>
    </xf>
    <xf numFmtId="0" fontId="38" fillId="8" borderId="73" xfId="0" applyFont="1" applyFill="1" applyBorder="1" applyAlignment="1">
      <alignment horizontal="center" vertical="center" shrinkToFit="1"/>
    </xf>
    <xf numFmtId="176" fontId="15" fillId="8" borderId="13" xfId="0" applyNumberFormat="1" applyFont="1" applyFill="1" applyBorder="1" applyAlignment="1">
      <alignment horizontal="center" vertical="center" wrapText="1"/>
    </xf>
    <xf numFmtId="176" fontId="15" fillId="8" borderId="4" xfId="0" applyNumberFormat="1" applyFont="1" applyFill="1" applyBorder="1" applyAlignment="1">
      <alignment horizontal="center" vertical="center" wrapText="1"/>
    </xf>
    <xf numFmtId="176" fontId="15" fillId="8" borderId="10" xfId="0" applyNumberFormat="1" applyFont="1" applyFill="1" applyBorder="1" applyAlignment="1">
      <alignment horizontal="center" vertical="center" wrapText="1"/>
    </xf>
    <xf numFmtId="176" fontId="15" fillId="8" borderId="2" xfId="0" applyNumberFormat="1" applyFont="1" applyFill="1" applyBorder="1" applyAlignment="1">
      <alignment horizontal="center" vertical="center" wrapText="1"/>
    </xf>
    <xf numFmtId="176" fontId="15" fillId="8" borderId="56" xfId="0" applyNumberFormat="1" applyFont="1" applyFill="1" applyBorder="1" applyAlignment="1">
      <alignment horizontal="center" vertical="center" wrapText="1"/>
    </xf>
    <xf numFmtId="176" fontId="15" fillId="8" borderId="20" xfId="0" applyNumberFormat="1" applyFont="1" applyFill="1" applyBorder="1" applyAlignment="1">
      <alignment horizontal="center" vertical="center" wrapText="1"/>
    </xf>
    <xf numFmtId="176" fontId="37" fillId="8" borderId="13" xfId="0" applyNumberFormat="1" applyFont="1" applyFill="1" applyBorder="1" applyAlignment="1">
      <alignment horizontal="center" vertical="center" wrapText="1"/>
    </xf>
    <xf numFmtId="176" fontId="37" fillId="8" borderId="4" xfId="0" applyNumberFormat="1" applyFont="1" applyFill="1" applyBorder="1" applyAlignment="1">
      <alignment horizontal="center" vertical="center" wrapText="1"/>
    </xf>
    <xf numFmtId="176" fontId="37" fillId="8" borderId="10" xfId="0" applyNumberFormat="1" applyFont="1" applyFill="1" applyBorder="1" applyAlignment="1">
      <alignment horizontal="center" vertical="center" wrapText="1"/>
    </xf>
    <xf numFmtId="176" fontId="37" fillId="8" borderId="2" xfId="0" applyNumberFormat="1" applyFont="1" applyFill="1" applyBorder="1" applyAlignment="1">
      <alignment horizontal="center" vertical="center" wrapText="1"/>
    </xf>
    <xf numFmtId="176" fontId="37" fillId="8" borderId="56" xfId="0" applyNumberFormat="1" applyFont="1" applyFill="1" applyBorder="1" applyAlignment="1">
      <alignment horizontal="center" vertical="center" wrapText="1"/>
    </xf>
    <xf numFmtId="176" fontId="37" fillId="8" borderId="20" xfId="0" applyNumberFormat="1" applyFont="1" applyFill="1" applyBorder="1" applyAlignment="1">
      <alignment horizontal="center" vertical="center" wrapText="1"/>
    </xf>
    <xf numFmtId="176" fontId="37" fillId="0" borderId="56" xfId="0" applyNumberFormat="1" applyFont="1" applyFill="1" applyBorder="1" applyAlignment="1">
      <alignment horizontal="center" vertical="center" wrapText="1"/>
    </xf>
    <xf numFmtId="176" fontId="37" fillId="0" borderId="20" xfId="0" applyNumberFormat="1" applyFont="1" applyFill="1" applyBorder="1" applyAlignment="1">
      <alignment horizontal="center" vertical="center" wrapText="1"/>
    </xf>
    <xf numFmtId="176" fontId="37" fillId="8" borderId="18" xfId="0" applyNumberFormat="1" applyFont="1" applyFill="1" applyBorder="1" applyAlignment="1">
      <alignment horizontal="center" vertical="center" wrapText="1"/>
    </xf>
    <xf numFmtId="176" fontId="37" fillId="8" borderId="16" xfId="0" applyNumberFormat="1" applyFont="1" applyFill="1" applyBorder="1" applyAlignment="1">
      <alignment horizontal="center" vertical="center" wrapText="1"/>
    </xf>
    <xf numFmtId="176" fontId="37" fillId="0" borderId="18" xfId="0" applyNumberFormat="1" applyFont="1" applyFill="1" applyBorder="1" applyAlignment="1">
      <alignment horizontal="center" vertical="center" wrapText="1"/>
    </xf>
    <xf numFmtId="176" fontId="37" fillId="0" borderId="16" xfId="0" applyNumberFormat="1" applyFont="1" applyFill="1" applyBorder="1" applyAlignment="1">
      <alignment horizontal="center" vertical="center" wrapText="1"/>
    </xf>
    <xf numFmtId="176" fontId="37" fillId="0" borderId="12" xfId="0" applyNumberFormat="1" applyFont="1" applyFill="1" applyBorder="1" applyAlignment="1">
      <alignment horizontal="center" vertical="center" wrapText="1"/>
    </xf>
    <xf numFmtId="176" fontId="37" fillId="0" borderId="4" xfId="0" applyNumberFormat="1" applyFont="1" applyFill="1" applyBorder="1" applyAlignment="1">
      <alignment horizontal="center" vertical="center" wrapText="1"/>
    </xf>
    <xf numFmtId="176" fontId="37" fillId="0" borderId="17" xfId="0" applyNumberFormat="1" applyFont="1" applyFill="1" applyBorder="1" applyAlignment="1">
      <alignment horizontal="center" vertical="center" wrapText="1"/>
    </xf>
    <xf numFmtId="176" fontId="37" fillId="0" borderId="7" xfId="0" applyNumberFormat="1" applyFont="1" applyFill="1" applyBorder="1" applyAlignment="1">
      <alignment horizontal="center" vertical="center" wrapText="1"/>
    </xf>
    <xf numFmtId="176" fontId="37" fillId="0" borderId="2" xfId="0" applyNumberFormat="1" applyFont="1" applyFill="1" applyBorder="1" applyAlignment="1">
      <alignment horizontal="center" vertical="center" wrapText="1"/>
    </xf>
    <xf numFmtId="176" fontId="37" fillId="0" borderId="13" xfId="0" applyNumberFormat="1" applyFont="1" applyFill="1" applyBorder="1" applyAlignment="1">
      <alignment horizontal="center" vertical="center" wrapText="1"/>
    </xf>
    <xf numFmtId="176" fontId="37" fillId="0" borderId="10" xfId="0" applyNumberFormat="1" applyFont="1" applyFill="1" applyBorder="1" applyAlignment="1">
      <alignment horizontal="center" vertical="center" wrapText="1"/>
    </xf>
    <xf numFmtId="176" fontId="37" fillId="0" borderId="37" xfId="0" applyNumberFormat="1" applyFont="1" applyFill="1" applyBorder="1" applyAlignment="1">
      <alignment horizontal="center" vertical="center" wrapText="1"/>
    </xf>
    <xf numFmtId="176" fontId="37" fillId="0" borderId="27" xfId="0" applyNumberFormat="1" applyFont="1" applyFill="1" applyBorder="1" applyAlignment="1">
      <alignment horizontal="center" vertical="center" wrapText="1"/>
    </xf>
    <xf numFmtId="176" fontId="37" fillId="0" borderId="24" xfId="0" applyNumberFormat="1" applyFont="1" applyFill="1" applyBorder="1" applyAlignment="1">
      <alignment horizontal="center" vertical="center" wrapText="1"/>
    </xf>
    <xf numFmtId="176" fontId="37" fillId="0" borderId="21" xfId="0" applyNumberFormat="1" applyFont="1" applyFill="1" applyBorder="1" applyAlignment="1">
      <alignment horizontal="center" vertical="center" wrapText="1"/>
    </xf>
    <xf numFmtId="176" fontId="38" fillId="8" borderId="10" xfId="0" applyNumberFormat="1" applyFont="1" applyFill="1" applyBorder="1" applyAlignment="1">
      <alignment horizontal="center" vertical="center" wrapText="1"/>
    </xf>
    <xf numFmtId="176" fontId="3" fillId="0" borderId="85" xfId="0" applyNumberFormat="1" applyFont="1" applyFill="1" applyBorder="1" applyAlignment="1">
      <alignment vertical="center" wrapText="1"/>
    </xf>
    <xf numFmtId="176" fontId="3" fillId="8" borderId="85" xfId="0" applyNumberFormat="1" applyFont="1" applyFill="1" applyBorder="1" applyAlignment="1">
      <alignment horizontal="center" vertical="center" wrapText="1"/>
    </xf>
    <xf numFmtId="176" fontId="3" fillId="8" borderId="108" xfId="0" applyNumberFormat="1" applyFont="1" applyFill="1" applyBorder="1" applyAlignment="1">
      <alignment horizontal="center" vertical="center" wrapText="1"/>
    </xf>
    <xf numFmtId="176" fontId="3" fillId="0" borderId="100" xfId="0" applyNumberFormat="1" applyFont="1" applyFill="1" applyBorder="1" applyAlignment="1">
      <alignment horizontal="center" vertical="center" wrapText="1"/>
    </xf>
    <xf numFmtId="176" fontId="3" fillId="0" borderId="100" xfId="0" applyNumberFormat="1" applyFont="1" applyFill="1" applyBorder="1" applyAlignment="1">
      <alignment vertical="center" wrapText="1"/>
    </xf>
    <xf numFmtId="0" fontId="13" fillId="0" borderId="37" xfId="0" applyFont="1" applyFill="1" applyBorder="1" applyAlignment="1">
      <alignment horizontal="center" vertical="center" shrinkToFit="1"/>
    </xf>
    <xf numFmtId="176" fontId="37" fillId="0" borderId="38" xfId="0" applyNumberFormat="1" applyFont="1" applyFill="1" applyBorder="1" applyAlignment="1">
      <alignment horizontal="center" vertical="center" wrapText="1"/>
    </xf>
    <xf numFmtId="176" fontId="2" fillId="0" borderId="78" xfId="0" applyNumberFormat="1" applyFont="1" applyFill="1" applyBorder="1" applyAlignment="1">
      <alignment horizontal="center" vertical="center" wrapText="1"/>
    </xf>
    <xf numFmtId="176" fontId="3" fillId="8" borderId="86" xfId="0" applyNumberFormat="1" applyFont="1" applyFill="1" applyBorder="1" applyAlignment="1">
      <alignment horizontal="center" vertical="center" wrapText="1"/>
    </xf>
    <xf numFmtId="176" fontId="37" fillId="8" borderId="32" xfId="0" applyNumberFormat="1" applyFont="1" applyFill="1" applyBorder="1" applyAlignment="1">
      <alignment horizontal="center" vertical="center" wrapText="1"/>
    </xf>
    <xf numFmtId="176" fontId="37" fillId="0" borderId="32" xfId="0" applyNumberFormat="1" applyFont="1" applyFill="1" applyBorder="1" applyAlignment="1">
      <alignment horizontal="center" vertical="center" wrapText="1"/>
    </xf>
    <xf numFmtId="176" fontId="37" fillId="0" borderId="25" xfId="0" applyNumberFormat="1" applyFont="1" applyFill="1" applyBorder="1" applyAlignment="1">
      <alignment horizontal="center" vertical="center" wrapText="1"/>
    </xf>
    <xf numFmtId="176" fontId="37" fillId="0" borderId="109" xfId="0" applyNumberFormat="1" applyFont="1" applyFill="1" applyBorder="1" applyAlignment="1">
      <alignment horizontal="center" vertical="center" wrapText="1"/>
    </xf>
    <xf numFmtId="176" fontId="37" fillId="0" borderId="78" xfId="0" applyNumberFormat="1" applyFont="1" applyFill="1" applyBorder="1" applyAlignment="1">
      <alignment horizontal="center" vertical="center" wrapText="1"/>
    </xf>
    <xf numFmtId="0" fontId="38" fillId="8" borderId="75" xfId="0" applyFont="1" applyFill="1" applyBorder="1" applyAlignment="1">
      <alignment horizontal="center" vertical="center" shrinkToFit="1"/>
    </xf>
    <xf numFmtId="0" fontId="1" fillId="0" borderId="13" xfId="0" applyNumberFormat="1" applyFont="1" applyFill="1" applyBorder="1">
      <alignment vertical="center"/>
    </xf>
    <xf numFmtId="0" fontId="1" fillId="0" borderId="9" xfId="0" applyNumberFormat="1" applyFont="1" applyFill="1" applyBorder="1">
      <alignment vertical="center"/>
    </xf>
    <xf numFmtId="0" fontId="1" fillId="0" borderId="56" xfId="0" applyNumberFormat="1" applyFont="1" applyFill="1" applyBorder="1">
      <alignment vertical="center"/>
    </xf>
    <xf numFmtId="176" fontId="2" fillId="0" borderId="42" xfId="0" applyNumberFormat="1" applyFont="1" applyFill="1" applyBorder="1" applyAlignment="1">
      <alignment horizontal="center" vertical="center" wrapText="1"/>
    </xf>
    <xf numFmtId="176" fontId="2" fillId="0" borderId="30" xfId="0" applyNumberFormat="1" applyFont="1" applyFill="1" applyBorder="1" applyAlignment="1">
      <alignment horizontal="center" vertical="center" wrapText="1"/>
    </xf>
    <xf numFmtId="176" fontId="37" fillId="0" borderId="93" xfId="0" applyNumberFormat="1" applyFont="1" applyFill="1" applyBorder="1" applyAlignment="1">
      <alignment horizontal="center" vertical="center" wrapText="1"/>
    </xf>
    <xf numFmtId="176" fontId="3" fillId="8" borderId="96" xfId="0" applyNumberFormat="1" applyFont="1" applyFill="1" applyBorder="1" applyAlignment="1">
      <alignment horizontal="center" vertical="center" wrapText="1"/>
    </xf>
    <xf numFmtId="176" fontId="37" fillId="8" borderId="25" xfId="0" applyNumberFormat="1" applyFont="1" applyFill="1" applyBorder="1" applyAlignment="1">
      <alignment horizontal="center" vertical="center" wrapText="1"/>
    </xf>
    <xf numFmtId="176" fontId="3" fillId="8" borderId="31" xfId="0" applyNumberFormat="1" applyFont="1" applyFill="1" applyBorder="1" applyAlignment="1">
      <alignment horizontal="center" vertical="center" wrapText="1"/>
    </xf>
    <xf numFmtId="176" fontId="3" fillId="8" borderId="95" xfId="0" applyNumberFormat="1" applyFont="1" applyFill="1" applyBorder="1" applyAlignment="1">
      <alignment horizontal="center" vertical="center" wrapText="1"/>
    </xf>
    <xf numFmtId="0" fontId="15" fillId="8" borderId="13" xfId="0" applyFont="1" applyFill="1" applyBorder="1" applyAlignment="1">
      <alignment horizontal="center" vertical="center" shrinkToFit="1"/>
    </xf>
    <xf numFmtId="0" fontId="15" fillId="8" borderId="43" xfId="0" applyFont="1" applyFill="1" applyBorder="1" applyAlignment="1">
      <alignment horizontal="center" vertical="center" shrinkToFit="1"/>
    </xf>
    <xf numFmtId="0" fontId="8" fillId="8" borderId="13" xfId="0" applyFont="1" applyFill="1" applyBorder="1" applyAlignment="1">
      <alignment horizontal="center" vertical="center" shrinkToFit="1"/>
    </xf>
    <xf numFmtId="0" fontId="15" fillId="8" borderId="10" xfId="0" applyFont="1" applyFill="1" applyBorder="1" applyAlignment="1">
      <alignment horizontal="center" vertical="center" shrinkToFit="1"/>
    </xf>
    <xf numFmtId="0" fontId="15" fillId="8" borderId="103" xfId="0" applyFont="1" applyFill="1" applyBorder="1" applyAlignment="1">
      <alignment horizontal="center" vertical="center" shrinkToFit="1"/>
    </xf>
    <xf numFmtId="0" fontId="8" fillId="8" borderId="10" xfId="0" applyFont="1" applyFill="1" applyBorder="1" applyAlignment="1">
      <alignment horizontal="center" vertical="center" shrinkToFit="1"/>
    </xf>
    <xf numFmtId="0" fontId="15" fillId="8" borderId="37" xfId="0" applyFont="1" applyFill="1" applyBorder="1" applyAlignment="1">
      <alignment horizontal="center" vertical="center" shrinkToFit="1"/>
    </xf>
    <xf numFmtId="0" fontId="15" fillId="8" borderId="78" xfId="0" applyFont="1" applyFill="1" applyBorder="1" applyAlignment="1">
      <alignment horizontal="center" vertical="center" shrinkToFit="1"/>
    </xf>
    <xf numFmtId="176" fontId="2" fillId="0" borderId="78" xfId="0" applyNumberFormat="1" applyFont="1" applyFill="1" applyBorder="1" applyAlignment="1">
      <alignment horizontal="center" vertical="center" wrapText="1"/>
    </xf>
    <xf numFmtId="176" fontId="2" fillId="0" borderId="43" xfId="0" applyNumberFormat="1" applyFont="1" applyFill="1" applyBorder="1" applyAlignment="1">
      <alignment horizontal="center" vertical="center" wrapText="1"/>
    </xf>
    <xf numFmtId="0" fontId="37" fillId="8" borderId="27" xfId="0" applyNumberFormat="1" applyFont="1" applyFill="1" applyBorder="1" applyAlignment="1">
      <alignment horizontal="center" vertical="center" wrapText="1"/>
    </xf>
    <xf numFmtId="176" fontId="3" fillId="8" borderId="93" xfId="0" applyNumberFormat="1" applyFont="1" applyFill="1" applyBorder="1" applyAlignment="1">
      <alignment horizontal="center" vertical="center" wrapText="1"/>
    </xf>
    <xf numFmtId="0" fontId="9" fillId="8" borderId="6" xfId="0" applyFont="1" applyFill="1" applyBorder="1" applyAlignment="1">
      <alignment horizontal="center" vertical="center" shrinkToFit="1"/>
    </xf>
    <xf numFmtId="0" fontId="9" fillId="8" borderId="37" xfId="0" applyFont="1" applyFill="1" applyBorder="1" applyAlignment="1">
      <alignment horizontal="center" vertical="center" shrinkToFit="1"/>
    </xf>
    <xf numFmtId="176" fontId="3" fillId="0" borderId="9" xfId="0" applyNumberFormat="1" applyFont="1" applyFill="1" applyBorder="1" applyAlignment="1">
      <alignment vertical="center" wrapText="1"/>
    </xf>
    <xf numFmtId="176" fontId="3" fillId="0" borderId="3" xfId="0" applyNumberFormat="1" applyFont="1" applyFill="1" applyBorder="1" applyAlignment="1">
      <alignment vertical="center" wrapText="1"/>
    </xf>
    <xf numFmtId="0" fontId="9" fillId="8" borderId="78" xfId="0" applyFont="1" applyFill="1" applyBorder="1" applyAlignment="1">
      <alignment horizontal="center" vertical="center" shrinkToFit="1"/>
    </xf>
    <xf numFmtId="0" fontId="38" fillId="8" borderId="33" xfId="0" applyFont="1" applyFill="1" applyBorder="1" applyAlignment="1">
      <alignment horizontal="center" vertical="center" shrinkToFit="1"/>
    </xf>
    <xf numFmtId="176" fontId="37" fillId="0" borderId="26" xfId="0" applyNumberFormat="1" applyFont="1" applyFill="1" applyBorder="1" applyAlignment="1">
      <alignment horizontal="center" vertical="center" wrapText="1"/>
    </xf>
    <xf numFmtId="176" fontId="41" fillId="0" borderId="41" xfId="0" applyNumberFormat="1" applyFont="1" applyFill="1" applyBorder="1" applyAlignment="1">
      <alignment horizontal="center" vertical="center" wrapText="1"/>
    </xf>
    <xf numFmtId="176" fontId="2" fillId="8" borderId="78" xfId="0" applyNumberFormat="1" applyFont="1" applyFill="1" applyBorder="1" applyAlignment="1">
      <alignment horizontal="center" vertical="center" wrapText="1"/>
    </xf>
    <xf numFmtId="176" fontId="3" fillId="11" borderId="25" xfId="0" applyNumberFormat="1" applyFont="1" applyFill="1" applyBorder="1" applyAlignment="1">
      <alignment horizontal="center" vertical="center" wrapText="1"/>
    </xf>
    <xf numFmtId="176" fontId="37" fillId="8" borderId="80" xfId="0" applyNumberFormat="1" applyFont="1" applyFill="1" applyBorder="1" applyAlignment="1">
      <alignment horizontal="center" vertical="center" wrapText="1"/>
    </xf>
    <xf numFmtId="176" fontId="3" fillId="0" borderId="13" xfId="0" applyNumberFormat="1" applyFont="1" applyFill="1" applyBorder="1" applyAlignment="1">
      <alignment vertical="center" wrapText="1"/>
    </xf>
    <xf numFmtId="176" fontId="3" fillId="0" borderId="4" xfId="0" applyNumberFormat="1" applyFont="1" applyFill="1" applyBorder="1" applyAlignment="1">
      <alignment vertical="center" wrapText="1"/>
    </xf>
    <xf numFmtId="176" fontId="37" fillId="8" borderId="90" xfId="0" applyNumberFormat="1" applyFont="1" applyFill="1" applyBorder="1" applyAlignment="1">
      <alignment horizontal="center" vertical="center" wrapText="1"/>
    </xf>
    <xf numFmtId="176" fontId="2" fillId="8" borderId="77" xfId="0" applyNumberFormat="1" applyFont="1" applyFill="1" applyBorder="1" applyAlignment="1">
      <alignment horizontal="center" vertical="center" wrapText="1"/>
    </xf>
    <xf numFmtId="176" fontId="41" fillId="0" borderId="4" xfId="0" applyNumberFormat="1" applyFont="1" applyFill="1" applyBorder="1" applyAlignment="1">
      <alignment horizontal="center" vertical="center" wrapText="1"/>
    </xf>
    <xf numFmtId="0" fontId="9" fillId="8" borderId="76" xfId="0" applyFont="1" applyFill="1" applyBorder="1" applyAlignment="1">
      <alignment horizontal="center" vertical="center" shrinkToFit="1"/>
    </xf>
    <xf numFmtId="0" fontId="9" fillId="8" borderId="91" xfId="0" applyFont="1" applyFill="1" applyBorder="1" applyAlignment="1">
      <alignment horizontal="center" vertical="center" shrinkToFit="1"/>
    </xf>
    <xf numFmtId="176" fontId="37" fillId="8" borderId="109" xfId="0" applyNumberFormat="1" applyFont="1" applyFill="1" applyBorder="1" applyAlignment="1">
      <alignment horizontal="center" vertical="center" wrapText="1"/>
    </xf>
    <xf numFmtId="176" fontId="37" fillId="8" borderId="81" xfId="0" applyNumberFormat="1" applyFont="1" applyFill="1" applyBorder="1" applyAlignment="1">
      <alignment horizontal="center" vertical="center" wrapText="1"/>
    </xf>
    <xf numFmtId="176" fontId="37" fillId="8" borderId="93" xfId="0" applyNumberFormat="1" applyFont="1" applyFill="1" applyBorder="1" applyAlignment="1">
      <alignment horizontal="center" vertical="center" wrapText="1"/>
    </xf>
    <xf numFmtId="176" fontId="37" fillId="8" borderId="25" xfId="0" applyNumberFormat="1" applyFont="1" applyFill="1" applyBorder="1" applyAlignment="1">
      <alignment horizontal="center" vertical="center" wrapText="1"/>
    </xf>
    <xf numFmtId="176" fontId="2" fillId="2" borderId="24" xfId="0" applyNumberFormat="1" applyFont="1" applyFill="1" applyBorder="1" applyAlignment="1">
      <alignment horizontal="center" vertical="center" wrapText="1"/>
    </xf>
    <xf numFmtId="176" fontId="2" fillId="2" borderId="35" xfId="0" applyNumberFormat="1" applyFont="1" applyFill="1" applyBorder="1" applyAlignment="1">
      <alignment horizontal="center" vertical="center" wrapText="1"/>
    </xf>
    <xf numFmtId="176" fontId="2" fillId="2" borderId="37" xfId="0" applyNumberFormat="1" applyFont="1" applyFill="1" applyBorder="1" applyAlignment="1">
      <alignment horizontal="center" vertical="center" wrapText="1"/>
    </xf>
    <xf numFmtId="176" fontId="2" fillId="0" borderId="31" xfId="0" applyNumberFormat="1" applyFont="1" applyFill="1" applyBorder="1" applyAlignment="1">
      <alignment horizontal="center" vertical="center" wrapText="1"/>
    </xf>
    <xf numFmtId="176" fontId="2" fillId="0" borderId="32" xfId="0" applyNumberFormat="1" applyFont="1" applyFill="1" applyBorder="1" applyAlignment="1">
      <alignment horizontal="center" vertical="center" wrapText="1"/>
    </xf>
    <xf numFmtId="176" fontId="2" fillId="0" borderId="25" xfId="0" applyNumberFormat="1" applyFont="1" applyFill="1" applyBorder="1" applyAlignment="1">
      <alignment horizontal="center" vertical="center" wrapText="1"/>
    </xf>
    <xf numFmtId="0" fontId="37" fillId="8" borderId="21" xfId="0" applyNumberFormat="1" applyFont="1" applyFill="1" applyBorder="1" applyAlignment="1">
      <alignment horizontal="center" vertical="center" wrapText="1"/>
    </xf>
    <xf numFmtId="0" fontId="37" fillId="8" borderId="16" xfId="0" applyNumberFormat="1" applyFont="1" applyFill="1" applyBorder="1" applyAlignment="1">
      <alignment horizontal="center" vertical="center" wrapText="1"/>
    </xf>
    <xf numFmtId="0" fontId="37" fillId="8" borderId="3" xfId="0" applyNumberFormat="1" applyFont="1" applyFill="1" applyBorder="1" applyAlignment="1">
      <alignment horizontal="center" vertical="center" wrapText="1"/>
    </xf>
    <xf numFmtId="0" fontId="37" fillId="8" borderId="27" xfId="0" applyNumberFormat="1" applyFont="1" applyFill="1" applyBorder="1" applyAlignment="1">
      <alignment horizontal="center" vertical="center" wrapText="1"/>
    </xf>
    <xf numFmtId="0" fontId="9" fillId="8" borderId="9" xfId="0" applyFont="1" applyFill="1" applyBorder="1" applyAlignment="1">
      <alignment horizontal="center" vertical="center" shrinkToFit="1"/>
    </xf>
    <xf numFmtId="0" fontId="9" fillId="8" borderId="18" xfId="0" applyFont="1" applyFill="1" applyBorder="1" applyAlignment="1">
      <alignment horizontal="center" vertical="center" shrinkToFit="1"/>
    </xf>
    <xf numFmtId="176" fontId="39" fillId="8" borderId="93" xfId="0" applyNumberFormat="1" applyFont="1" applyFill="1" applyBorder="1" applyAlignment="1">
      <alignment horizontal="center" vertical="center" wrapText="1"/>
    </xf>
    <xf numFmtId="176" fontId="39" fillId="8" borderId="32" xfId="0" applyNumberFormat="1" applyFont="1" applyFill="1" applyBorder="1" applyAlignment="1">
      <alignment horizontal="center" vertical="center" wrapText="1"/>
    </xf>
    <xf numFmtId="176" fontId="39" fillId="8" borderId="25" xfId="0" applyNumberFormat="1" applyFont="1" applyFill="1" applyBorder="1" applyAlignment="1">
      <alignment horizontal="center" vertical="center" wrapText="1"/>
    </xf>
    <xf numFmtId="0" fontId="38" fillId="8" borderId="24" xfId="0" applyFont="1" applyFill="1" applyBorder="1" applyAlignment="1">
      <alignment horizontal="center" vertical="center" shrinkToFit="1"/>
    </xf>
    <xf numFmtId="0" fontId="38" fillId="8" borderId="37" xfId="0" applyFont="1" applyFill="1" applyBorder="1" applyAlignment="1">
      <alignment horizontal="center" vertical="center" shrinkToFit="1"/>
    </xf>
    <xf numFmtId="0" fontId="9" fillId="8" borderId="21" xfId="0" applyFont="1" applyFill="1" applyBorder="1" applyAlignment="1">
      <alignment horizontal="center" vertical="center" wrapText="1" shrinkToFit="1"/>
    </xf>
    <xf numFmtId="0" fontId="9" fillId="8" borderId="16" xfId="0" applyFont="1" applyFill="1" applyBorder="1" applyAlignment="1">
      <alignment horizontal="center" vertical="center" wrapText="1" shrinkToFit="1"/>
    </xf>
    <xf numFmtId="0" fontId="38" fillId="8" borderId="18" xfId="0" applyFont="1" applyFill="1" applyBorder="1" applyAlignment="1">
      <alignment horizontal="center" vertical="center" shrinkToFit="1"/>
    </xf>
    <xf numFmtId="0" fontId="9" fillId="8" borderId="24" xfId="0" applyFont="1" applyFill="1" applyBorder="1" applyAlignment="1">
      <alignment horizontal="center" vertical="center" shrinkToFit="1"/>
    </xf>
    <xf numFmtId="176" fontId="3" fillId="8" borderId="3" xfId="0" applyNumberFormat="1" applyFont="1" applyFill="1" applyBorder="1" applyAlignment="1">
      <alignment horizontal="center" vertical="center" wrapText="1"/>
    </xf>
    <xf numFmtId="176" fontId="3" fillId="8" borderId="27" xfId="0" applyNumberFormat="1" applyFont="1" applyFill="1" applyBorder="1" applyAlignment="1">
      <alignment horizontal="center" vertical="center" wrapText="1"/>
    </xf>
    <xf numFmtId="0" fontId="9" fillId="8" borderId="21" xfId="0" applyFont="1" applyFill="1" applyBorder="1" applyAlignment="1">
      <alignment horizontal="center" vertical="center" shrinkToFit="1"/>
    </xf>
    <xf numFmtId="0" fontId="9" fillId="8" borderId="16" xfId="0" applyFont="1" applyFill="1" applyBorder="1" applyAlignment="1">
      <alignment horizontal="center" vertical="center" shrinkToFit="1"/>
    </xf>
    <xf numFmtId="176" fontId="3" fillId="0" borderId="9" xfId="0" applyNumberFormat="1" applyFont="1" applyFill="1" applyBorder="1" applyAlignment="1">
      <alignment horizontal="center" vertical="center" wrapText="1"/>
    </xf>
    <xf numFmtId="176" fontId="3" fillId="0" borderId="37" xfId="0" applyNumberFormat="1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shrinkToFit="1"/>
    </xf>
    <xf numFmtId="0" fontId="9" fillId="8" borderId="27" xfId="0" applyFont="1" applyFill="1" applyBorder="1" applyAlignment="1">
      <alignment horizontal="center" vertical="center" shrinkToFit="1"/>
    </xf>
    <xf numFmtId="0" fontId="37" fillId="8" borderId="24" xfId="0" applyNumberFormat="1" applyFont="1" applyFill="1" applyBorder="1" applyAlignment="1">
      <alignment horizontal="center" vertical="center" wrapText="1"/>
    </xf>
    <xf numFmtId="0" fontId="37" fillId="8" borderId="18" xfId="0" applyNumberFormat="1" applyFont="1" applyFill="1" applyBorder="1" applyAlignment="1">
      <alignment horizontal="center" vertical="center" wrapText="1"/>
    </xf>
    <xf numFmtId="0" fontId="37" fillId="8" borderId="9" xfId="0" applyNumberFormat="1" applyFont="1" applyFill="1" applyBorder="1" applyAlignment="1">
      <alignment horizontal="center" vertical="center" wrapText="1"/>
    </xf>
    <xf numFmtId="0" fontId="37" fillId="8" borderId="37" xfId="0" applyNumberFormat="1" applyFont="1" applyFill="1" applyBorder="1" applyAlignment="1">
      <alignment horizontal="center" vertical="center" wrapText="1"/>
    </xf>
    <xf numFmtId="0" fontId="38" fillId="8" borderId="9" xfId="0" applyFont="1" applyFill="1" applyBorder="1" applyAlignment="1">
      <alignment horizontal="center" vertical="center" shrinkToFit="1"/>
    </xf>
    <xf numFmtId="176" fontId="37" fillId="0" borderId="9" xfId="0" applyNumberFormat="1" applyFont="1" applyFill="1" applyBorder="1" applyAlignment="1">
      <alignment horizontal="center" vertical="center" wrapText="1"/>
    </xf>
    <xf numFmtId="176" fontId="37" fillId="0" borderId="37" xfId="0" applyNumberFormat="1" applyFont="1" applyFill="1" applyBorder="1" applyAlignment="1">
      <alignment horizontal="center" vertical="center" wrapText="1"/>
    </xf>
    <xf numFmtId="176" fontId="37" fillId="0" borderId="3" xfId="0" applyNumberFormat="1" applyFont="1" applyFill="1" applyBorder="1" applyAlignment="1">
      <alignment horizontal="center" vertical="center" wrapText="1"/>
    </xf>
    <xf numFmtId="176" fontId="37" fillId="0" borderId="27" xfId="0" applyNumberFormat="1" applyFont="1" applyFill="1" applyBorder="1" applyAlignment="1">
      <alignment horizontal="center" vertical="center" wrapText="1"/>
    </xf>
    <xf numFmtId="176" fontId="3" fillId="8" borderId="93" xfId="0" applyNumberFormat="1" applyFont="1" applyFill="1" applyBorder="1" applyAlignment="1">
      <alignment horizontal="center" vertical="center" wrapText="1"/>
    </xf>
    <xf numFmtId="176" fontId="3" fillId="8" borderId="25" xfId="0" applyNumberFormat="1" applyFont="1" applyFill="1" applyBorder="1" applyAlignment="1">
      <alignment horizontal="center" vertical="center" wrapText="1"/>
    </xf>
    <xf numFmtId="176" fontId="14" fillId="10" borderId="42" xfId="0" applyNumberFormat="1" applyFont="1" applyFill="1" applyBorder="1" applyAlignment="1">
      <alignment horizontal="center" vertical="center" wrapText="1"/>
    </xf>
    <xf numFmtId="176" fontId="14" fillId="10" borderId="43" xfId="0" applyNumberFormat="1" applyFont="1" applyFill="1" applyBorder="1" applyAlignment="1">
      <alignment horizontal="center" vertical="center" wrapText="1"/>
    </xf>
    <xf numFmtId="176" fontId="4" fillId="7" borderId="39" xfId="0" applyNumberFormat="1" applyFont="1" applyFill="1" applyBorder="1" applyAlignment="1">
      <alignment horizontal="center" vertical="center" wrapText="1"/>
    </xf>
    <xf numFmtId="176" fontId="4" fillId="7" borderId="44" xfId="0" applyNumberFormat="1" applyFont="1" applyFill="1" applyBorder="1" applyAlignment="1">
      <alignment horizontal="center" vertical="center" wrapText="1"/>
    </xf>
    <xf numFmtId="176" fontId="4" fillId="7" borderId="40" xfId="0" applyNumberFormat="1" applyFont="1" applyFill="1" applyBorder="1" applyAlignment="1">
      <alignment horizontal="center" vertical="center" wrapText="1"/>
    </xf>
    <xf numFmtId="176" fontId="2" fillId="4" borderId="39" xfId="0" applyNumberFormat="1" applyFont="1" applyFill="1" applyBorder="1" applyAlignment="1">
      <alignment horizontal="center" vertical="center" wrapText="1"/>
    </xf>
    <xf numFmtId="176" fontId="2" fillId="4" borderId="33" xfId="0" applyNumberFormat="1" applyFont="1" applyFill="1" applyBorder="1" applyAlignment="1">
      <alignment horizontal="center" vertical="center" wrapText="1"/>
    </xf>
    <xf numFmtId="176" fontId="2" fillId="4" borderId="78" xfId="0" applyNumberFormat="1" applyFont="1" applyFill="1" applyBorder="1" applyAlignment="1">
      <alignment horizontal="center" vertical="center" wrapText="1"/>
    </xf>
    <xf numFmtId="176" fontId="4" fillId="5" borderId="39" xfId="0" applyNumberFormat="1" applyFont="1" applyFill="1" applyBorder="1" applyAlignment="1">
      <alignment horizontal="center" vertical="center" wrapText="1"/>
    </xf>
    <xf numFmtId="176" fontId="4" fillId="5" borderId="44" xfId="0" applyNumberFormat="1" applyFont="1" applyFill="1" applyBorder="1" applyAlignment="1">
      <alignment horizontal="center" vertical="center" wrapText="1"/>
    </xf>
    <xf numFmtId="176" fontId="4" fillId="5" borderId="40" xfId="0" applyNumberFormat="1" applyFont="1" applyFill="1" applyBorder="1" applyAlignment="1">
      <alignment horizontal="center" vertical="center" wrapText="1"/>
    </xf>
    <xf numFmtId="176" fontId="4" fillId="6" borderId="39" xfId="0" applyNumberFormat="1" applyFont="1" applyFill="1" applyBorder="1" applyAlignment="1">
      <alignment horizontal="center" vertical="center" wrapText="1"/>
    </xf>
    <xf numFmtId="176" fontId="4" fillId="6" borderId="44" xfId="0" applyNumberFormat="1" applyFont="1" applyFill="1" applyBorder="1" applyAlignment="1">
      <alignment horizontal="center" vertical="center" wrapText="1"/>
    </xf>
    <xf numFmtId="176" fontId="4" fillId="6" borderId="40" xfId="0" applyNumberFormat="1" applyFont="1" applyFill="1" applyBorder="1" applyAlignment="1">
      <alignment horizontal="center" vertical="center" wrapText="1"/>
    </xf>
    <xf numFmtId="0" fontId="9" fillId="8" borderId="34" xfId="0" applyFont="1" applyFill="1" applyBorder="1" applyAlignment="1">
      <alignment horizontal="center" vertical="center" shrinkToFit="1"/>
    </xf>
    <xf numFmtId="0" fontId="9" fillId="8" borderId="15" xfId="0" applyFont="1" applyFill="1" applyBorder="1" applyAlignment="1">
      <alignment horizontal="center" vertical="center" shrinkToFit="1"/>
    </xf>
    <xf numFmtId="176" fontId="2" fillId="8" borderId="9" xfId="0" applyNumberFormat="1" applyFont="1" applyFill="1" applyBorder="1" applyAlignment="1">
      <alignment horizontal="center" vertical="center" wrapText="1"/>
    </xf>
    <xf numFmtId="176" fontId="2" fillId="8" borderId="37" xfId="0" applyNumberFormat="1" applyFont="1" applyFill="1" applyBorder="1" applyAlignment="1">
      <alignment horizontal="center" vertical="center" wrapText="1"/>
    </xf>
    <xf numFmtId="0" fontId="9" fillId="8" borderId="19" xfId="0" applyFont="1" applyFill="1" applyBorder="1" applyAlignment="1">
      <alignment horizontal="center" vertical="center" shrinkToFit="1"/>
    </xf>
    <xf numFmtId="0" fontId="9" fillId="8" borderId="6" xfId="0" applyFont="1" applyFill="1" applyBorder="1" applyAlignment="1">
      <alignment horizontal="center" vertical="center" shrinkToFit="1"/>
    </xf>
    <xf numFmtId="0" fontId="2" fillId="0" borderId="31" xfId="0" applyNumberFormat="1" applyFont="1" applyFill="1" applyBorder="1" applyAlignment="1" applyProtection="1">
      <alignment horizontal="center" vertical="center" wrapText="1"/>
    </xf>
    <xf numFmtId="0" fontId="2" fillId="0" borderId="32" xfId="0" applyNumberFormat="1" applyFont="1" applyFill="1" applyBorder="1" applyAlignment="1" applyProtection="1">
      <alignment horizontal="center" vertical="center" wrapText="1"/>
    </xf>
    <xf numFmtId="0" fontId="2" fillId="0" borderId="25" xfId="0" applyNumberFormat="1" applyFont="1" applyFill="1" applyBorder="1" applyAlignment="1" applyProtection="1">
      <alignment horizontal="center" vertical="center" wrapText="1"/>
    </xf>
    <xf numFmtId="0" fontId="9" fillId="8" borderId="37" xfId="0" applyFont="1" applyFill="1" applyBorder="1" applyAlignment="1">
      <alignment horizontal="center" vertical="center" shrinkToFit="1"/>
    </xf>
    <xf numFmtId="176" fontId="2" fillId="0" borderId="96" xfId="0" applyNumberFormat="1" applyFont="1" applyBorder="1" applyAlignment="1">
      <alignment horizontal="center" vertical="center" wrapText="1"/>
    </xf>
    <xf numFmtId="176" fontId="2" fillId="0" borderId="81" xfId="0" applyNumberFormat="1" applyFont="1" applyBorder="1" applyAlignment="1">
      <alignment horizontal="center" vertical="center" wrapText="1"/>
    </xf>
    <xf numFmtId="176" fontId="2" fillId="0" borderId="78" xfId="0" applyNumberFormat="1" applyFont="1" applyBorder="1" applyAlignment="1">
      <alignment horizontal="center" vertical="center" wrapText="1"/>
    </xf>
    <xf numFmtId="0" fontId="2" fillId="0" borderId="96" xfId="0" applyNumberFormat="1" applyFont="1" applyFill="1" applyBorder="1" applyAlignment="1">
      <alignment horizontal="center" vertical="center"/>
    </xf>
    <xf numFmtId="0" fontId="2" fillId="0" borderId="78" xfId="0" applyNumberFormat="1" applyFont="1" applyFill="1" applyBorder="1" applyAlignment="1">
      <alignment horizontal="center" vertical="center"/>
    </xf>
    <xf numFmtId="176" fontId="2" fillId="0" borderId="96" xfId="0" applyNumberFormat="1" applyFont="1" applyFill="1" applyBorder="1" applyAlignment="1">
      <alignment horizontal="center" vertical="center" wrapText="1"/>
    </xf>
    <xf numFmtId="176" fontId="2" fillId="0" borderId="81" xfId="0" applyNumberFormat="1" applyFont="1" applyFill="1" applyBorder="1" applyAlignment="1">
      <alignment horizontal="center" vertical="center" wrapText="1"/>
    </xf>
    <xf numFmtId="176" fontId="2" fillId="0" borderId="78" xfId="0" applyNumberFormat="1" applyFont="1" applyFill="1" applyBorder="1" applyAlignment="1">
      <alignment horizontal="center" vertical="center" wrapText="1"/>
    </xf>
    <xf numFmtId="176" fontId="2" fillId="0" borderId="43" xfId="0" applyNumberFormat="1" applyFont="1" applyFill="1" applyBorder="1" applyAlignment="1">
      <alignment horizontal="center" vertical="center" wrapText="1"/>
    </xf>
    <xf numFmtId="176" fontId="2" fillId="0" borderId="103" xfId="0" applyNumberFormat="1" applyFont="1" applyFill="1" applyBorder="1" applyAlignment="1">
      <alignment horizontal="center" vertical="center" wrapText="1"/>
    </xf>
    <xf numFmtId="176" fontId="2" fillId="0" borderId="108" xfId="0" applyNumberFormat="1" applyFont="1" applyFill="1" applyBorder="1" applyAlignment="1">
      <alignment horizontal="center" vertical="center" wrapText="1"/>
    </xf>
    <xf numFmtId="176" fontId="2" fillId="8" borderId="31" xfId="0" applyNumberFormat="1" applyFont="1" applyFill="1" applyBorder="1" applyAlignment="1">
      <alignment horizontal="center" vertical="center" wrapText="1"/>
    </xf>
    <xf numFmtId="176" fontId="2" fillId="8" borderId="32" xfId="0" applyNumberFormat="1" applyFont="1" applyFill="1" applyBorder="1" applyAlignment="1">
      <alignment horizontal="center" vertical="center" wrapText="1"/>
    </xf>
    <xf numFmtId="176" fontId="2" fillId="8" borderId="25" xfId="0" applyNumberFormat="1" applyFont="1" applyFill="1" applyBorder="1" applyAlignment="1">
      <alignment horizontal="center" vertical="center" wrapText="1"/>
    </xf>
    <xf numFmtId="176" fontId="2" fillId="0" borderId="77" xfId="0" applyNumberFormat="1" applyFont="1" applyFill="1" applyBorder="1" applyAlignment="1">
      <alignment horizontal="center" vertical="center" wrapText="1"/>
    </xf>
    <xf numFmtId="176" fontId="2" fillId="0" borderId="95" xfId="0" applyNumberFormat="1" applyFont="1" applyFill="1" applyBorder="1" applyAlignment="1">
      <alignment horizontal="center" vertical="center" wrapText="1"/>
    </xf>
    <xf numFmtId="176" fontId="2" fillId="0" borderId="86" xfId="0" applyNumberFormat="1" applyFont="1" applyFill="1" applyBorder="1" applyAlignment="1">
      <alignment horizontal="center" vertical="center" wrapText="1"/>
    </xf>
    <xf numFmtId="176" fontId="2" fillId="0" borderId="31" xfId="0" applyNumberFormat="1" applyFont="1" applyFill="1" applyBorder="1" applyAlignment="1">
      <alignment horizontal="center" vertical="center"/>
    </xf>
    <xf numFmtId="176" fontId="2" fillId="0" borderId="32" xfId="0" applyNumberFormat="1" applyFont="1" applyFill="1" applyBorder="1" applyAlignment="1">
      <alignment horizontal="center" vertical="center"/>
    </xf>
    <xf numFmtId="176" fontId="2" fillId="0" borderId="25" xfId="0" applyNumberFormat="1" applyFont="1" applyFill="1" applyBorder="1" applyAlignment="1">
      <alignment horizontal="center" vertical="center"/>
    </xf>
    <xf numFmtId="0" fontId="6" fillId="0" borderId="39" xfId="0" applyNumberFormat="1" applyFont="1" applyFill="1" applyBorder="1" applyAlignment="1">
      <alignment horizontal="center" vertical="center" wrapText="1"/>
    </xf>
    <xf numFmtId="0" fontId="6" fillId="0" borderId="44" xfId="0" applyNumberFormat="1" applyFont="1" applyFill="1" applyBorder="1" applyAlignment="1">
      <alignment horizontal="center" vertical="center" wrapText="1"/>
    </xf>
    <xf numFmtId="0" fontId="6" fillId="0" borderId="40" xfId="0" applyNumberFormat="1" applyFont="1" applyFill="1" applyBorder="1" applyAlignment="1">
      <alignment horizontal="center" vertical="center" wrapText="1"/>
    </xf>
    <xf numFmtId="0" fontId="3" fillId="0" borderId="33" xfId="0" applyNumberFormat="1" applyFont="1" applyFill="1" applyBorder="1" applyAlignment="1">
      <alignment horizontal="right" vertical="center" wrapText="1"/>
    </xf>
    <xf numFmtId="0" fontId="2" fillId="3" borderId="31" xfId="0" applyNumberFormat="1" applyFont="1" applyFill="1" applyBorder="1" applyAlignment="1">
      <alignment horizontal="center" vertical="center"/>
    </xf>
    <xf numFmtId="0" fontId="2" fillId="3" borderId="25" xfId="0" applyNumberFormat="1" applyFont="1" applyFill="1" applyBorder="1" applyAlignment="1">
      <alignment horizontal="center" vertical="center"/>
    </xf>
    <xf numFmtId="176" fontId="2" fillId="3" borderId="34" xfId="0" applyNumberFormat="1" applyFont="1" applyFill="1" applyBorder="1" applyAlignment="1">
      <alignment horizontal="center" vertical="center" wrapText="1"/>
    </xf>
    <xf numFmtId="176" fontId="2" fillId="3" borderId="6" xfId="0" applyNumberFormat="1" applyFont="1" applyFill="1" applyBorder="1" applyAlignment="1">
      <alignment horizontal="center" vertical="center" wrapText="1"/>
    </xf>
    <xf numFmtId="176" fontId="2" fillId="3" borderId="23" xfId="0" applyNumberFormat="1" applyFont="1" applyFill="1" applyBorder="1" applyAlignment="1">
      <alignment horizontal="center" vertical="center" wrapText="1"/>
    </xf>
    <xf numFmtId="176" fontId="2" fillId="3" borderId="64" xfId="0" applyNumberFormat="1" applyFont="1" applyFill="1" applyBorder="1" applyAlignment="1">
      <alignment horizontal="center" vertical="center" wrapText="1"/>
    </xf>
    <xf numFmtId="176" fontId="2" fillId="3" borderId="41" xfId="0" applyNumberFormat="1" applyFont="1" applyFill="1" applyBorder="1" applyAlignment="1">
      <alignment horizontal="center" vertical="center" wrapText="1"/>
    </xf>
    <xf numFmtId="176" fontId="2" fillId="3" borderId="0" xfId="0" applyNumberFormat="1" applyFont="1" applyFill="1" applyBorder="1" applyAlignment="1">
      <alignment horizontal="center" vertical="center" wrapText="1"/>
    </xf>
    <xf numFmtId="176" fontId="2" fillId="3" borderId="24" xfId="0" applyNumberFormat="1" applyFont="1" applyFill="1" applyBorder="1" applyAlignment="1">
      <alignment horizontal="center" vertical="center" wrapText="1"/>
    </xf>
    <xf numFmtId="176" fontId="2" fillId="3" borderId="35" xfId="0" applyNumberFormat="1" applyFont="1" applyFill="1" applyBorder="1" applyAlignment="1">
      <alignment horizontal="center" vertical="center" wrapText="1"/>
    </xf>
    <xf numFmtId="176" fontId="2" fillId="3" borderId="21" xfId="0" applyNumberFormat="1" applyFont="1" applyFill="1" applyBorder="1" applyAlignment="1">
      <alignment horizontal="center" vertical="center" wrapText="1"/>
    </xf>
    <xf numFmtId="176" fontId="2" fillId="3" borderId="38" xfId="0" applyNumberFormat="1" applyFont="1" applyFill="1" applyBorder="1" applyAlignment="1">
      <alignment horizontal="center" vertical="center" wrapText="1"/>
    </xf>
    <xf numFmtId="176" fontId="2" fillId="3" borderId="42" xfId="0" applyNumberFormat="1" applyFont="1" applyFill="1" applyBorder="1" applyAlignment="1">
      <alignment horizontal="center" vertical="center" wrapText="1"/>
    </xf>
    <xf numFmtId="176" fontId="2" fillId="3" borderId="43" xfId="0" applyNumberFormat="1" applyFont="1" applyFill="1" applyBorder="1" applyAlignment="1">
      <alignment horizontal="center" vertical="center" wrapText="1"/>
    </xf>
    <xf numFmtId="176" fontId="2" fillId="3" borderId="31" xfId="0" applyNumberFormat="1" applyFont="1" applyFill="1" applyBorder="1" applyAlignment="1">
      <alignment horizontal="center" vertical="center" wrapText="1"/>
    </xf>
    <xf numFmtId="176" fontId="2" fillId="3" borderId="32" xfId="0" applyNumberFormat="1" applyFont="1" applyFill="1" applyBorder="1" applyAlignment="1">
      <alignment horizontal="center" vertical="center" wrapText="1"/>
    </xf>
    <xf numFmtId="176" fontId="2" fillId="3" borderId="96" xfId="0" applyNumberFormat="1" applyFont="1" applyFill="1" applyBorder="1" applyAlignment="1">
      <alignment horizontal="center" vertical="center" wrapText="1"/>
    </xf>
    <xf numFmtId="176" fontId="2" fillId="3" borderId="81" xfId="0" applyNumberFormat="1" applyFont="1" applyFill="1" applyBorder="1" applyAlignment="1">
      <alignment horizontal="center" vertical="center" wrapText="1"/>
    </xf>
    <xf numFmtId="0" fontId="4" fillId="0" borderId="31" xfId="0" applyNumberFormat="1" applyFont="1" applyFill="1" applyBorder="1" applyAlignment="1" applyProtection="1">
      <alignment horizontal="center" vertical="center" wrapText="1"/>
    </xf>
    <xf numFmtId="0" fontId="40" fillId="0" borderId="25" xfId="0" applyNumberFormat="1" applyFont="1" applyFill="1" applyBorder="1" applyAlignment="1" applyProtection="1">
      <alignment horizontal="center" vertical="center" wrapText="1"/>
    </xf>
    <xf numFmtId="176" fontId="2" fillId="0" borderId="43" xfId="0" applyNumberFormat="1" applyFont="1" applyBorder="1" applyAlignment="1">
      <alignment horizontal="center" vertical="center" wrapText="1"/>
    </xf>
    <xf numFmtId="176" fontId="2" fillId="0" borderId="85" xfId="0" applyNumberFormat="1" applyFont="1" applyBorder="1" applyAlignment="1">
      <alignment horizontal="center" vertical="center" wrapText="1"/>
    </xf>
    <xf numFmtId="176" fontId="2" fillId="0" borderId="108" xfId="0" applyNumberFormat="1" applyFont="1" applyBorder="1" applyAlignment="1">
      <alignment horizontal="center" vertical="center" wrapText="1"/>
    </xf>
    <xf numFmtId="0" fontId="2" fillId="2" borderId="31" xfId="0" applyNumberFormat="1" applyFont="1" applyFill="1" applyBorder="1" applyAlignment="1">
      <alignment horizontal="center" vertical="center" wrapText="1"/>
    </xf>
    <xf numFmtId="0" fontId="2" fillId="2" borderId="32" xfId="0" applyNumberFormat="1" applyFont="1" applyFill="1" applyBorder="1" applyAlignment="1">
      <alignment horizontal="center" vertical="center" wrapText="1"/>
    </xf>
    <xf numFmtId="0" fontId="2" fillId="2" borderId="25" xfId="0" applyNumberFormat="1" applyFont="1" applyFill="1" applyBorder="1" applyAlignment="1">
      <alignment horizontal="center" vertical="center" wrapText="1"/>
    </xf>
    <xf numFmtId="176" fontId="2" fillId="2" borderId="24" xfId="0" applyNumberFormat="1" applyFont="1" applyFill="1" applyBorder="1" applyAlignment="1">
      <alignment horizontal="center" vertical="center" shrinkToFit="1"/>
    </xf>
    <xf numFmtId="176" fontId="2" fillId="2" borderId="37" xfId="0" applyNumberFormat="1" applyFont="1" applyFill="1" applyBorder="1" applyAlignment="1">
      <alignment horizontal="center" vertical="center" shrinkToFit="1"/>
    </xf>
    <xf numFmtId="176" fontId="4" fillId="8" borderId="24" xfId="0" applyNumberFormat="1" applyFont="1" applyFill="1" applyBorder="1" applyAlignment="1">
      <alignment horizontal="center" vertical="center" wrapText="1"/>
    </xf>
    <xf numFmtId="176" fontId="4" fillId="8" borderId="37" xfId="0" applyNumberFormat="1" applyFont="1" applyFill="1" applyBorder="1" applyAlignment="1">
      <alignment horizontal="center" vertical="center" wrapText="1"/>
    </xf>
    <xf numFmtId="176" fontId="4" fillId="5" borderId="42" xfId="0" applyNumberFormat="1" applyFont="1" applyFill="1" applyBorder="1" applyAlignment="1">
      <alignment horizontal="center" vertical="center" wrapText="1"/>
    </xf>
    <xf numFmtId="176" fontId="4" fillId="5" borderId="45" xfId="0" applyNumberFormat="1" applyFont="1" applyFill="1" applyBorder="1" applyAlignment="1">
      <alignment horizontal="center" vertical="center" wrapText="1"/>
    </xf>
    <xf numFmtId="176" fontId="4" fillId="5" borderId="43" xfId="0" applyNumberFormat="1" applyFont="1" applyFill="1" applyBorder="1" applyAlignment="1">
      <alignment horizontal="center" vertical="center" wrapText="1"/>
    </xf>
    <xf numFmtId="176" fontId="4" fillId="6" borderId="101" xfId="0" applyNumberFormat="1" applyFont="1" applyFill="1" applyBorder="1" applyAlignment="1">
      <alignment horizontal="center" vertical="center" wrapText="1"/>
    </xf>
    <xf numFmtId="176" fontId="4" fillId="6" borderId="30" xfId="0" applyNumberFormat="1" applyFont="1" applyFill="1" applyBorder="1" applyAlignment="1">
      <alignment horizontal="center" vertical="center" wrapText="1"/>
    </xf>
    <xf numFmtId="176" fontId="4" fillId="6" borderId="103" xfId="0" applyNumberFormat="1" applyFont="1" applyFill="1" applyBorder="1" applyAlignment="1">
      <alignment horizontal="center" vertical="center" wrapText="1"/>
    </xf>
    <xf numFmtId="176" fontId="4" fillId="7" borderId="101" xfId="0" applyNumberFormat="1" applyFont="1" applyFill="1" applyBorder="1" applyAlignment="1">
      <alignment horizontal="center" vertical="center" wrapText="1"/>
    </xf>
    <xf numFmtId="176" fontId="4" fillId="7" borderId="30" xfId="0" applyNumberFormat="1" applyFont="1" applyFill="1" applyBorder="1" applyAlignment="1">
      <alignment horizontal="center" vertical="center" wrapText="1"/>
    </xf>
    <xf numFmtId="176" fontId="4" fillId="7" borderId="103" xfId="0" applyNumberFormat="1" applyFont="1" applyFill="1" applyBorder="1" applyAlignment="1">
      <alignment horizontal="center" vertical="center" wrapText="1"/>
    </xf>
    <xf numFmtId="0" fontId="9" fillId="0" borderId="31" xfId="0" applyFont="1" applyFill="1" applyBorder="1" applyAlignment="1">
      <alignment horizontal="center" vertical="center" shrinkToFit="1"/>
    </xf>
    <xf numFmtId="0" fontId="9" fillId="0" borderId="100" xfId="0" applyFont="1" applyFill="1" applyBorder="1" applyAlignment="1">
      <alignment horizontal="center" vertical="center" shrinkToFit="1"/>
    </xf>
    <xf numFmtId="176" fontId="25" fillId="8" borderId="81" xfId="0" applyNumberFormat="1" applyFont="1" applyFill="1" applyBorder="1" applyAlignment="1">
      <alignment horizontal="center" vertical="center" wrapText="1"/>
    </xf>
    <xf numFmtId="176" fontId="25" fillId="8" borderId="32" xfId="0" applyNumberFormat="1" applyFont="1" applyFill="1" applyBorder="1" applyAlignment="1">
      <alignment horizontal="center" vertical="center" wrapText="1"/>
    </xf>
    <xf numFmtId="176" fontId="25" fillId="8" borderId="25" xfId="0" applyNumberFormat="1" applyFont="1" applyFill="1" applyBorder="1" applyAlignment="1">
      <alignment horizontal="center" vertical="center" wrapText="1"/>
    </xf>
    <xf numFmtId="0" fontId="35" fillId="13" borderId="49" xfId="0" applyFont="1" applyFill="1" applyBorder="1" applyAlignment="1">
      <alignment horizontal="center" vertical="center" shrinkToFit="1"/>
    </xf>
    <xf numFmtId="0" fontId="35" fillId="13" borderId="64" xfId="0" applyFont="1" applyFill="1" applyBorder="1" applyAlignment="1">
      <alignment horizontal="center" vertical="center" shrinkToFit="1"/>
    </xf>
    <xf numFmtId="0" fontId="35" fillId="13" borderId="96" xfId="0" applyFont="1" applyFill="1" applyBorder="1" applyAlignment="1">
      <alignment horizontal="center" vertical="center" shrinkToFit="1"/>
    </xf>
    <xf numFmtId="0" fontId="35" fillId="13" borderId="50" xfId="0" applyFont="1" applyFill="1" applyBorder="1" applyAlignment="1">
      <alignment horizontal="center" vertical="center" shrinkToFit="1"/>
    </xf>
    <xf numFmtId="0" fontId="35" fillId="13" borderId="0" xfId="0" applyFont="1" applyFill="1" applyBorder="1" applyAlignment="1">
      <alignment horizontal="center" vertical="center" shrinkToFit="1"/>
    </xf>
    <xf numFmtId="0" fontId="35" fillId="13" borderId="81" xfId="0" applyFont="1" applyFill="1" applyBorder="1" applyAlignment="1">
      <alignment horizontal="center" vertical="center" shrinkToFit="1"/>
    </xf>
    <xf numFmtId="0" fontId="35" fillId="13" borderId="54" xfId="0" applyFont="1" applyFill="1" applyBorder="1" applyAlignment="1">
      <alignment horizontal="center" vertical="center" shrinkToFit="1"/>
    </xf>
    <xf numFmtId="0" fontId="35" fillId="13" borderId="33" xfId="0" applyFont="1" applyFill="1" applyBorder="1" applyAlignment="1">
      <alignment horizontal="center" vertical="center" shrinkToFit="1"/>
    </xf>
    <xf numFmtId="0" fontId="35" fillId="13" borderId="78" xfId="0" applyFont="1" applyFill="1" applyBorder="1" applyAlignment="1">
      <alignment horizontal="center" vertical="center" shrinkToFit="1"/>
    </xf>
    <xf numFmtId="176" fontId="31" fillId="13" borderId="32" xfId="0" applyNumberFormat="1" applyFont="1" applyFill="1" applyBorder="1" applyAlignment="1">
      <alignment horizontal="center" vertical="center" wrapText="1"/>
    </xf>
    <xf numFmtId="176" fontId="31" fillId="13" borderId="25" xfId="0" applyNumberFormat="1" applyFont="1" applyFill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center" vertical="center" shrinkToFit="1"/>
    </xf>
    <xf numFmtId="0" fontId="9" fillId="0" borderId="25" xfId="0" applyFont="1" applyFill="1" applyBorder="1" applyAlignment="1">
      <alignment horizontal="center" vertical="center" shrinkToFit="1"/>
    </xf>
    <xf numFmtId="176" fontId="2" fillId="4" borderId="44" xfId="0" applyNumberFormat="1" applyFont="1" applyFill="1" applyBorder="1" applyAlignment="1">
      <alignment horizontal="center" vertical="center" wrapText="1"/>
    </xf>
    <xf numFmtId="176" fontId="2" fillId="4" borderId="40" xfId="0" applyNumberFormat="1" applyFont="1" applyFill="1" applyBorder="1" applyAlignment="1">
      <alignment horizontal="center" vertical="center" wrapText="1"/>
    </xf>
    <xf numFmtId="176" fontId="25" fillId="8" borderId="31" xfId="0" applyNumberFormat="1" applyFont="1" applyFill="1" applyBorder="1" applyAlignment="1">
      <alignment horizontal="center" vertical="center" wrapText="1"/>
    </xf>
    <xf numFmtId="176" fontId="25" fillId="8" borderId="100" xfId="0" applyNumberFormat="1" applyFont="1" applyFill="1" applyBorder="1" applyAlignment="1">
      <alignment horizontal="center" vertical="center" wrapText="1"/>
    </xf>
    <xf numFmtId="0" fontId="9" fillId="8" borderId="82" xfId="0" applyFont="1" applyFill="1" applyBorder="1" applyAlignment="1">
      <alignment horizontal="center" vertical="center" shrinkToFit="1"/>
    </xf>
    <xf numFmtId="0" fontId="9" fillId="8" borderId="50" xfId="0" applyFont="1" applyFill="1" applyBorder="1" applyAlignment="1">
      <alignment horizontal="center" vertical="center" shrinkToFit="1"/>
    </xf>
    <xf numFmtId="176" fontId="30" fillId="14" borderId="24" xfId="0" applyNumberFormat="1" applyFont="1" applyFill="1" applyBorder="1" applyAlignment="1">
      <alignment horizontal="center" vertical="center" wrapText="1"/>
    </xf>
    <xf numFmtId="176" fontId="30" fillId="14" borderId="21" xfId="0" applyNumberFormat="1" applyFont="1" applyFill="1" applyBorder="1" applyAlignment="1">
      <alignment horizontal="center" vertical="center" wrapText="1"/>
    </xf>
    <xf numFmtId="176" fontId="31" fillId="8" borderId="93" xfId="0" applyNumberFormat="1" applyFont="1" applyFill="1" applyBorder="1" applyAlignment="1">
      <alignment horizontal="center" vertical="center" wrapText="1"/>
    </xf>
    <xf numFmtId="176" fontId="31" fillId="8" borderId="32" xfId="0" applyNumberFormat="1" applyFont="1" applyFill="1" applyBorder="1" applyAlignment="1">
      <alignment horizontal="center" vertical="center" wrapText="1"/>
    </xf>
    <xf numFmtId="176" fontId="31" fillId="8" borderId="100" xfId="0" applyNumberFormat="1" applyFont="1" applyFill="1" applyBorder="1" applyAlignment="1">
      <alignment horizontal="center" vertical="center" wrapText="1"/>
    </xf>
    <xf numFmtId="176" fontId="2" fillId="8" borderId="50" xfId="0" applyNumberFormat="1" applyFont="1" applyFill="1" applyBorder="1" applyAlignment="1">
      <alignment horizontal="center" vertical="center" wrapText="1"/>
    </xf>
    <xf numFmtId="176" fontId="2" fillId="8" borderId="54" xfId="0" applyNumberFormat="1" applyFont="1" applyFill="1" applyBorder="1" applyAlignment="1">
      <alignment horizontal="center" vertical="center" wrapText="1"/>
    </xf>
    <xf numFmtId="176" fontId="25" fillId="8" borderId="93" xfId="0" applyNumberFormat="1" applyFont="1" applyFill="1" applyBorder="1" applyAlignment="1">
      <alignment horizontal="center" vertical="center" wrapText="1"/>
    </xf>
    <xf numFmtId="0" fontId="22" fillId="8" borderId="24" xfId="0" applyFont="1" applyFill="1" applyBorder="1" applyAlignment="1">
      <alignment horizontal="center" vertical="center" wrapText="1"/>
    </xf>
    <xf numFmtId="0" fontId="22" fillId="8" borderId="37" xfId="0" applyFont="1" applyFill="1" applyBorder="1" applyAlignment="1">
      <alignment horizontal="center" vertical="center" wrapText="1"/>
    </xf>
    <xf numFmtId="0" fontId="22" fillId="8" borderId="21" xfId="0" applyFont="1" applyFill="1" applyBorder="1" applyAlignment="1">
      <alignment horizontal="center" vertical="center" wrapText="1"/>
    </xf>
    <xf numFmtId="0" fontId="22" fillId="8" borderId="27" xfId="0" applyFont="1" applyFill="1" applyBorder="1" applyAlignment="1">
      <alignment horizontal="center" vertical="center" wrapText="1"/>
    </xf>
    <xf numFmtId="176" fontId="2" fillId="8" borderId="49" xfId="0" applyNumberFormat="1" applyFont="1" applyFill="1" applyBorder="1" applyAlignment="1">
      <alignment horizontal="center" vertical="center" wrapText="1"/>
    </xf>
    <xf numFmtId="0" fontId="22" fillId="8" borderId="35" xfId="0" applyFont="1" applyFill="1" applyBorder="1" applyAlignment="1">
      <alignment horizontal="center" vertical="center" wrapText="1"/>
    </xf>
    <xf numFmtId="0" fontId="22" fillId="0" borderId="38" xfId="0" applyFont="1" applyFill="1" applyBorder="1" applyAlignment="1">
      <alignment horizontal="center" vertical="center" wrapText="1"/>
    </xf>
    <xf numFmtId="0" fontId="22" fillId="0" borderId="27" xfId="0" applyFont="1" applyFill="1" applyBorder="1" applyAlignment="1">
      <alignment horizontal="center" vertical="center" wrapText="1"/>
    </xf>
    <xf numFmtId="176" fontId="20" fillId="8" borderId="22" xfId="0" applyNumberFormat="1" applyFont="1" applyFill="1" applyBorder="1" applyAlignment="1">
      <alignment horizontal="center" vertical="center" wrapText="1"/>
    </xf>
    <xf numFmtId="176" fontId="20" fillId="8" borderId="17" xfId="0" applyNumberFormat="1" applyFont="1" applyFill="1" applyBorder="1" applyAlignment="1">
      <alignment horizontal="center" vertical="center" wrapText="1"/>
    </xf>
    <xf numFmtId="0" fontId="9" fillId="8" borderId="49" xfId="0" applyFont="1" applyFill="1" applyBorder="1" applyAlignment="1">
      <alignment horizontal="center" vertical="center" shrinkToFit="1"/>
    </xf>
    <xf numFmtId="0" fontId="9" fillId="8" borderId="35" xfId="0" applyFont="1" applyFill="1" applyBorder="1" applyAlignment="1">
      <alignment horizontal="center" vertical="center" shrinkToFit="1"/>
    </xf>
    <xf numFmtId="176" fontId="20" fillId="8" borderId="26" xfId="0" applyNumberFormat="1" applyFont="1" applyFill="1" applyBorder="1" applyAlignment="1">
      <alignment horizontal="center" vertical="center" wrapText="1"/>
    </xf>
    <xf numFmtId="176" fontId="20" fillId="8" borderId="34" xfId="0" applyNumberFormat="1" applyFont="1" applyFill="1" applyBorder="1" applyAlignment="1">
      <alignment horizontal="center" vertical="center" wrapText="1"/>
    </xf>
    <xf numFmtId="176" fontId="20" fillId="8" borderId="6" xfId="0" applyNumberFormat="1" applyFont="1" applyFill="1" applyBorder="1" applyAlignment="1">
      <alignment horizontal="center" vertical="center" wrapText="1"/>
    </xf>
    <xf numFmtId="176" fontId="21" fillId="8" borderId="23" xfId="0" applyNumberFormat="1" applyFont="1" applyFill="1" applyBorder="1" applyAlignment="1">
      <alignment horizontal="center" vertical="center" shrinkToFit="1"/>
    </xf>
    <xf numFmtId="176" fontId="21" fillId="8" borderId="41" xfId="0" applyNumberFormat="1" applyFont="1" applyFill="1" applyBorder="1" applyAlignment="1">
      <alignment horizontal="center" vertical="center" shrinkToFit="1"/>
    </xf>
    <xf numFmtId="0" fontId="9" fillId="8" borderId="51" xfId="0" applyFont="1" applyFill="1" applyBorder="1" applyAlignment="1">
      <alignment horizontal="center" vertical="center" shrinkToFit="1"/>
    </xf>
    <xf numFmtId="0" fontId="9" fillId="8" borderId="97" xfId="0" applyFont="1" applyFill="1" applyBorder="1" applyAlignment="1">
      <alignment horizontal="center" vertical="center" shrinkToFit="1"/>
    </xf>
    <xf numFmtId="176" fontId="22" fillId="0" borderId="35" xfId="0" applyNumberFormat="1" applyFont="1" applyFill="1" applyBorder="1" applyAlignment="1">
      <alignment horizontal="center" vertical="center" wrapText="1"/>
    </xf>
    <xf numFmtId="176" fontId="22" fillId="0" borderId="18" xfId="0" applyNumberFormat="1" applyFont="1" applyFill="1" applyBorder="1" applyAlignment="1">
      <alignment horizontal="center" vertical="center" wrapText="1"/>
    </xf>
    <xf numFmtId="176" fontId="33" fillId="8" borderId="23" xfId="0" applyNumberFormat="1" applyFont="1" applyFill="1" applyBorder="1" applyAlignment="1">
      <alignment horizontal="center" vertical="center" wrapText="1" shrinkToFit="1"/>
    </xf>
    <xf numFmtId="176" fontId="33" fillId="8" borderId="87" xfId="0" applyNumberFormat="1" applyFont="1" applyFill="1" applyBorder="1" applyAlignment="1">
      <alignment horizontal="center" vertical="center" shrinkToFit="1"/>
    </xf>
    <xf numFmtId="0" fontId="22" fillId="8" borderId="18" xfId="0" applyFont="1" applyFill="1" applyBorder="1" applyAlignment="1">
      <alignment horizontal="center" vertical="center" wrapText="1"/>
    </xf>
    <xf numFmtId="0" fontId="22" fillId="8" borderId="16" xfId="0" applyFont="1" applyFill="1" applyBorder="1" applyAlignment="1">
      <alignment horizontal="center" vertical="center" wrapText="1"/>
    </xf>
    <xf numFmtId="0" fontId="23" fillId="15" borderId="64" xfId="0" applyNumberFormat="1" applyFont="1" applyFill="1" applyBorder="1" applyAlignment="1">
      <alignment horizontal="center" vertical="center" wrapText="1"/>
    </xf>
    <xf numFmtId="0" fontId="24" fillId="15" borderId="64" xfId="0" applyNumberFormat="1" applyFont="1" applyFill="1" applyBorder="1" applyAlignment="1">
      <alignment horizontal="center" vertical="center" wrapText="1"/>
    </xf>
    <xf numFmtId="0" fontId="24" fillId="15" borderId="96" xfId="0" applyNumberFormat="1" applyFont="1" applyFill="1" applyBorder="1" applyAlignment="1">
      <alignment horizontal="center" vertical="center" wrapText="1"/>
    </xf>
    <xf numFmtId="0" fontId="24" fillId="15" borderId="0" xfId="0" applyNumberFormat="1" applyFont="1" applyFill="1" applyBorder="1" applyAlignment="1">
      <alignment horizontal="center" vertical="center" wrapText="1"/>
    </xf>
    <xf numFmtId="0" fontId="24" fillId="15" borderId="81" xfId="0" applyNumberFormat="1" applyFont="1" applyFill="1" applyBorder="1" applyAlignment="1">
      <alignment horizontal="center" vertical="center" wrapText="1"/>
    </xf>
    <xf numFmtId="176" fontId="31" fillId="13" borderId="31" xfId="0" applyNumberFormat="1" applyFont="1" applyFill="1" applyBorder="1" applyAlignment="1">
      <alignment horizontal="center" vertical="center" wrapText="1"/>
    </xf>
    <xf numFmtId="176" fontId="20" fillId="8" borderId="29" xfId="0" applyNumberFormat="1" applyFont="1" applyFill="1" applyBorder="1" applyAlignment="1">
      <alignment horizontal="center" vertical="center" wrapText="1"/>
    </xf>
    <xf numFmtId="176" fontId="30" fillId="14" borderId="49" xfId="0" applyNumberFormat="1" applyFont="1" applyFill="1" applyBorder="1" applyAlignment="1">
      <alignment horizontal="center" vertical="center" wrapText="1"/>
    </xf>
    <xf numFmtId="176" fontId="30" fillId="14" borderId="96" xfId="0" applyNumberFormat="1" applyFont="1" applyFill="1" applyBorder="1" applyAlignment="1">
      <alignment horizontal="center" vertical="center" wrapText="1"/>
    </xf>
    <xf numFmtId="176" fontId="2" fillId="3" borderId="78" xfId="0" applyNumberFormat="1" applyFont="1" applyFill="1" applyBorder="1" applyAlignment="1">
      <alignment horizontal="center" vertical="center" wrapText="1"/>
    </xf>
    <xf numFmtId="176" fontId="30" fillId="14" borderId="13" xfId="0" applyNumberFormat="1" applyFont="1" applyFill="1" applyBorder="1" applyAlignment="1">
      <alignment horizontal="center" vertical="center" wrapText="1"/>
    </xf>
    <xf numFmtId="176" fontId="30" fillId="14" borderId="4" xfId="0" applyNumberFormat="1" applyFont="1" applyFill="1" applyBorder="1" applyAlignment="1">
      <alignment horizontal="center" vertical="center" wrapText="1"/>
    </xf>
    <xf numFmtId="176" fontId="20" fillId="8" borderId="10" xfId="0" applyNumberFormat="1" applyFont="1" applyFill="1" applyBorder="1" applyAlignment="1">
      <alignment horizontal="center" vertical="center" wrapText="1"/>
    </xf>
    <xf numFmtId="176" fontId="20" fillId="8" borderId="56" xfId="0" applyNumberFormat="1" applyFont="1" applyFill="1" applyBorder="1" applyAlignment="1">
      <alignment horizontal="center" vertical="center" wrapText="1"/>
    </xf>
    <xf numFmtId="176" fontId="20" fillId="8" borderId="19" xfId="0" applyNumberFormat="1" applyFont="1" applyFill="1" applyBorder="1" applyAlignment="1">
      <alignment horizontal="center" vertical="center" wrapText="1"/>
    </xf>
    <xf numFmtId="176" fontId="33" fillId="8" borderId="3" xfId="0" applyNumberFormat="1" applyFont="1" applyFill="1" applyBorder="1" applyAlignment="1">
      <alignment horizontal="center" vertical="center" wrapText="1"/>
    </xf>
    <xf numFmtId="176" fontId="33" fillId="8" borderId="27" xfId="0" applyNumberFormat="1" applyFont="1" applyFill="1" applyBorder="1" applyAlignment="1">
      <alignment horizontal="center" vertical="center" wrapText="1"/>
    </xf>
    <xf numFmtId="0" fontId="22" fillId="8" borderId="9" xfId="0" applyFont="1" applyFill="1" applyBorder="1" applyAlignment="1">
      <alignment horizontal="center" vertical="center" wrapText="1"/>
    </xf>
    <xf numFmtId="0" fontId="22" fillId="8" borderId="3" xfId="0" applyFont="1" applyFill="1" applyBorder="1" applyAlignment="1">
      <alignment horizontal="center" vertical="center" wrapText="1"/>
    </xf>
    <xf numFmtId="176" fontId="31" fillId="8" borderId="31" xfId="0" applyNumberFormat="1" applyFont="1" applyFill="1" applyBorder="1" applyAlignment="1">
      <alignment horizontal="center" vertical="center" wrapText="1"/>
    </xf>
    <xf numFmtId="176" fontId="31" fillId="8" borderId="25" xfId="0" applyNumberFormat="1" applyFont="1" applyFill="1" applyBorder="1" applyAlignment="1">
      <alignment horizontal="center" vertical="center" wrapText="1"/>
    </xf>
    <xf numFmtId="176" fontId="24" fillId="13" borderId="96" xfId="0" applyNumberFormat="1" applyFont="1" applyFill="1" applyBorder="1" applyAlignment="1">
      <alignment horizontal="center" vertical="center" wrapText="1"/>
    </xf>
    <xf numFmtId="176" fontId="24" fillId="13" borderId="81" xfId="0" applyNumberFormat="1" applyFont="1" applyFill="1" applyBorder="1" applyAlignment="1">
      <alignment horizontal="center" vertical="center" wrapText="1"/>
    </xf>
    <xf numFmtId="176" fontId="24" fillId="13" borderId="78" xfId="0" applyNumberFormat="1" applyFont="1" applyFill="1" applyBorder="1" applyAlignment="1">
      <alignment horizontal="center" vertical="center" wrapText="1"/>
    </xf>
    <xf numFmtId="0" fontId="21" fillId="0" borderId="8" xfId="0" applyFont="1" applyFill="1" applyBorder="1" applyAlignment="1">
      <alignment horizontal="center" vertical="center"/>
    </xf>
    <xf numFmtId="0" fontId="21" fillId="0" borderId="17" xfId="0" applyFont="1" applyFill="1" applyBorder="1" applyAlignment="1">
      <alignment horizontal="center" vertical="center"/>
    </xf>
    <xf numFmtId="176" fontId="20" fillId="8" borderId="7" xfId="0" applyNumberFormat="1" applyFont="1" applyFill="1" applyBorder="1" applyAlignment="1">
      <alignment horizontal="center" vertical="center" wrapText="1"/>
    </xf>
    <xf numFmtId="176" fontId="2" fillId="2" borderId="49" xfId="0" applyNumberFormat="1" applyFont="1" applyFill="1" applyBorder="1" applyAlignment="1">
      <alignment horizontal="center" vertical="center" wrapText="1"/>
    </xf>
    <xf numFmtId="176" fontId="2" fillId="2" borderId="50" xfId="0" applyNumberFormat="1" applyFont="1" applyFill="1" applyBorder="1" applyAlignment="1">
      <alignment horizontal="center" vertical="center" wrapText="1"/>
    </xf>
    <xf numFmtId="176" fontId="25" fillId="12" borderId="42" xfId="0" applyNumberFormat="1" applyFont="1" applyFill="1" applyBorder="1" applyAlignment="1">
      <alignment horizontal="center" vertical="center" wrapText="1"/>
    </xf>
    <xf numFmtId="176" fontId="25" fillId="12" borderId="45" xfId="0" applyNumberFormat="1" applyFont="1" applyFill="1" applyBorder="1" applyAlignment="1">
      <alignment horizontal="center" vertical="center" wrapText="1"/>
    </xf>
    <xf numFmtId="176" fontId="24" fillId="13" borderId="50" xfId="0" applyNumberFormat="1" applyFont="1" applyFill="1" applyBorder="1" applyAlignment="1">
      <alignment horizontal="center" vertical="center" wrapText="1"/>
    </xf>
    <xf numFmtId="176" fontId="4" fillId="8" borderId="49" xfId="0" applyNumberFormat="1" applyFont="1" applyFill="1" applyBorder="1" applyAlignment="1">
      <alignment horizontal="center" vertical="center" wrapText="1"/>
    </xf>
    <xf numFmtId="176" fontId="4" fillId="8" borderId="54" xfId="0" applyNumberFormat="1" applyFont="1" applyFill="1" applyBorder="1" applyAlignment="1">
      <alignment horizontal="center" vertical="center" wrapText="1"/>
    </xf>
    <xf numFmtId="176" fontId="2" fillId="0" borderId="24" xfId="0" applyNumberFormat="1" applyFont="1" applyFill="1" applyBorder="1" applyAlignment="1">
      <alignment horizontal="center" vertical="center" wrapText="1"/>
    </xf>
    <xf numFmtId="176" fontId="2" fillId="0" borderId="35" xfId="0" applyNumberFormat="1" applyFont="1" applyFill="1" applyBorder="1" applyAlignment="1">
      <alignment horizontal="center" vertical="center" wrapText="1"/>
    </xf>
    <xf numFmtId="176" fontId="2" fillId="0" borderId="21" xfId="0" applyNumberFormat="1" applyFont="1" applyFill="1" applyBorder="1" applyAlignment="1">
      <alignment horizontal="center" vertical="center" wrapText="1"/>
    </xf>
    <xf numFmtId="176" fontId="2" fillId="0" borderId="38" xfId="0" applyNumberFormat="1" applyFont="1" applyFill="1" applyBorder="1" applyAlignment="1">
      <alignment horizontal="center" vertical="center" wrapText="1"/>
    </xf>
    <xf numFmtId="176" fontId="28" fillId="13" borderId="50" xfId="0" applyNumberFormat="1" applyFont="1" applyFill="1" applyBorder="1" applyAlignment="1">
      <alignment horizontal="center" vertical="center" wrapText="1"/>
    </xf>
    <xf numFmtId="176" fontId="20" fillId="8" borderId="24" xfId="0" applyNumberFormat="1" applyFont="1" applyFill="1" applyBorder="1" applyAlignment="1">
      <alignment horizontal="center" vertical="center" wrapText="1"/>
    </xf>
    <xf numFmtId="176" fontId="20" fillId="8" borderId="35" xfId="0" applyNumberFormat="1" applyFont="1" applyFill="1" applyBorder="1" applyAlignment="1">
      <alignment horizontal="center" vertical="center" wrapText="1"/>
    </xf>
    <xf numFmtId="176" fontId="20" fillId="8" borderId="15" xfId="0" applyNumberFormat="1" applyFont="1" applyFill="1" applyBorder="1" applyAlignment="1">
      <alignment horizontal="center" vertical="center" wrapText="1"/>
    </xf>
    <xf numFmtId="176" fontId="21" fillId="8" borderId="21" xfId="0" applyNumberFormat="1" applyFont="1" applyFill="1" applyBorder="1" applyAlignment="1">
      <alignment horizontal="center" vertical="center" wrapText="1"/>
    </xf>
    <xf numFmtId="176" fontId="21" fillId="8" borderId="16" xfId="0" applyNumberFormat="1" applyFont="1" applyFill="1" applyBorder="1" applyAlignment="1">
      <alignment horizontal="center" vertical="center" wrapText="1"/>
    </xf>
    <xf numFmtId="176" fontId="2" fillId="2" borderId="54" xfId="0" applyNumberFormat="1" applyFont="1" applyFill="1" applyBorder="1" applyAlignment="1">
      <alignment horizontal="center" vertical="center" wrapText="1"/>
    </xf>
    <xf numFmtId="176" fontId="2" fillId="0" borderId="37" xfId="0" applyNumberFormat="1" applyFont="1" applyFill="1" applyBorder="1" applyAlignment="1">
      <alignment horizontal="center" vertical="center" wrapText="1"/>
    </xf>
    <xf numFmtId="176" fontId="2" fillId="0" borderId="27" xfId="0" applyNumberFormat="1" applyFont="1" applyFill="1" applyBorder="1" applyAlignment="1">
      <alignment horizontal="center" vertical="center" wrapText="1"/>
    </xf>
    <xf numFmtId="176" fontId="23" fillId="0" borderId="24" xfId="0" applyNumberFormat="1" applyFont="1" applyFill="1" applyBorder="1" applyAlignment="1">
      <alignment horizontal="center" vertical="center" wrapText="1"/>
    </xf>
    <xf numFmtId="176" fontId="23" fillId="0" borderId="35" xfId="0" applyNumberFormat="1" applyFont="1" applyFill="1" applyBorder="1" applyAlignment="1">
      <alignment horizontal="center" vertical="center" wrapText="1"/>
    </xf>
    <xf numFmtId="176" fontId="23" fillId="0" borderId="37" xfId="0" applyNumberFormat="1" applyFont="1" applyFill="1" applyBorder="1" applyAlignment="1">
      <alignment horizontal="center" vertical="center" wrapText="1"/>
    </xf>
    <xf numFmtId="176" fontId="23" fillId="0" borderId="21" xfId="0" applyNumberFormat="1" applyFont="1" applyFill="1" applyBorder="1" applyAlignment="1">
      <alignment horizontal="center" vertical="center" wrapText="1"/>
    </xf>
    <xf numFmtId="176" fontId="23" fillId="0" borderId="38" xfId="0" applyNumberFormat="1" applyFont="1" applyFill="1" applyBorder="1" applyAlignment="1">
      <alignment horizontal="center" vertical="center" wrapText="1"/>
    </xf>
    <xf numFmtId="176" fontId="23" fillId="0" borderId="27" xfId="0" applyNumberFormat="1" applyFont="1" applyFill="1" applyBorder="1" applyAlignment="1">
      <alignment horizontal="center" vertical="center" wrapText="1"/>
    </xf>
    <xf numFmtId="176" fontId="23" fillId="2" borderId="93" xfId="0" applyNumberFormat="1" applyFont="1" applyFill="1" applyBorder="1" applyAlignment="1">
      <alignment horizontal="center" vertical="center" wrapText="1"/>
    </xf>
    <xf numFmtId="176" fontId="23" fillId="2" borderId="32" xfId="0" applyNumberFormat="1" applyFont="1" applyFill="1" applyBorder="1" applyAlignment="1">
      <alignment horizontal="center" vertical="center" wrapText="1"/>
    </xf>
    <xf numFmtId="176" fontId="2" fillId="0" borderId="24" xfId="0" applyNumberFormat="1" applyFont="1" applyFill="1" applyBorder="1" applyAlignment="1">
      <alignment horizontal="center" vertical="center"/>
    </xf>
    <xf numFmtId="176" fontId="2" fillId="0" borderId="35" xfId="0" applyNumberFormat="1" applyFont="1" applyFill="1" applyBorder="1" applyAlignment="1">
      <alignment horizontal="center" vertical="center"/>
    </xf>
    <xf numFmtId="176" fontId="2" fillId="0" borderId="37" xfId="0" applyNumberFormat="1" applyFont="1" applyFill="1" applyBorder="1" applyAlignment="1">
      <alignment horizontal="center" vertical="center"/>
    </xf>
    <xf numFmtId="176" fontId="23" fillId="2" borderId="31" xfId="0" applyNumberFormat="1" applyFont="1" applyFill="1" applyBorder="1" applyAlignment="1">
      <alignment horizontal="center" vertical="center" wrapText="1"/>
    </xf>
    <xf numFmtId="176" fontId="23" fillId="2" borderId="25" xfId="0" applyNumberFormat="1" applyFont="1" applyFill="1" applyBorder="1" applyAlignment="1">
      <alignment horizontal="center" vertical="center" wrapText="1"/>
    </xf>
    <xf numFmtId="176" fontId="23" fillId="0" borderId="24" xfId="0" applyNumberFormat="1" applyFont="1" applyFill="1" applyBorder="1" applyAlignment="1">
      <alignment horizontal="center" vertical="center"/>
    </xf>
    <xf numFmtId="176" fontId="23" fillId="0" borderId="37" xfId="0" applyNumberFormat="1" applyFont="1" applyFill="1" applyBorder="1" applyAlignment="1">
      <alignment horizontal="center" vertical="center"/>
    </xf>
    <xf numFmtId="176" fontId="23" fillId="0" borderId="21" xfId="0" applyNumberFormat="1" applyFont="1" applyBorder="1" applyAlignment="1">
      <alignment horizontal="center" vertical="center" wrapText="1"/>
    </xf>
    <xf numFmtId="176" fontId="23" fillId="0" borderId="38" xfId="0" applyNumberFormat="1" applyFont="1" applyBorder="1" applyAlignment="1">
      <alignment horizontal="center" vertical="center" wrapText="1"/>
    </xf>
    <xf numFmtId="176" fontId="23" fillId="0" borderId="27" xfId="0" applyNumberFormat="1" applyFont="1" applyBorder="1" applyAlignment="1">
      <alignment horizontal="center" vertical="center" wrapText="1"/>
    </xf>
    <xf numFmtId="176" fontId="2" fillId="2" borderId="49" xfId="0" applyNumberFormat="1" applyFont="1" applyFill="1" applyBorder="1" applyAlignment="1">
      <alignment horizontal="center" vertical="center" shrinkToFit="1"/>
    </xf>
    <xf numFmtId="176" fontId="2" fillId="2" borderId="54" xfId="0" applyNumberFormat="1" applyFont="1" applyFill="1" applyBorder="1" applyAlignment="1">
      <alignment horizontal="center" vertical="center" shrinkToFit="1"/>
    </xf>
    <xf numFmtId="176" fontId="2" fillId="0" borderId="21" xfId="0" applyNumberFormat="1" applyFont="1" applyBorder="1" applyAlignment="1">
      <alignment horizontal="center" vertical="center" wrapText="1"/>
    </xf>
    <xf numFmtId="176" fontId="2" fillId="0" borderId="27" xfId="0" applyNumberFormat="1" applyFont="1" applyBorder="1" applyAlignment="1">
      <alignment horizontal="center" vertical="center" wrapText="1"/>
    </xf>
    <xf numFmtId="0" fontId="2" fillId="0" borderId="21" xfId="0" applyNumberFormat="1" applyFont="1" applyFill="1" applyBorder="1" applyAlignment="1">
      <alignment horizontal="center" vertical="center"/>
    </xf>
    <xf numFmtId="0" fontId="2" fillId="0" borderId="27" xfId="0" applyNumberFormat="1" applyFont="1" applyFill="1" applyBorder="1" applyAlignment="1">
      <alignment horizontal="center" vertical="center"/>
    </xf>
    <xf numFmtId="176" fontId="23" fillId="2" borderId="24" xfId="0" applyNumberFormat="1" applyFont="1" applyFill="1" applyBorder="1" applyAlignment="1">
      <alignment horizontal="center" vertical="center" wrapText="1"/>
    </xf>
    <xf numFmtId="176" fontId="23" fillId="2" borderId="37" xfId="0" applyNumberFormat="1" applyFont="1" applyFill="1" applyBorder="1" applyAlignment="1">
      <alignment horizontal="center" vertical="center" wrapText="1"/>
    </xf>
    <xf numFmtId="0" fontId="23" fillId="0" borderId="21" xfId="0" applyNumberFormat="1" applyFont="1" applyFill="1" applyBorder="1" applyAlignment="1">
      <alignment horizontal="center" vertical="center"/>
    </xf>
    <xf numFmtId="0" fontId="23" fillId="0" borderId="27" xfId="0" applyNumberFormat="1" applyFont="1" applyFill="1" applyBorder="1" applyAlignment="1">
      <alignment horizontal="center" vertical="center"/>
    </xf>
    <xf numFmtId="176" fontId="2" fillId="0" borderId="38" xfId="0" applyNumberFormat="1" applyFont="1" applyBorder="1" applyAlignment="1">
      <alignment horizontal="center" vertical="center" wrapText="1"/>
    </xf>
    <xf numFmtId="176" fontId="20" fillId="8" borderId="37" xfId="0" applyNumberFormat="1" applyFont="1" applyFill="1" applyBorder="1" applyAlignment="1">
      <alignment horizontal="center" vertical="center" wrapText="1"/>
    </xf>
    <xf numFmtId="176" fontId="2" fillId="3" borderId="36" xfId="0" applyNumberFormat="1" applyFont="1" applyFill="1" applyBorder="1" applyAlignment="1">
      <alignment horizontal="center" vertical="center" wrapText="1"/>
    </xf>
    <xf numFmtId="176" fontId="2" fillId="3" borderId="89" xfId="0" applyNumberFormat="1" applyFont="1" applyFill="1" applyBorder="1" applyAlignment="1">
      <alignment horizontal="center" vertical="center" wrapText="1"/>
    </xf>
    <xf numFmtId="176" fontId="2" fillId="3" borderId="13" xfId="0" applyNumberFormat="1" applyFont="1" applyFill="1" applyBorder="1" applyAlignment="1">
      <alignment horizontal="center" vertical="center" wrapText="1"/>
    </xf>
    <xf numFmtId="176" fontId="2" fillId="3" borderId="4" xfId="0" applyNumberFormat="1" applyFont="1" applyFill="1" applyBorder="1" applyAlignment="1">
      <alignment horizontal="center" vertical="center" wrapText="1"/>
    </xf>
    <xf numFmtId="176" fontId="2" fillId="3" borderId="45" xfId="0" applyNumberFormat="1" applyFont="1" applyFill="1" applyBorder="1" applyAlignment="1">
      <alignment horizontal="center" vertical="center" wrapText="1"/>
    </xf>
    <xf numFmtId="176" fontId="23" fillId="2" borderId="35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vertical="center" wrapText="1"/>
    </xf>
    <xf numFmtId="176" fontId="2" fillId="3" borderId="49" xfId="0" applyNumberFormat="1" applyFont="1" applyFill="1" applyBorder="1" applyAlignment="1">
      <alignment horizontal="center" vertical="center" wrapText="1"/>
    </xf>
    <xf numFmtId="176" fontId="2" fillId="3" borderId="54" xfId="0" applyNumberFormat="1" applyFont="1" applyFill="1" applyBorder="1" applyAlignment="1">
      <alignment horizontal="center" vertical="center" wrapText="1"/>
    </xf>
    <xf numFmtId="176" fontId="2" fillId="3" borderId="37" xfId="0" applyNumberFormat="1" applyFont="1" applyFill="1" applyBorder="1" applyAlignment="1">
      <alignment horizontal="center" vertical="center" wrapText="1"/>
    </xf>
    <xf numFmtId="176" fontId="2" fillId="3" borderId="27" xfId="0" applyNumberFormat="1" applyFont="1" applyFill="1" applyBorder="1" applyAlignment="1">
      <alignment horizontal="center" vertical="center" wrapText="1"/>
    </xf>
  </cellXfs>
  <cellStyles count="2">
    <cellStyle name="통화 [0]" xfId="1" builtinId="7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  <pageSetUpPr fitToPage="1"/>
  </sheetPr>
  <dimension ref="A1:R79"/>
  <sheetViews>
    <sheetView tabSelected="1" view="pageBreakPreview" topLeftCell="A51" zoomScaleNormal="100" zoomScaleSheetLayoutView="100" workbookViewId="0">
      <selection activeCell="Q66" sqref="Q66"/>
    </sheetView>
  </sheetViews>
  <sheetFormatPr defaultColWidth="9" defaultRowHeight="13.8" x14ac:dyDescent="0.4"/>
  <cols>
    <col min="1" max="1" width="4.296875" style="5" customWidth="1"/>
    <col min="2" max="2" width="11.09765625" style="4" customWidth="1"/>
    <col min="3" max="3" width="6.3984375" style="5" customWidth="1"/>
    <col min="4" max="4" width="50.09765625" style="4" customWidth="1"/>
    <col min="5" max="5" width="5.19921875" style="5" customWidth="1"/>
    <col min="6" max="6" width="5.09765625" style="5" customWidth="1"/>
    <col min="7" max="8" width="5.3984375" style="5" customWidth="1"/>
    <col min="9" max="10" width="5.3984375" style="4" customWidth="1"/>
    <col min="11" max="12" width="5.3984375" style="5" customWidth="1"/>
    <col min="13" max="13" width="4.3984375" style="4" customWidth="1"/>
    <col min="14" max="14" width="4.69921875" style="4" customWidth="1"/>
    <col min="15" max="15" width="4.8984375" style="1" customWidth="1"/>
    <col min="16" max="16" width="15.19921875" style="1" customWidth="1"/>
    <col min="17" max="17" width="26.5" style="1" customWidth="1"/>
    <col min="18" max="18" width="19.69921875" style="1" customWidth="1"/>
    <col min="19" max="16384" width="9" style="1"/>
  </cols>
  <sheetData>
    <row r="1" spans="1:18" ht="31.95" customHeight="1" thickBot="1" x14ac:dyDescent="0.45">
      <c r="A1" s="734" t="s">
        <v>184</v>
      </c>
      <c r="B1" s="735"/>
      <c r="C1" s="735"/>
      <c r="D1" s="735"/>
      <c r="E1" s="735"/>
      <c r="F1" s="735"/>
      <c r="G1" s="735"/>
      <c r="H1" s="735"/>
      <c r="I1" s="735"/>
      <c r="J1" s="735"/>
      <c r="K1" s="735"/>
      <c r="L1" s="735"/>
      <c r="M1" s="735"/>
      <c r="N1" s="736"/>
    </row>
    <row r="2" spans="1:18" ht="22.2" customHeight="1" thickBot="1" x14ac:dyDescent="0.45">
      <c r="A2" s="737" t="s">
        <v>224</v>
      </c>
      <c r="B2" s="737"/>
      <c r="C2" s="737"/>
      <c r="D2" s="737"/>
      <c r="E2" s="737"/>
      <c r="F2" s="737"/>
      <c r="G2" s="737"/>
      <c r="H2" s="737"/>
      <c r="I2" s="737"/>
      <c r="J2" s="737"/>
      <c r="K2" s="737"/>
      <c r="L2" s="737"/>
      <c r="M2" s="737"/>
      <c r="N2" s="737"/>
    </row>
    <row r="3" spans="1:18" ht="19.95" customHeight="1" x14ac:dyDescent="0.4">
      <c r="A3" s="738" t="s">
        <v>9</v>
      </c>
      <c r="B3" s="740" t="s">
        <v>3</v>
      </c>
      <c r="C3" s="742" t="s">
        <v>1</v>
      </c>
      <c r="D3" s="743"/>
      <c r="E3" s="746" t="s">
        <v>5</v>
      </c>
      <c r="F3" s="748" t="s">
        <v>4</v>
      </c>
      <c r="G3" s="750" t="s">
        <v>14</v>
      </c>
      <c r="H3" s="751"/>
      <c r="I3" s="750" t="s">
        <v>11</v>
      </c>
      <c r="J3" s="751"/>
      <c r="K3" s="750" t="s">
        <v>12</v>
      </c>
      <c r="L3" s="751"/>
      <c r="M3" s="752" t="s">
        <v>2</v>
      </c>
      <c r="N3" s="754" t="s">
        <v>23</v>
      </c>
    </row>
    <row r="4" spans="1:18" ht="19.95" customHeight="1" thickBot="1" x14ac:dyDescent="0.45">
      <c r="A4" s="739"/>
      <c r="B4" s="741"/>
      <c r="C4" s="744"/>
      <c r="D4" s="745"/>
      <c r="E4" s="747"/>
      <c r="F4" s="749"/>
      <c r="G4" s="6" t="s">
        <v>8</v>
      </c>
      <c r="H4" s="7" t="s">
        <v>16</v>
      </c>
      <c r="I4" s="6" t="s">
        <v>8</v>
      </c>
      <c r="J4" s="7" t="s">
        <v>16</v>
      </c>
      <c r="K4" s="6" t="s">
        <v>8</v>
      </c>
      <c r="L4" s="7" t="s">
        <v>16</v>
      </c>
      <c r="M4" s="753"/>
      <c r="N4" s="755"/>
    </row>
    <row r="5" spans="1:18" ht="15" customHeight="1" x14ac:dyDescent="0.4">
      <c r="A5" s="761" t="s">
        <v>213</v>
      </c>
      <c r="B5" s="650" t="s">
        <v>15</v>
      </c>
      <c r="C5" s="26" t="s">
        <v>7</v>
      </c>
      <c r="D5" s="69" t="s">
        <v>27</v>
      </c>
      <c r="E5" s="528">
        <v>4</v>
      </c>
      <c r="F5" s="529">
        <v>3</v>
      </c>
      <c r="G5" s="561">
        <v>3</v>
      </c>
      <c r="H5" s="562"/>
      <c r="I5" s="27"/>
      <c r="J5" s="28"/>
      <c r="K5" s="29"/>
      <c r="L5" s="30"/>
      <c r="M5" s="653">
        <f>SUM(G5+H6+I7+J8)</f>
        <v>14</v>
      </c>
      <c r="N5" s="758">
        <v>8</v>
      </c>
      <c r="P5" s="13"/>
    </row>
    <row r="6" spans="1:18" ht="15" customHeight="1" x14ac:dyDescent="0.4">
      <c r="A6" s="762"/>
      <c r="B6" s="651"/>
      <c r="C6" s="31" t="s">
        <v>7</v>
      </c>
      <c r="D6" s="70" t="s">
        <v>28</v>
      </c>
      <c r="E6" s="530">
        <v>4</v>
      </c>
      <c r="F6" s="531">
        <v>3</v>
      </c>
      <c r="G6" s="563"/>
      <c r="H6" s="564">
        <v>3</v>
      </c>
      <c r="I6" s="33"/>
      <c r="J6" s="34"/>
      <c r="K6" s="35"/>
      <c r="L6" s="36"/>
      <c r="M6" s="654"/>
      <c r="N6" s="759"/>
      <c r="P6" s="13"/>
    </row>
    <row r="7" spans="1:18" ht="15" customHeight="1" x14ac:dyDescent="0.4">
      <c r="A7" s="762"/>
      <c r="B7" s="651"/>
      <c r="C7" s="31" t="s">
        <v>46</v>
      </c>
      <c r="D7" s="70" t="s">
        <v>47</v>
      </c>
      <c r="E7" s="530">
        <v>4</v>
      </c>
      <c r="F7" s="531">
        <v>4</v>
      </c>
      <c r="G7" s="563"/>
      <c r="H7" s="564"/>
      <c r="I7" s="33">
        <v>4</v>
      </c>
      <c r="J7" s="34"/>
      <c r="K7" s="35"/>
      <c r="L7" s="36"/>
      <c r="M7" s="654"/>
      <c r="N7" s="759"/>
      <c r="P7" s="13"/>
    </row>
    <row r="8" spans="1:18" ht="15" customHeight="1" thickBot="1" x14ac:dyDescent="0.45">
      <c r="A8" s="762"/>
      <c r="B8" s="652"/>
      <c r="C8" s="59" t="s">
        <v>46</v>
      </c>
      <c r="D8" s="71" t="s">
        <v>48</v>
      </c>
      <c r="E8" s="532">
        <v>4</v>
      </c>
      <c r="F8" s="533">
        <v>4</v>
      </c>
      <c r="G8" s="565"/>
      <c r="H8" s="566"/>
      <c r="I8" s="60"/>
      <c r="J8" s="61">
        <v>4</v>
      </c>
      <c r="K8" s="62"/>
      <c r="L8" s="63"/>
      <c r="M8" s="655"/>
      <c r="N8" s="760"/>
      <c r="P8" s="13"/>
    </row>
    <row r="9" spans="1:18" ht="15" customHeight="1" x14ac:dyDescent="0.4">
      <c r="A9" s="762"/>
      <c r="B9" s="650" t="s">
        <v>10</v>
      </c>
      <c r="C9" s="26" t="s">
        <v>7</v>
      </c>
      <c r="D9" s="69" t="s">
        <v>29</v>
      </c>
      <c r="E9" s="528">
        <v>4</v>
      </c>
      <c r="F9" s="529">
        <v>3</v>
      </c>
      <c r="G9" s="616">
        <v>3</v>
      </c>
      <c r="H9" s="617"/>
      <c r="I9" s="618"/>
      <c r="J9" s="483"/>
      <c r="K9" s="29"/>
      <c r="L9" s="30"/>
      <c r="M9" s="653">
        <f>SUM(G9+H10+I11+J12)</f>
        <v>14</v>
      </c>
      <c r="N9" s="714">
        <v>8</v>
      </c>
      <c r="P9" s="13"/>
      <c r="Q9" s="2"/>
      <c r="R9" s="2"/>
    </row>
    <row r="10" spans="1:18" ht="15" customHeight="1" x14ac:dyDescent="0.4">
      <c r="A10" s="762"/>
      <c r="B10" s="651"/>
      <c r="C10" s="31" t="s">
        <v>7</v>
      </c>
      <c r="D10" s="70" t="s">
        <v>30</v>
      </c>
      <c r="E10" s="530">
        <v>4</v>
      </c>
      <c r="F10" s="531">
        <v>3</v>
      </c>
      <c r="G10" s="619"/>
      <c r="H10" s="620">
        <v>3</v>
      </c>
      <c r="I10" s="621"/>
      <c r="J10" s="485"/>
      <c r="K10" s="37"/>
      <c r="L10" s="38"/>
      <c r="M10" s="654"/>
      <c r="N10" s="715"/>
      <c r="P10" s="13"/>
    </row>
    <row r="11" spans="1:18" ht="15" customHeight="1" x14ac:dyDescent="0.4">
      <c r="A11" s="762"/>
      <c r="B11" s="651"/>
      <c r="C11" s="31" t="s">
        <v>46</v>
      </c>
      <c r="D11" s="70" t="s">
        <v>49</v>
      </c>
      <c r="E11" s="530">
        <v>4</v>
      </c>
      <c r="F11" s="531">
        <v>4</v>
      </c>
      <c r="G11" s="619"/>
      <c r="H11" s="620"/>
      <c r="I11" s="619">
        <v>4</v>
      </c>
      <c r="J11" s="620"/>
      <c r="K11" s="37"/>
      <c r="L11" s="38"/>
      <c r="M11" s="654"/>
      <c r="N11" s="715"/>
      <c r="P11" s="13"/>
    </row>
    <row r="12" spans="1:18" ht="15" customHeight="1" thickBot="1" x14ac:dyDescent="0.45">
      <c r="A12" s="762"/>
      <c r="B12" s="652"/>
      <c r="C12" s="59" t="s">
        <v>46</v>
      </c>
      <c r="D12" s="71" t="s">
        <v>58</v>
      </c>
      <c r="E12" s="532">
        <v>4</v>
      </c>
      <c r="F12" s="533">
        <v>4</v>
      </c>
      <c r="G12" s="622"/>
      <c r="H12" s="623"/>
      <c r="I12" s="622"/>
      <c r="J12" s="623">
        <v>4</v>
      </c>
      <c r="K12" s="62"/>
      <c r="L12" s="63"/>
      <c r="M12" s="655"/>
      <c r="N12" s="716"/>
      <c r="P12" s="13"/>
    </row>
    <row r="13" spans="1:18" ht="15" customHeight="1" x14ac:dyDescent="0.4">
      <c r="A13" s="762"/>
      <c r="B13" s="650" t="s">
        <v>20</v>
      </c>
      <c r="C13" s="26" t="s">
        <v>7</v>
      </c>
      <c r="D13" s="69" t="s">
        <v>31</v>
      </c>
      <c r="E13" s="528">
        <v>4</v>
      </c>
      <c r="F13" s="529">
        <v>3</v>
      </c>
      <c r="G13" s="567">
        <v>3</v>
      </c>
      <c r="H13" s="568"/>
      <c r="I13" s="567"/>
      <c r="J13" s="568"/>
      <c r="K13" s="29"/>
      <c r="L13" s="30"/>
      <c r="M13" s="653">
        <f>SUM(G13+H14+I15+J16)</f>
        <v>14</v>
      </c>
      <c r="N13" s="714">
        <v>8</v>
      </c>
      <c r="P13" s="13"/>
      <c r="Q13" s="2"/>
      <c r="R13" s="2"/>
    </row>
    <row r="14" spans="1:18" ht="15" customHeight="1" x14ac:dyDescent="0.4">
      <c r="A14" s="762"/>
      <c r="B14" s="651"/>
      <c r="C14" s="31" t="s">
        <v>7</v>
      </c>
      <c r="D14" s="70" t="s">
        <v>32</v>
      </c>
      <c r="E14" s="530">
        <v>4</v>
      </c>
      <c r="F14" s="531">
        <v>3</v>
      </c>
      <c r="G14" s="569"/>
      <c r="H14" s="570">
        <v>3</v>
      </c>
      <c r="I14" s="569"/>
      <c r="J14" s="570"/>
      <c r="K14" s="37"/>
      <c r="L14" s="38"/>
      <c r="M14" s="654"/>
      <c r="N14" s="715"/>
      <c r="P14" s="13"/>
    </row>
    <row r="15" spans="1:18" ht="15" customHeight="1" x14ac:dyDescent="0.4">
      <c r="A15" s="762"/>
      <c r="B15" s="651"/>
      <c r="C15" s="31" t="s">
        <v>46</v>
      </c>
      <c r="D15" s="70" t="s">
        <v>50</v>
      </c>
      <c r="E15" s="530">
        <v>4</v>
      </c>
      <c r="F15" s="531">
        <v>4</v>
      </c>
      <c r="G15" s="569"/>
      <c r="H15" s="570"/>
      <c r="I15" s="590">
        <v>4</v>
      </c>
      <c r="J15" s="570"/>
      <c r="K15" s="37"/>
      <c r="L15" s="38"/>
      <c r="M15" s="654"/>
      <c r="N15" s="715"/>
      <c r="P15" s="13"/>
    </row>
    <row r="16" spans="1:18" ht="15" customHeight="1" thickBot="1" x14ac:dyDescent="0.45">
      <c r="A16" s="762"/>
      <c r="B16" s="652"/>
      <c r="C16" s="59" t="s">
        <v>46</v>
      </c>
      <c r="D16" s="71" t="s">
        <v>51</v>
      </c>
      <c r="E16" s="532">
        <v>4</v>
      </c>
      <c r="F16" s="533">
        <v>4</v>
      </c>
      <c r="G16" s="571"/>
      <c r="H16" s="572"/>
      <c r="I16" s="571"/>
      <c r="J16" s="572">
        <v>4</v>
      </c>
      <c r="K16" s="62"/>
      <c r="L16" s="63"/>
      <c r="M16" s="655"/>
      <c r="N16" s="716"/>
      <c r="P16" s="13"/>
    </row>
    <row r="17" spans="1:18" ht="15" customHeight="1" x14ac:dyDescent="0.4">
      <c r="A17" s="762"/>
      <c r="B17" s="764" t="s">
        <v>13</v>
      </c>
      <c r="C17" s="26" t="s">
        <v>7</v>
      </c>
      <c r="D17" s="69" t="s">
        <v>33</v>
      </c>
      <c r="E17" s="528">
        <v>3</v>
      </c>
      <c r="F17" s="529">
        <v>3</v>
      </c>
      <c r="G17" s="567">
        <v>3</v>
      </c>
      <c r="H17" s="568"/>
      <c r="I17" s="29"/>
      <c r="J17" s="30"/>
      <c r="K17" s="29"/>
      <c r="L17" s="30"/>
      <c r="M17" s="653">
        <v>6</v>
      </c>
      <c r="N17" s="714">
        <v>6</v>
      </c>
      <c r="P17" s="13"/>
    </row>
    <row r="18" spans="1:18" ht="15" customHeight="1" thickBot="1" x14ac:dyDescent="0.45">
      <c r="A18" s="762"/>
      <c r="B18" s="765"/>
      <c r="C18" s="57" t="s">
        <v>7</v>
      </c>
      <c r="D18" s="71" t="s">
        <v>34</v>
      </c>
      <c r="E18" s="532">
        <v>3</v>
      </c>
      <c r="F18" s="533">
        <v>3</v>
      </c>
      <c r="G18" s="571"/>
      <c r="H18" s="572">
        <v>3</v>
      </c>
      <c r="I18" s="62"/>
      <c r="J18" s="63"/>
      <c r="K18" s="62"/>
      <c r="L18" s="63"/>
      <c r="M18" s="655"/>
      <c r="N18" s="716"/>
      <c r="P18" s="13"/>
      <c r="Q18" s="2"/>
      <c r="R18" s="2"/>
    </row>
    <row r="19" spans="1:18" ht="15" customHeight="1" x14ac:dyDescent="0.4">
      <c r="A19" s="762"/>
      <c r="B19" s="650" t="s">
        <v>19</v>
      </c>
      <c r="C19" s="26" t="s">
        <v>7</v>
      </c>
      <c r="D19" s="69" t="s">
        <v>35</v>
      </c>
      <c r="E19" s="528">
        <v>4</v>
      </c>
      <c r="F19" s="529">
        <v>4</v>
      </c>
      <c r="G19" s="567">
        <v>4</v>
      </c>
      <c r="H19" s="568"/>
      <c r="I19" s="29"/>
      <c r="J19" s="30"/>
      <c r="K19" s="29"/>
      <c r="L19" s="30"/>
      <c r="M19" s="653">
        <v>8</v>
      </c>
      <c r="N19" s="717">
        <v>8</v>
      </c>
      <c r="P19" s="14"/>
      <c r="Q19" s="2"/>
      <c r="R19" s="2"/>
    </row>
    <row r="20" spans="1:18" ht="15" customHeight="1" thickBot="1" x14ac:dyDescent="0.45">
      <c r="A20" s="762"/>
      <c r="B20" s="652"/>
      <c r="C20" s="57" t="s">
        <v>7</v>
      </c>
      <c r="D20" s="71" t="s">
        <v>36</v>
      </c>
      <c r="E20" s="532">
        <v>4</v>
      </c>
      <c r="F20" s="533">
        <v>4</v>
      </c>
      <c r="G20" s="571"/>
      <c r="H20" s="572">
        <v>4</v>
      </c>
      <c r="I20" s="62"/>
      <c r="J20" s="63"/>
      <c r="K20" s="62"/>
      <c r="L20" s="63"/>
      <c r="M20" s="655"/>
      <c r="N20" s="718"/>
      <c r="P20" s="14"/>
      <c r="Q20" s="2"/>
      <c r="R20" s="2"/>
    </row>
    <row r="21" spans="1:18" ht="15" customHeight="1" x14ac:dyDescent="0.4">
      <c r="A21" s="762"/>
      <c r="B21" s="650" t="s">
        <v>6</v>
      </c>
      <c r="C21" s="26" t="s">
        <v>7</v>
      </c>
      <c r="D21" s="69" t="s">
        <v>37</v>
      </c>
      <c r="E21" s="528">
        <v>4</v>
      </c>
      <c r="F21" s="529">
        <v>4</v>
      </c>
      <c r="G21" s="567">
        <v>4</v>
      </c>
      <c r="H21" s="568"/>
      <c r="I21" s="29"/>
      <c r="J21" s="30"/>
      <c r="K21" s="29"/>
      <c r="L21" s="30"/>
      <c r="M21" s="731">
        <f>SUM(G21+H22+G23+H24)</f>
        <v>10</v>
      </c>
      <c r="N21" s="719">
        <v>10</v>
      </c>
      <c r="P21" s="15"/>
      <c r="Q21" s="2"/>
      <c r="R21" s="2"/>
    </row>
    <row r="22" spans="1:18" ht="15" customHeight="1" x14ac:dyDescent="0.4">
      <c r="A22" s="762"/>
      <c r="B22" s="651"/>
      <c r="C22" s="39" t="s">
        <v>7</v>
      </c>
      <c r="D22" s="72" t="s">
        <v>38</v>
      </c>
      <c r="E22" s="530">
        <v>4</v>
      </c>
      <c r="F22" s="531">
        <v>4</v>
      </c>
      <c r="G22" s="569"/>
      <c r="H22" s="570">
        <v>4</v>
      </c>
      <c r="I22" s="37"/>
      <c r="J22" s="38"/>
      <c r="K22" s="37"/>
      <c r="L22" s="38"/>
      <c r="M22" s="732"/>
      <c r="N22" s="720"/>
      <c r="P22" s="15"/>
      <c r="Q22" s="2"/>
      <c r="R22" s="2"/>
    </row>
    <row r="23" spans="1:18" ht="15" customHeight="1" x14ac:dyDescent="0.4">
      <c r="A23" s="762"/>
      <c r="B23" s="651"/>
      <c r="C23" s="39" t="s">
        <v>7</v>
      </c>
      <c r="D23" s="72" t="s">
        <v>39</v>
      </c>
      <c r="E23" s="530">
        <v>1</v>
      </c>
      <c r="F23" s="531">
        <v>1</v>
      </c>
      <c r="G23" s="569">
        <v>1</v>
      </c>
      <c r="H23" s="570"/>
      <c r="I23" s="37"/>
      <c r="J23" s="38"/>
      <c r="K23" s="37"/>
      <c r="L23" s="38"/>
      <c r="M23" s="732"/>
      <c r="N23" s="720"/>
      <c r="P23" s="15"/>
      <c r="Q23" s="2"/>
      <c r="R23" s="2"/>
    </row>
    <row r="24" spans="1:18" ht="15" customHeight="1" thickBot="1" x14ac:dyDescent="0.45">
      <c r="A24" s="762"/>
      <c r="B24" s="652"/>
      <c r="C24" s="57" t="s">
        <v>7</v>
      </c>
      <c r="D24" s="73" t="s">
        <v>40</v>
      </c>
      <c r="E24" s="532">
        <v>1</v>
      </c>
      <c r="F24" s="533">
        <v>1</v>
      </c>
      <c r="G24" s="571"/>
      <c r="H24" s="572">
        <v>1</v>
      </c>
      <c r="I24" s="62"/>
      <c r="J24" s="63"/>
      <c r="K24" s="62"/>
      <c r="L24" s="63"/>
      <c r="M24" s="733"/>
      <c r="N24" s="721"/>
      <c r="P24" s="15"/>
      <c r="Q24" s="2"/>
      <c r="R24" s="2"/>
    </row>
    <row r="25" spans="1:18" ht="15" customHeight="1" x14ac:dyDescent="0.4">
      <c r="A25" s="762"/>
      <c r="B25" s="650" t="s">
        <v>18</v>
      </c>
      <c r="C25" s="26" t="s">
        <v>43</v>
      </c>
      <c r="D25" s="74" t="s">
        <v>52</v>
      </c>
      <c r="E25" s="528">
        <v>2</v>
      </c>
      <c r="F25" s="529">
        <v>1</v>
      </c>
      <c r="G25" s="567">
        <v>1</v>
      </c>
      <c r="H25" s="568"/>
      <c r="I25" s="29"/>
      <c r="J25" s="30"/>
      <c r="K25" s="29"/>
      <c r="L25" s="30"/>
      <c r="M25" s="653">
        <f>SUM(G25+H26+I27+J28+K29+L30)</f>
        <v>10</v>
      </c>
      <c r="N25" s="719">
        <v>10</v>
      </c>
      <c r="P25" s="15"/>
      <c r="Q25" s="2"/>
      <c r="R25" s="2"/>
    </row>
    <row r="26" spans="1:18" ht="15" customHeight="1" x14ac:dyDescent="0.4">
      <c r="A26" s="762"/>
      <c r="B26" s="651"/>
      <c r="C26" s="39" t="s">
        <v>43</v>
      </c>
      <c r="D26" s="72" t="s">
        <v>53</v>
      </c>
      <c r="E26" s="530">
        <v>2</v>
      </c>
      <c r="F26" s="531">
        <v>1</v>
      </c>
      <c r="G26" s="569"/>
      <c r="H26" s="570">
        <v>1</v>
      </c>
      <c r="I26" s="37"/>
      <c r="J26" s="38"/>
      <c r="K26" s="37"/>
      <c r="L26" s="38"/>
      <c r="M26" s="654"/>
      <c r="N26" s="720"/>
      <c r="P26" s="15"/>
    </row>
    <row r="27" spans="1:18" ht="15" customHeight="1" x14ac:dyDescent="0.4">
      <c r="A27" s="762"/>
      <c r="B27" s="651"/>
      <c r="C27" s="39" t="s">
        <v>41</v>
      </c>
      <c r="D27" s="72" t="s">
        <v>187</v>
      </c>
      <c r="E27" s="530">
        <v>3</v>
      </c>
      <c r="F27" s="531">
        <v>2</v>
      </c>
      <c r="G27" s="569"/>
      <c r="H27" s="570"/>
      <c r="I27" s="37">
        <v>2</v>
      </c>
      <c r="J27" s="38"/>
      <c r="K27" s="42"/>
      <c r="L27" s="43"/>
      <c r="M27" s="654"/>
      <c r="N27" s="720"/>
      <c r="P27" s="15"/>
    </row>
    <row r="28" spans="1:18" ht="15" customHeight="1" x14ac:dyDescent="0.4">
      <c r="A28" s="762"/>
      <c r="B28" s="651"/>
      <c r="C28" s="39" t="s">
        <v>41</v>
      </c>
      <c r="D28" s="72" t="s">
        <v>186</v>
      </c>
      <c r="E28" s="530">
        <v>3</v>
      </c>
      <c r="F28" s="531">
        <v>2</v>
      </c>
      <c r="G28" s="569"/>
      <c r="H28" s="570"/>
      <c r="I28" s="37"/>
      <c r="J28" s="38">
        <v>2</v>
      </c>
      <c r="K28" s="42"/>
      <c r="L28" s="43"/>
      <c r="M28" s="654"/>
      <c r="N28" s="720"/>
      <c r="P28" s="15"/>
    </row>
    <row r="29" spans="1:18" ht="15" customHeight="1" x14ac:dyDescent="0.4">
      <c r="A29" s="762"/>
      <c r="B29" s="651"/>
      <c r="C29" s="39" t="s">
        <v>45</v>
      </c>
      <c r="D29" s="72" t="s">
        <v>54</v>
      </c>
      <c r="E29" s="530">
        <v>3</v>
      </c>
      <c r="F29" s="531">
        <v>2</v>
      </c>
      <c r="G29" s="569"/>
      <c r="H29" s="570"/>
      <c r="I29" s="37"/>
      <c r="J29" s="38"/>
      <c r="K29" s="42">
        <v>2</v>
      </c>
      <c r="L29" s="43"/>
      <c r="M29" s="654"/>
      <c r="N29" s="720"/>
      <c r="P29" s="15"/>
    </row>
    <row r="30" spans="1:18" ht="15" customHeight="1" thickBot="1" x14ac:dyDescent="0.45">
      <c r="A30" s="762"/>
      <c r="B30" s="652"/>
      <c r="C30" s="57" t="s">
        <v>45</v>
      </c>
      <c r="D30" s="73" t="s">
        <v>55</v>
      </c>
      <c r="E30" s="532">
        <v>3</v>
      </c>
      <c r="F30" s="533">
        <v>2</v>
      </c>
      <c r="G30" s="571"/>
      <c r="H30" s="572"/>
      <c r="I30" s="62"/>
      <c r="J30" s="63"/>
      <c r="K30" s="62"/>
      <c r="L30" s="63">
        <v>2</v>
      </c>
      <c r="M30" s="655"/>
      <c r="N30" s="721"/>
      <c r="P30" s="15"/>
    </row>
    <row r="31" spans="1:18" ht="15" customHeight="1" x14ac:dyDescent="0.4">
      <c r="A31" s="762"/>
      <c r="B31" s="650" t="s">
        <v>103</v>
      </c>
      <c r="C31" s="500" t="s">
        <v>17</v>
      </c>
      <c r="D31" s="524" t="s">
        <v>181</v>
      </c>
      <c r="E31" s="144">
        <v>3</v>
      </c>
      <c r="F31" s="145">
        <v>3</v>
      </c>
      <c r="G31" s="690" t="s">
        <v>212</v>
      </c>
      <c r="H31" s="691"/>
      <c r="I31" s="115"/>
      <c r="J31" s="64"/>
      <c r="K31" s="115"/>
      <c r="L31" s="64"/>
      <c r="M31" s="728">
        <f>SUM(G32+H32+I34+J34)</f>
        <v>10</v>
      </c>
      <c r="N31" s="722">
        <v>10</v>
      </c>
      <c r="P31" s="15"/>
    </row>
    <row r="32" spans="1:18" ht="15" customHeight="1" thickBot="1" x14ac:dyDescent="0.45">
      <c r="A32" s="762"/>
      <c r="B32" s="651"/>
      <c r="C32" s="495" t="s">
        <v>42</v>
      </c>
      <c r="D32" s="499" t="s">
        <v>107</v>
      </c>
      <c r="E32" s="534">
        <v>3</v>
      </c>
      <c r="F32" s="535">
        <v>3</v>
      </c>
      <c r="G32" s="573">
        <v>3</v>
      </c>
      <c r="H32" s="574">
        <v>3</v>
      </c>
      <c r="I32" s="58"/>
      <c r="J32" s="117"/>
      <c r="K32" s="58"/>
      <c r="L32" s="117"/>
      <c r="M32" s="729"/>
      <c r="N32" s="723"/>
      <c r="P32" s="15"/>
    </row>
    <row r="33" spans="1:16" ht="15" customHeight="1" x14ac:dyDescent="0.4">
      <c r="A33" s="762"/>
      <c r="B33" s="651"/>
      <c r="C33" s="31" t="s">
        <v>21</v>
      </c>
      <c r="D33" s="141" t="s">
        <v>63</v>
      </c>
      <c r="E33" s="536">
        <v>3</v>
      </c>
      <c r="F33" s="537">
        <v>2</v>
      </c>
      <c r="G33" s="575"/>
      <c r="H33" s="576"/>
      <c r="I33" s="690" t="s">
        <v>212</v>
      </c>
      <c r="J33" s="691"/>
      <c r="K33" s="142"/>
      <c r="L33" s="143"/>
      <c r="M33" s="729"/>
      <c r="N33" s="723"/>
      <c r="P33" s="15"/>
    </row>
    <row r="34" spans="1:16" ht="15" customHeight="1" thickBot="1" x14ac:dyDescent="0.45">
      <c r="A34" s="762"/>
      <c r="B34" s="652"/>
      <c r="C34" s="218" t="s">
        <v>21</v>
      </c>
      <c r="D34" s="498" t="s">
        <v>109</v>
      </c>
      <c r="E34" s="532">
        <v>3</v>
      </c>
      <c r="F34" s="533">
        <v>2</v>
      </c>
      <c r="G34" s="571"/>
      <c r="H34" s="572"/>
      <c r="I34" s="491">
        <v>2</v>
      </c>
      <c r="J34" s="63">
        <v>2</v>
      </c>
      <c r="K34" s="58"/>
      <c r="L34" s="117"/>
      <c r="M34" s="730"/>
      <c r="N34" s="724"/>
      <c r="P34" s="15"/>
    </row>
    <row r="35" spans="1:16" ht="15" customHeight="1" x14ac:dyDescent="0.4">
      <c r="A35" s="762"/>
      <c r="B35" s="650" t="s">
        <v>106</v>
      </c>
      <c r="C35" s="26" t="s">
        <v>41</v>
      </c>
      <c r="D35" s="496" t="s">
        <v>182</v>
      </c>
      <c r="E35" s="538">
        <v>3</v>
      </c>
      <c r="F35" s="537">
        <v>2</v>
      </c>
      <c r="G35" s="690" t="s">
        <v>212</v>
      </c>
      <c r="H35" s="691"/>
      <c r="I35" s="490"/>
      <c r="J35" s="36"/>
      <c r="K35" s="487"/>
      <c r="L35" s="113"/>
      <c r="M35" s="653">
        <f>SUM(G36+H36+G38+H38)</f>
        <v>10</v>
      </c>
      <c r="N35" s="653">
        <v>16</v>
      </c>
      <c r="P35" s="15"/>
    </row>
    <row r="36" spans="1:16" ht="15" customHeight="1" thickBot="1" x14ac:dyDescent="0.45">
      <c r="A36" s="762"/>
      <c r="B36" s="652"/>
      <c r="C36" s="494" t="s">
        <v>41</v>
      </c>
      <c r="D36" s="498" t="s">
        <v>114</v>
      </c>
      <c r="E36" s="532">
        <v>3</v>
      </c>
      <c r="F36" s="533">
        <v>2</v>
      </c>
      <c r="G36" s="571">
        <v>2</v>
      </c>
      <c r="H36" s="572">
        <v>2</v>
      </c>
      <c r="I36" s="489"/>
      <c r="J36" s="38"/>
      <c r="K36" s="488"/>
      <c r="L36" s="493"/>
      <c r="M36" s="654"/>
      <c r="N36" s="654"/>
      <c r="P36" s="15"/>
    </row>
    <row r="37" spans="1:16" ht="15" customHeight="1" x14ac:dyDescent="0.4">
      <c r="A37" s="762"/>
      <c r="B37" s="766" t="s">
        <v>56</v>
      </c>
      <c r="C37" s="56" t="s">
        <v>41</v>
      </c>
      <c r="D37" s="141" t="s">
        <v>60</v>
      </c>
      <c r="E37" s="536">
        <v>4</v>
      </c>
      <c r="F37" s="537">
        <v>3</v>
      </c>
      <c r="G37" s="690" t="s">
        <v>212</v>
      </c>
      <c r="H37" s="691"/>
      <c r="I37" s="16"/>
      <c r="J37" s="492"/>
      <c r="K37" s="487"/>
      <c r="L37" s="492"/>
      <c r="M37" s="654"/>
      <c r="N37" s="654"/>
      <c r="P37" s="15"/>
    </row>
    <row r="38" spans="1:16" ht="15" customHeight="1" thickBot="1" x14ac:dyDescent="0.45">
      <c r="A38" s="763"/>
      <c r="B38" s="767"/>
      <c r="C38" s="57" t="s">
        <v>17</v>
      </c>
      <c r="D38" s="73" t="s">
        <v>59</v>
      </c>
      <c r="E38" s="532">
        <v>4</v>
      </c>
      <c r="F38" s="533">
        <v>3</v>
      </c>
      <c r="G38" s="573">
        <v>3</v>
      </c>
      <c r="H38" s="574">
        <v>3</v>
      </c>
      <c r="I38" s="18"/>
      <c r="J38" s="89"/>
      <c r="K38" s="18"/>
      <c r="L38" s="89"/>
      <c r="M38" s="655"/>
      <c r="N38" s="655"/>
      <c r="P38" s="15"/>
    </row>
    <row r="39" spans="1:16" ht="15" customHeight="1" x14ac:dyDescent="0.4">
      <c r="A39" s="710" t="s">
        <v>214</v>
      </c>
      <c r="B39" s="670" t="s">
        <v>94</v>
      </c>
      <c r="C39" s="704" t="s">
        <v>41</v>
      </c>
      <c r="D39" s="673" t="s">
        <v>198</v>
      </c>
      <c r="E39" s="679">
        <v>4</v>
      </c>
      <c r="F39" s="656">
        <v>4</v>
      </c>
      <c r="G39" s="606"/>
      <c r="H39" s="580"/>
      <c r="I39" s="477" t="s">
        <v>204</v>
      </c>
      <c r="J39" s="609"/>
      <c r="K39" s="9"/>
      <c r="L39" s="509"/>
      <c r="M39" s="653">
        <v>12</v>
      </c>
      <c r="N39" s="653"/>
      <c r="P39" s="15"/>
    </row>
    <row r="40" spans="1:16" ht="15" customHeight="1" x14ac:dyDescent="0.4">
      <c r="A40" s="711"/>
      <c r="B40" s="661"/>
      <c r="C40" s="705"/>
      <c r="D40" s="674"/>
      <c r="E40" s="680"/>
      <c r="F40" s="657"/>
      <c r="G40" s="1"/>
      <c r="H40" s="597"/>
      <c r="I40" s="611">
        <v>4</v>
      </c>
      <c r="J40" s="610"/>
      <c r="K40" s="8"/>
      <c r="L40" s="510"/>
      <c r="M40" s="654"/>
      <c r="N40" s="654"/>
      <c r="P40" s="15"/>
    </row>
    <row r="41" spans="1:16" ht="15" customHeight="1" x14ac:dyDescent="0.4">
      <c r="A41" s="711"/>
      <c r="B41" s="660" t="s">
        <v>6</v>
      </c>
      <c r="C41" s="708" t="s">
        <v>41</v>
      </c>
      <c r="D41" s="677" t="s">
        <v>199</v>
      </c>
      <c r="E41" s="681">
        <v>4</v>
      </c>
      <c r="F41" s="658">
        <v>4</v>
      </c>
      <c r="G41" s="607"/>
      <c r="H41" s="583"/>
      <c r="I41" s="601">
        <v>4</v>
      </c>
      <c r="J41" s="610"/>
      <c r="K41" s="8"/>
      <c r="L41" s="510"/>
      <c r="M41" s="654"/>
      <c r="N41" s="654"/>
      <c r="P41" s="15"/>
    </row>
    <row r="42" spans="1:16" ht="15" customHeight="1" thickBot="1" x14ac:dyDescent="0.45">
      <c r="A42" s="711"/>
      <c r="B42" s="713"/>
      <c r="C42" s="709"/>
      <c r="D42" s="678"/>
      <c r="E42" s="682"/>
      <c r="F42" s="659"/>
      <c r="G42" s="608"/>
      <c r="H42" s="587"/>
      <c r="I42" s="602">
        <v>4</v>
      </c>
      <c r="J42" s="598"/>
      <c r="K42" s="511"/>
      <c r="L42" s="508"/>
      <c r="M42" s="655"/>
      <c r="N42" s="654"/>
      <c r="P42" s="15"/>
    </row>
    <row r="43" spans="1:16" ht="15" customHeight="1" x14ac:dyDescent="0.4">
      <c r="A43" s="711"/>
      <c r="B43" s="81" t="s">
        <v>64</v>
      </c>
      <c r="C43" s="519" t="s">
        <v>21</v>
      </c>
      <c r="D43" s="486" t="s">
        <v>188</v>
      </c>
      <c r="E43" s="542">
        <v>4</v>
      </c>
      <c r="F43" s="540">
        <v>4</v>
      </c>
      <c r="G43" s="577"/>
      <c r="H43" s="578"/>
      <c r="I43" s="525"/>
      <c r="J43" s="118" t="s">
        <v>57</v>
      </c>
      <c r="K43" s="523"/>
      <c r="L43" s="507"/>
      <c r="M43" s="725">
        <v>4</v>
      </c>
      <c r="N43" s="654"/>
      <c r="P43" s="12"/>
    </row>
    <row r="44" spans="1:16" ht="13.95" customHeight="1" x14ac:dyDescent="0.4">
      <c r="A44" s="711"/>
      <c r="B44" s="474" t="s">
        <v>67</v>
      </c>
      <c r="C44" s="173" t="s">
        <v>21</v>
      </c>
      <c r="D44" s="485" t="s">
        <v>216</v>
      </c>
      <c r="E44" s="543">
        <v>4</v>
      </c>
      <c r="F44" s="540">
        <v>4</v>
      </c>
      <c r="G44" s="577"/>
      <c r="H44" s="578"/>
      <c r="I44" s="94"/>
      <c r="J44" s="648">
        <v>4</v>
      </c>
      <c r="K44" s="8"/>
      <c r="L44" s="510"/>
      <c r="M44" s="726"/>
      <c r="N44" s="654"/>
      <c r="P44" s="12"/>
    </row>
    <row r="45" spans="1:16" ht="15" customHeight="1" thickBot="1" x14ac:dyDescent="0.45">
      <c r="A45" s="711"/>
      <c r="B45" s="516" t="s">
        <v>70</v>
      </c>
      <c r="C45" s="518" t="s">
        <v>21</v>
      </c>
      <c r="D45" s="484" t="s">
        <v>190</v>
      </c>
      <c r="E45" s="544">
        <v>4</v>
      </c>
      <c r="F45" s="533">
        <v>4</v>
      </c>
      <c r="G45" s="573"/>
      <c r="H45" s="574"/>
      <c r="I45" s="599"/>
      <c r="J45" s="649"/>
      <c r="K45" s="8"/>
      <c r="L45" s="510"/>
      <c r="M45" s="727"/>
      <c r="N45" s="654"/>
    </row>
    <row r="46" spans="1:16" ht="15" customHeight="1" x14ac:dyDescent="0.4">
      <c r="A46" s="711"/>
      <c r="B46" s="670" t="s">
        <v>64</v>
      </c>
      <c r="C46" s="53" t="s">
        <v>41</v>
      </c>
      <c r="D46" s="483" t="s">
        <v>189</v>
      </c>
      <c r="E46" s="545">
        <v>4</v>
      </c>
      <c r="F46" s="529">
        <v>4</v>
      </c>
      <c r="G46" s="579"/>
      <c r="H46" s="580"/>
      <c r="I46" s="93"/>
      <c r="J46" s="96"/>
      <c r="K46" s="477" t="s">
        <v>197</v>
      </c>
      <c r="L46" s="475"/>
      <c r="M46" s="725">
        <v>24</v>
      </c>
      <c r="N46" s="654"/>
    </row>
    <row r="47" spans="1:16" ht="15" customHeight="1" x14ac:dyDescent="0.4">
      <c r="A47" s="711"/>
      <c r="B47" s="661"/>
      <c r="C47" s="519" t="s">
        <v>65</v>
      </c>
      <c r="D47" s="486" t="s">
        <v>66</v>
      </c>
      <c r="E47" s="546">
        <v>4</v>
      </c>
      <c r="F47" s="540">
        <v>4</v>
      </c>
      <c r="G47" s="581"/>
      <c r="H47" s="578"/>
      <c r="I47" s="497"/>
      <c r="J47" s="90"/>
      <c r="K47" s="600">
        <v>4</v>
      </c>
      <c r="L47" s="591"/>
      <c r="M47" s="726"/>
      <c r="N47" s="654"/>
    </row>
    <row r="48" spans="1:16" ht="14.25" customHeight="1" x14ac:dyDescent="0.4">
      <c r="A48" s="711"/>
      <c r="B48" s="660" t="s">
        <v>67</v>
      </c>
      <c r="C48" s="173" t="s">
        <v>41</v>
      </c>
      <c r="D48" s="521" t="s">
        <v>69</v>
      </c>
      <c r="E48" s="547">
        <v>4</v>
      </c>
      <c r="F48" s="540">
        <v>4</v>
      </c>
      <c r="G48" s="581"/>
      <c r="H48" s="578"/>
      <c r="I48" s="97"/>
      <c r="J48" s="91"/>
      <c r="K48" s="600">
        <v>4</v>
      </c>
      <c r="L48" s="591"/>
      <c r="M48" s="726"/>
      <c r="N48" s="654"/>
    </row>
    <row r="49" spans="1:14" ht="14.25" customHeight="1" x14ac:dyDescent="0.4">
      <c r="A49" s="711"/>
      <c r="B49" s="661"/>
      <c r="C49" s="173" t="s">
        <v>43</v>
      </c>
      <c r="D49" s="106" t="s">
        <v>215</v>
      </c>
      <c r="E49" s="548">
        <v>4</v>
      </c>
      <c r="F49" s="531">
        <v>4</v>
      </c>
      <c r="G49" s="582"/>
      <c r="H49" s="583"/>
      <c r="I49" s="100"/>
      <c r="J49" s="513"/>
      <c r="K49" s="600">
        <v>4</v>
      </c>
      <c r="L49" s="476"/>
      <c r="M49" s="726"/>
      <c r="N49" s="654"/>
    </row>
    <row r="50" spans="1:14" ht="14.25" customHeight="1" x14ac:dyDescent="0.4">
      <c r="A50" s="711"/>
      <c r="B50" s="660" t="s">
        <v>194</v>
      </c>
      <c r="C50" s="505" t="s">
        <v>209</v>
      </c>
      <c r="D50" s="106" t="s">
        <v>211</v>
      </c>
      <c r="E50" s="605">
        <v>4</v>
      </c>
      <c r="F50" s="531">
        <v>4</v>
      </c>
      <c r="G50" s="582"/>
      <c r="H50" s="583"/>
      <c r="I50" s="100"/>
      <c r="J50" s="513"/>
      <c r="K50" s="600">
        <v>4</v>
      </c>
      <c r="L50" s="476"/>
      <c r="M50" s="726"/>
      <c r="N50" s="654"/>
    </row>
    <row r="51" spans="1:14" ht="14.25" customHeight="1" x14ac:dyDescent="0.4">
      <c r="A51" s="711"/>
      <c r="B51" s="661"/>
      <c r="C51" s="173" t="s">
        <v>43</v>
      </c>
      <c r="D51" s="104" t="s">
        <v>210</v>
      </c>
      <c r="E51" s="549">
        <v>4</v>
      </c>
      <c r="F51" s="531">
        <v>4</v>
      </c>
      <c r="G51" s="582"/>
      <c r="H51" s="583"/>
      <c r="I51" s="100"/>
      <c r="J51" s="513"/>
      <c r="K51" s="600">
        <v>4</v>
      </c>
      <c r="L51" s="476"/>
      <c r="M51" s="726"/>
      <c r="N51" s="654"/>
    </row>
    <row r="52" spans="1:14" ht="15" customHeight="1" x14ac:dyDescent="0.4">
      <c r="A52" s="711"/>
      <c r="B52" s="520" t="s">
        <v>94</v>
      </c>
      <c r="C52" s="519" t="s">
        <v>207</v>
      </c>
      <c r="D52" s="521" t="s">
        <v>203</v>
      </c>
      <c r="E52" s="550">
        <v>4</v>
      </c>
      <c r="F52" s="551">
        <v>4</v>
      </c>
      <c r="G52" s="577"/>
      <c r="H52" s="578"/>
      <c r="I52" s="525"/>
      <c r="J52" s="91"/>
      <c r="K52" s="601">
        <v>4</v>
      </c>
      <c r="L52" s="592"/>
      <c r="M52" s="726"/>
      <c r="N52" s="654"/>
    </row>
    <row r="53" spans="1:14" ht="15" customHeight="1" thickBot="1" x14ac:dyDescent="0.45">
      <c r="A53" s="711"/>
      <c r="B53" s="45" t="s">
        <v>6</v>
      </c>
      <c r="C53" s="52" t="s">
        <v>43</v>
      </c>
      <c r="D53" s="103" t="s">
        <v>218</v>
      </c>
      <c r="E53" s="552">
        <v>4</v>
      </c>
      <c r="F53" s="553">
        <v>4</v>
      </c>
      <c r="G53" s="573"/>
      <c r="H53" s="574"/>
      <c r="I53" s="95"/>
      <c r="J53" s="92"/>
      <c r="K53" s="602"/>
      <c r="L53" s="593"/>
      <c r="M53" s="727"/>
      <c r="N53" s="654"/>
    </row>
    <row r="54" spans="1:14" ht="15" customHeight="1" x14ac:dyDescent="0.4">
      <c r="A54" s="711"/>
      <c r="B54" s="670" t="s">
        <v>200</v>
      </c>
      <c r="C54" s="519" t="s">
        <v>21</v>
      </c>
      <c r="D54" s="521" t="s">
        <v>180</v>
      </c>
      <c r="E54" s="550">
        <v>4</v>
      </c>
      <c r="F54" s="554">
        <v>4</v>
      </c>
      <c r="G54" s="577"/>
      <c r="H54" s="578"/>
      <c r="I54" s="525"/>
      <c r="J54" s="90"/>
      <c r="K54" s="594"/>
      <c r="L54" s="477" t="s">
        <v>183</v>
      </c>
      <c r="M54" s="725">
        <v>16</v>
      </c>
      <c r="N54" s="654"/>
    </row>
    <row r="55" spans="1:14" ht="15" customHeight="1" x14ac:dyDescent="0.4">
      <c r="A55" s="711"/>
      <c r="B55" s="661"/>
      <c r="C55" s="519" t="s">
        <v>192</v>
      </c>
      <c r="D55" s="521" t="s">
        <v>191</v>
      </c>
      <c r="E55" s="550">
        <v>4</v>
      </c>
      <c r="F55" s="554">
        <v>4</v>
      </c>
      <c r="G55" s="577"/>
      <c r="H55" s="578"/>
      <c r="I55" s="525"/>
      <c r="J55" s="90"/>
      <c r="K55" s="594"/>
      <c r="L55" s="662" t="s">
        <v>202</v>
      </c>
      <c r="M55" s="726"/>
      <c r="N55" s="654"/>
    </row>
    <row r="56" spans="1:14" ht="15" customHeight="1" x14ac:dyDescent="0.4">
      <c r="A56" s="711"/>
      <c r="B56" s="515" t="s">
        <v>201</v>
      </c>
      <c r="C56" s="519" t="s">
        <v>192</v>
      </c>
      <c r="D56" s="503" t="s">
        <v>193</v>
      </c>
      <c r="E56" s="555">
        <v>4</v>
      </c>
      <c r="F56" s="556">
        <v>4</v>
      </c>
      <c r="G56" s="577"/>
      <c r="H56" s="578"/>
      <c r="I56" s="525"/>
      <c r="J56" s="116"/>
      <c r="K56" s="595"/>
      <c r="L56" s="663"/>
      <c r="M56" s="726"/>
      <c r="N56" s="654"/>
    </row>
    <row r="57" spans="1:14" ht="15" customHeight="1" thickBot="1" x14ac:dyDescent="0.45">
      <c r="A57" s="711"/>
      <c r="B57" s="514" t="s">
        <v>70</v>
      </c>
      <c r="C57" s="506" t="s">
        <v>21</v>
      </c>
      <c r="D57" s="527" t="s">
        <v>195</v>
      </c>
      <c r="E57" s="547">
        <v>4</v>
      </c>
      <c r="F57" s="557">
        <v>4</v>
      </c>
      <c r="G57" s="573"/>
      <c r="H57" s="574"/>
      <c r="I57" s="95"/>
      <c r="J57" s="67"/>
      <c r="K57" s="481"/>
      <c r="L57" s="664"/>
      <c r="M57" s="727"/>
      <c r="N57" s="654"/>
    </row>
    <row r="58" spans="1:14" ht="15" customHeight="1" x14ac:dyDescent="0.4">
      <c r="A58" s="711"/>
      <c r="B58" s="501" t="s">
        <v>177</v>
      </c>
      <c r="C58" s="53" t="s">
        <v>71</v>
      </c>
      <c r="D58" s="83" t="s">
        <v>185</v>
      </c>
      <c r="E58" s="558">
        <v>4</v>
      </c>
      <c r="F58" s="529">
        <v>4</v>
      </c>
      <c r="G58" s="577"/>
      <c r="H58" s="578"/>
      <c r="I58" s="482"/>
      <c r="J58" s="477" t="s">
        <v>179</v>
      </c>
      <c r="K58" s="473"/>
      <c r="L58" s="66"/>
      <c r="M58" s="725">
        <v>8</v>
      </c>
      <c r="N58" s="654"/>
    </row>
    <row r="59" spans="1:14" ht="15" customHeight="1" x14ac:dyDescent="0.4">
      <c r="A59" s="711"/>
      <c r="B59" s="706" t="s">
        <v>176</v>
      </c>
      <c r="C59" s="708" t="s">
        <v>71</v>
      </c>
      <c r="D59" s="677" t="s">
        <v>217</v>
      </c>
      <c r="E59" s="683">
        <v>4</v>
      </c>
      <c r="F59" s="658">
        <v>4</v>
      </c>
      <c r="G59" s="684"/>
      <c r="H59" s="686"/>
      <c r="I59" s="688"/>
      <c r="J59" s="600">
        <v>4</v>
      </c>
      <c r="K59" s="675"/>
      <c r="L59" s="671"/>
      <c r="M59" s="726"/>
      <c r="N59" s="654"/>
    </row>
    <row r="60" spans="1:14" ht="15" customHeight="1" thickBot="1" x14ac:dyDescent="0.45">
      <c r="A60" s="711"/>
      <c r="B60" s="707"/>
      <c r="C60" s="709"/>
      <c r="D60" s="678"/>
      <c r="E60" s="666"/>
      <c r="F60" s="659"/>
      <c r="G60" s="685"/>
      <c r="H60" s="687"/>
      <c r="I60" s="689"/>
      <c r="J60" s="600">
        <v>4</v>
      </c>
      <c r="K60" s="676"/>
      <c r="L60" s="672"/>
      <c r="M60" s="727"/>
      <c r="N60" s="654"/>
    </row>
    <row r="61" spans="1:14" ht="15" customHeight="1" x14ac:dyDescent="0.4">
      <c r="A61" s="711"/>
      <c r="B61" s="670" t="s">
        <v>94</v>
      </c>
      <c r="C61" s="704" t="s">
        <v>65</v>
      </c>
      <c r="D61" s="667" t="s">
        <v>178</v>
      </c>
      <c r="E61" s="665">
        <v>4</v>
      </c>
      <c r="F61" s="656">
        <v>4</v>
      </c>
      <c r="G61" s="584"/>
      <c r="H61" s="580"/>
      <c r="I61" s="99"/>
      <c r="J61" s="65"/>
      <c r="K61" s="479"/>
      <c r="L61" s="478" t="s">
        <v>79</v>
      </c>
      <c r="M61" s="725">
        <v>8</v>
      </c>
      <c r="N61" s="654"/>
    </row>
    <row r="62" spans="1:14" ht="15" customHeight="1" x14ac:dyDescent="0.4">
      <c r="A62" s="711"/>
      <c r="B62" s="661"/>
      <c r="C62" s="705"/>
      <c r="D62" s="668"/>
      <c r="E62" s="669"/>
      <c r="F62" s="657"/>
      <c r="G62" s="585"/>
      <c r="H62" s="583"/>
      <c r="I62" s="100"/>
      <c r="J62" s="66"/>
      <c r="K62" s="480"/>
      <c r="L62" s="603">
        <v>4</v>
      </c>
      <c r="M62" s="726"/>
      <c r="N62" s="654"/>
    </row>
    <row r="63" spans="1:14" ht="15" customHeight="1" thickBot="1" x14ac:dyDescent="0.45">
      <c r="A63" s="711"/>
      <c r="B63" s="80" t="s">
        <v>96</v>
      </c>
      <c r="C63" s="518" t="s">
        <v>65</v>
      </c>
      <c r="D63" s="522" t="s">
        <v>196</v>
      </c>
      <c r="E63" s="559">
        <v>4</v>
      </c>
      <c r="F63" s="539">
        <v>4</v>
      </c>
      <c r="G63" s="573"/>
      <c r="H63" s="574"/>
      <c r="I63" s="98"/>
      <c r="J63" s="67"/>
      <c r="K63" s="481"/>
      <c r="L63" s="604">
        <v>4</v>
      </c>
      <c r="M63" s="727"/>
      <c r="N63" s="654"/>
    </row>
    <row r="64" spans="1:14" ht="15" customHeight="1" x14ac:dyDescent="0.4">
      <c r="A64" s="711"/>
      <c r="B64" s="119" t="s">
        <v>80</v>
      </c>
      <c r="C64" s="53" t="s">
        <v>68</v>
      </c>
      <c r="D64" s="526" t="s">
        <v>110</v>
      </c>
      <c r="E64" s="665">
        <v>4</v>
      </c>
      <c r="F64" s="656">
        <v>3</v>
      </c>
      <c r="G64" s="584"/>
      <c r="H64" s="580"/>
      <c r="I64" s="477" t="s">
        <v>57</v>
      </c>
      <c r="J64" s="612"/>
      <c r="K64" s="101"/>
      <c r="L64" s="25"/>
      <c r="M64" s="725">
        <v>3</v>
      </c>
      <c r="N64" s="654"/>
    </row>
    <row r="65" spans="1:14" s="3" customFormat="1" ht="15" customHeight="1" thickBot="1" x14ac:dyDescent="0.45">
      <c r="A65" s="711"/>
      <c r="B65" s="51" t="s">
        <v>206</v>
      </c>
      <c r="C65" s="518" t="s">
        <v>207</v>
      </c>
      <c r="D65" s="522" t="s">
        <v>205</v>
      </c>
      <c r="E65" s="666"/>
      <c r="F65" s="659"/>
      <c r="G65" s="586"/>
      <c r="H65" s="587"/>
      <c r="I65" s="613">
        <v>3</v>
      </c>
      <c r="J65" s="593"/>
      <c r="K65" s="114"/>
      <c r="L65" s="24"/>
      <c r="M65" s="727"/>
      <c r="N65" s="654"/>
    </row>
    <row r="66" spans="1:14" s="3" customFormat="1" ht="15" customHeight="1" x14ac:dyDescent="0.4">
      <c r="A66" s="711"/>
      <c r="B66" s="119" t="s">
        <v>80</v>
      </c>
      <c r="C66" s="512" t="s">
        <v>45</v>
      </c>
      <c r="D66" s="517" t="s">
        <v>111</v>
      </c>
      <c r="E66" s="560">
        <v>4</v>
      </c>
      <c r="F66" s="529">
        <v>3</v>
      </c>
      <c r="G66" s="588"/>
      <c r="H66" s="589"/>
      <c r="I66" s="614"/>
      <c r="J66" s="478" t="s">
        <v>57</v>
      </c>
      <c r="K66" s="101"/>
      <c r="L66" s="25"/>
      <c r="M66" s="725">
        <v>3</v>
      </c>
      <c r="N66" s="654"/>
    </row>
    <row r="67" spans="1:14" s="3" customFormat="1" ht="15" customHeight="1" x14ac:dyDescent="0.4">
      <c r="A67" s="711"/>
      <c r="B67" s="520" t="s">
        <v>81</v>
      </c>
      <c r="C67" s="502" t="s">
        <v>71</v>
      </c>
      <c r="D67" s="504" t="s">
        <v>208</v>
      </c>
      <c r="E67" s="542">
        <v>4</v>
      </c>
      <c r="F67" s="541">
        <v>3</v>
      </c>
      <c r="G67" s="585"/>
      <c r="H67" s="583"/>
      <c r="I67" s="615"/>
      <c r="J67" s="646">
        <v>3</v>
      </c>
      <c r="K67" s="10"/>
      <c r="L67" s="11"/>
      <c r="M67" s="726"/>
      <c r="N67" s="654"/>
    </row>
    <row r="68" spans="1:14" ht="15" customHeight="1" thickBot="1" x14ac:dyDescent="0.45">
      <c r="A68" s="712"/>
      <c r="B68" s="80" t="s">
        <v>83</v>
      </c>
      <c r="C68" s="52" t="s">
        <v>71</v>
      </c>
      <c r="D68" s="103" t="s">
        <v>84</v>
      </c>
      <c r="E68" s="544">
        <v>4</v>
      </c>
      <c r="F68" s="533">
        <v>3</v>
      </c>
      <c r="G68" s="573"/>
      <c r="H68" s="574"/>
      <c r="I68" s="627"/>
      <c r="J68" s="647"/>
      <c r="K68" s="630"/>
      <c r="L68" s="631"/>
      <c r="M68" s="727"/>
      <c r="N68" s="655"/>
    </row>
    <row r="69" spans="1:14" ht="15" customHeight="1" thickBot="1" x14ac:dyDescent="0.45">
      <c r="A69" s="756" t="s">
        <v>219</v>
      </c>
      <c r="B69" s="644" t="s">
        <v>106</v>
      </c>
      <c r="C69" s="645" t="s">
        <v>43</v>
      </c>
      <c r="D69" s="632" t="s">
        <v>220</v>
      </c>
      <c r="E69" s="633">
        <v>4</v>
      </c>
      <c r="F69" s="626">
        <v>2</v>
      </c>
      <c r="G69" s="584"/>
      <c r="H69" s="643" t="s">
        <v>222</v>
      </c>
      <c r="I69" s="93"/>
      <c r="J69" s="638"/>
      <c r="K69" s="639"/>
      <c r="L69" s="640"/>
      <c r="M69" s="642"/>
      <c r="N69" s="625"/>
    </row>
    <row r="70" spans="1:14" ht="15" customHeight="1" thickBot="1" x14ac:dyDescent="0.45">
      <c r="A70" s="757"/>
      <c r="B70" s="629" t="s">
        <v>194</v>
      </c>
      <c r="C70" s="628" t="s">
        <v>45</v>
      </c>
      <c r="D70" s="632" t="s">
        <v>221</v>
      </c>
      <c r="E70" s="633">
        <v>4</v>
      </c>
      <c r="F70" s="626">
        <v>3</v>
      </c>
      <c r="G70" s="634"/>
      <c r="H70" s="635" t="s">
        <v>223</v>
      </c>
      <c r="I70" s="95"/>
      <c r="J70" s="641"/>
      <c r="K70" s="114"/>
      <c r="L70" s="24"/>
      <c r="M70" s="636"/>
      <c r="N70" s="624"/>
    </row>
    <row r="71" spans="1:14" ht="14.4" customHeight="1" thickBot="1" x14ac:dyDescent="0.45">
      <c r="A71" s="695" t="s">
        <v>0</v>
      </c>
      <c r="B71" s="696"/>
      <c r="C71" s="696"/>
      <c r="D71" s="697"/>
      <c r="E71" s="120"/>
      <c r="F71" s="121"/>
      <c r="G71" s="122">
        <v>0</v>
      </c>
      <c r="H71" s="123">
        <v>0</v>
      </c>
      <c r="I71" s="123">
        <f>SUM(I41+I40+I42+I65)</f>
        <v>15</v>
      </c>
      <c r="J71" s="123">
        <f>SUM(J44+J59+J60+J67)</f>
        <v>15</v>
      </c>
      <c r="K71" s="129">
        <f>SUM(K47:K53)</f>
        <v>24</v>
      </c>
      <c r="L71" s="637">
        <v>24</v>
      </c>
      <c r="M71" s="130"/>
      <c r="N71" s="131"/>
    </row>
    <row r="72" spans="1:14" ht="14.4" customHeight="1" thickBot="1" x14ac:dyDescent="0.45">
      <c r="A72" s="698" t="s">
        <v>22</v>
      </c>
      <c r="B72" s="699"/>
      <c r="C72" s="699"/>
      <c r="D72" s="700"/>
      <c r="E72" s="135"/>
      <c r="F72" s="136"/>
      <c r="G72" s="126">
        <f>SUM(G5+G9+G13+G17+G19+G21+G23+G25+G32+G36+G38)</f>
        <v>30</v>
      </c>
      <c r="H72" s="124">
        <f>SUM(H6+H10+H14+H18+H20+H22+H24+H26+H32+H36+H38)</f>
        <v>30</v>
      </c>
      <c r="I72" s="124">
        <f>SUM(I7+I11+I15+I27+I34+I40+I41+I42+I65)</f>
        <v>31</v>
      </c>
      <c r="J72" s="133">
        <f>SUM(J8+J12+J16+J28+J34+J44+J59+J60+J67)</f>
        <v>31</v>
      </c>
      <c r="K72" s="133">
        <f>SUM(K29+K47+K48+K49+K50+K51+K52+K53)</f>
        <v>26</v>
      </c>
      <c r="L72" s="133">
        <f>SUM(L30+16+L62+L63)</f>
        <v>26</v>
      </c>
      <c r="M72" s="133">
        <f>SUM(M5:M68)</f>
        <v>174</v>
      </c>
      <c r="N72" s="110"/>
    </row>
    <row r="73" spans="1:14" ht="14.4" customHeight="1" thickBot="1" x14ac:dyDescent="0.45">
      <c r="A73" s="701" t="s">
        <v>24</v>
      </c>
      <c r="B73" s="702"/>
      <c r="C73" s="702"/>
      <c r="D73" s="703"/>
      <c r="E73" s="137"/>
      <c r="F73" s="138"/>
      <c r="G73" s="127">
        <v>3</v>
      </c>
      <c r="H73" s="125">
        <v>3</v>
      </c>
      <c r="I73" s="128">
        <v>3</v>
      </c>
      <c r="J73" s="125">
        <v>3</v>
      </c>
      <c r="K73" s="596">
        <v>3</v>
      </c>
      <c r="L73" s="125">
        <v>3</v>
      </c>
      <c r="M73" s="109">
        <v>18</v>
      </c>
      <c r="N73" s="110"/>
    </row>
    <row r="74" spans="1:14" ht="14.4" customHeight="1" thickBot="1" x14ac:dyDescent="0.45">
      <c r="A74" s="692" t="s">
        <v>25</v>
      </c>
      <c r="B74" s="693"/>
      <c r="C74" s="693"/>
      <c r="D74" s="694"/>
      <c r="E74" s="139"/>
      <c r="F74" s="140"/>
      <c r="G74" s="127">
        <f t="shared" ref="G74:M74" si="0">SUM(G72:G73)</f>
        <v>33</v>
      </c>
      <c r="H74" s="125">
        <f>SUM(H72:H73)</f>
        <v>33</v>
      </c>
      <c r="I74" s="128">
        <f>SUM(I72:I73)</f>
        <v>34</v>
      </c>
      <c r="J74" s="128">
        <f t="shared" si="0"/>
        <v>34</v>
      </c>
      <c r="K74" s="128">
        <f t="shared" si="0"/>
        <v>29</v>
      </c>
      <c r="L74" s="128">
        <f t="shared" si="0"/>
        <v>29</v>
      </c>
      <c r="M74" s="128">
        <f t="shared" si="0"/>
        <v>192</v>
      </c>
      <c r="N74" s="134"/>
    </row>
    <row r="77" spans="1:14" x14ac:dyDescent="0.4">
      <c r="G77" s="4"/>
      <c r="H77" s="4"/>
      <c r="K77" s="4"/>
      <c r="L77" s="4"/>
    </row>
    <row r="78" spans="1:14" x14ac:dyDescent="0.4">
      <c r="G78" s="4"/>
      <c r="H78" s="4"/>
      <c r="K78" s="4"/>
      <c r="L78" s="4"/>
    </row>
    <row r="79" spans="1:14" x14ac:dyDescent="0.4">
      <c r="G79" s="4"/>
      <c r="H79" s="4"/>
      <c r="K79" s="4"/>
      <c r="L79" s="4"/>
    </row>
  </sheetData>
  <mergeCells count="94">
    <mergeCell ref="A69:A70"/>
    <mergeCell ref="M43:M45"/>
    <mergeCell ref="N5:N8"/>
    <mergeCell ref="A5:A38"/>
    <mergeCell ref="I33:J33"/>
    <mergeCell ref="G35:H35"/>
    <mergeCell ref="G37:H37"/>
    <mergeCell ref="M25:M30"/>
    <mergeCell ref="B5:B8"/>
    <mergeCell ref="B17:B18"/>
    <mergeCell ref="B19:B20"/>
    <mergeCell ref="B21:B24"/>
    <mergeCell ref="B25:B30"/>
    <mergeCell ref="B9:B12"/>
    <mergeCell ref="B13:B16"/>
    <mergeCell ref="B37:B38"/>
    <mergeCell ref="N9:N12"/>
    <mergeCell ref="A1:N1"/>
    <mergeCell ref="A2:N2"/>
    <mergeCell ref="A3:A4"/>
    <mergeCell ref="B3:B4"/>
    <mergeCell ref="C3:D4"/>
    <mergeCell ref="E3:E4"/>
    <mergeCell ref="F3:F4"/>
    <mergeCell ref="G3:H3"/>
    <mergeCell ref="I3:J3"/>
    <mergeCell ref="K3:L3"/>
    <mergeCell ref="M3:M4"/>
    <mergeCell ref="N3:N4"/>
    <mergeCell ref="M46:M53"/>
    <mergeCell ref="M39:M42"/>
    <mergeCell ref="N39:N68"/>
    <mergeCell ref="M9:M12"/>
    <mergeCell ref="M13:M16"/>
    <mergeCell ref="M17:M18"/>
    <mergeCell ref="M19:M20"/>
    <mergeCell ref="M66:M68"/>
    <mergeCell ref="M31:M34"/>
    <mergeCell ref="M61:M63"/>
    <mergeCell ref="M64:M65"/>
    <mergeCell ref="M54:M57"/>
    <mergeCell ref="M58:M60"/>
    <mergeCell ref="N35:N38"/>
    <mergeCell ref="N25:N30"/>
    <mergeCell ref="M21:M24"/>
    <mergeCell ref="N13:N16"/>
    <mergeCell ref="N17:N18"/>
    <mergeCell ref="N19:N20"/>
    <mergeCell ref="N21:N24"/>
    <mergeCell ref="N31:N34"/>
    <mergeCell ref="G31:H31"/>
    <mergeCell ref="M5:M8"/>
    <mergeCell ref="A74:D74"/>
    <mergeCell ref="A71:D71"/>
    <mergeCell ref="A72:D72"/>
    <mergeCell ref="A73:D73"/>
    <mergeCell ref="B61:B62"/>
    <mergeCell ref="C61:C62"/>
    <mergeCell ref="B59:B60"/>
    <mergeCell ref="C59:C60"/>
    <mergeCell ref="D59:D60"/>
    <mergeCell ref="A39:A68"/>
    <mergeCell ref="B39:B40"/>
    <mergeCell ref="B41:B42"/>
    <mergeCell ref="C39:C40"/>
    <mergeCell ref="C41:C42"/>
    <mergeCell ref="D39:D40"/>
    <mergeCell ref="B46:B47"/>
    <mergeCell ref="B48:B49"/>
    <mergeCell ref="K59:K60"/>
    <mergeCell ref="D41:D42"/>
    <mergeCell ref="E39:E40"/>
    <mergeCell ref="E41:E42"/>
    <mergeCell ref="E59:E60"/>
    <mergeCell ref="F59:F60"/>
    <mergeCell ref="G59:G60"/>
    <mergeCell ref="H59:H60"/>
    <mergeCell ref="I59:I60"/>
    <mergeCell ref="J67:J68"/>
    <mergeCell ref="J44:J45"/>
    <mergeCell ref="B31:B34"/>
    <mergeCell ref="M35:M38"/>
    <mergeCell ref="F39:F40"/>
    <mergeCell ref="F41:F42"/>
    <mergeCell ref="B50:B51"/>
    <mergeCell ref="L55:L57"/>
    <mergeCell ref="F64:F65"/>
    <mergeCell ref="B35:B36"/>
    <mergeCell ref="E64:E65"/>
    <mergeCell ref="D61:D62"/>
    <mergeCell ref="E61:E62"/>
    <mergeCell ref="F61:F62"/>
    <mergeCell ref="B54:B55"/>
    <mergeCell ref="L59:L60"/>
  </mergeCells>
  <phoneticPr fontId="5" type="noConversion"/>
  <printOptions horizontalCentered="1"/>
  <pageMargins left="0.25" right="0.25" top="0.75" bottom="0.75" header="0.30000001192092896" footer="0.30000001192092896"/>
  <pageSetup paperSize="12" scale="85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8946B-79EA-4423-B711-D242C565E049}">
  <dimension ref="A1:Y84"/>
  <sheetViews>
    <sheetView topLeftCell="A25" workbookViewId="0">
      <selection sqref="A1:U1"/>
    </sheetView>
  </sheetViews>
  <sheetFormatPr defaultColWidth="9" defaultRowHeight="13.8" x14ac:dyDescent="0.4"/>
  <cols>
    <col min="1" max="1" width="4.5" style="5" customWidth="1"/>
    <col min="2" max="2" width="4.8984375" style="4" customWidth="1"/>
    <col min="3" max="3" width="6.3984375" style="5" customWidth="1"/>
    <col min="4" max="4" width="17.69921875" style="4" customWidth="1"/>
    <col min="5" max="8" width="4" style="5" customWidth="1"/>
    <col min="9" max="10" width="4" style="4" customWidth="1"/>
    <col min="11" max="11" width="4.09765625" style="4" customWidth="1"/>
    <col min="12" max="12" width="5.3984375" style="4" customWidth="1"/>
    <col min="13" max="13" width="22" style="4" customWidth="1"/>
    <col min="14" max="17" width="4.3984375" style="4" customWidth="1"/>
    <col min="18" max="19" width="4.3984375" style="5" customWidth="1"/>
    <col min="20" max="21" width="4.3984375" style="4" customWidth="1"/>
    <col min="22" max="22" width="4.8984375" style="1" customWidth="1"/>
    <col min="23" max="23" width="15.19921875" style="1" customWidth="1"/>
    <col min="24" max="24" width="26.5" style="1" customWidth="1"/>
    <col min="25" max="25" width="19.69921875" style="1" customWidth="1"/>
    <col min="26" max="16384" width="9" style="1"/>
  </cols>
  <sheetData>
    <row r="1" spans="1:25" ht="31.95" customHeight="1" thickBot="1" x14ac:dyDescent="0.45">
      <c r="A1" s="734" t="s">
        <v>117</v>
      </c>
      <c r="B1" s="735"/>
      <c r="C1" s="735"/>
      <c r="D1" s="735"/>
      <c r="E1" s="735"/>
      <c r="F1" s="735"/>
      <c r="G1" s="735"/>
      <c r="H1" s="735"/>
      <c r="I1" s="735"/>
      <c r="J1" s="735"/>
      <c r="K1" s="735"/>
      <c r="L1" s="735"/>
      <c r="M1" s="735"/>
      <c r="N1" s="735"/>
      <c r="O1" s="735"/>
      <c r="P1" s="735"/>
      <c r="Q1" s="735"/>
      <c r="R1" s="735"/>
      <c r="S1" s="735"/>
      <c r="T1" s="735"/>
      <c r="U1" s="736"/>
    </row>
    <row r="2" spans="1:25" ht="22.2" customHeight="1" thickBot="1" x14ac:dyDescent="0.45">
      <c r="A2" s="737" t="s">
        <v>61</v>
      </c>
      <c r="B2" s="737"/>
      <c r="C2" s="917"/>
      <c r="D2" s="917"/>
      <c r="E2" s="917"/>
      <c r="F2" s="917"/>
      <c r="G2" s="917"/>
      <c r="H2" s="917"/>
      <c r="I2" s="917"/>
      <c r="J2" s="917"/>
      <c r="K2" s="917"/>
      <c r="L2" s="917"/>
      <c r="M2" s="917"/>
      <c r="N2" s="917"/>
      <c r="O2" s="917"/>
      <c r="P2" s="917"/>
      <c r="Q2" s="917"/>
      <c r="R2" s="737"/>
      <c r="S2" s="737"/>
      <c r="T2" s="737"/>
      <c r="U2" s="737"/>
    </row>
    <row r="3" spans="1:25" ht="19.95" customHeight="1" x14ac:dyDescent="0.4">
      <c r="A3" s="738" t="s">
        <v>9</v>
      </c>
      <c r="B3" s="742" t="s">
        <v>3</v>
      </c>
      <c r="C3" s="918" t="s">
        <v>1</v>
      </c>
      <c r="D3" s="743"/>
      <c r="E3" s="746" t="s">
        <v>118</v>
      </c>
      <c r="F3" s="748" t="s">
        <v>119</v>
      </c>
      <c r="G3" s="750" t="s">
        <v>14</v>
      </c>
      <c r="H3" s="751"/>
      <c r="I3" s="746" t="s">
        <v>2</v>
      </c>
      <c r="J3" s="748" t="s">
        <v>23</v>
      </c>
      <c r="K3" s="740" t="s">
        <v>3</v>
      </c>
      <c r="L3" s="742" t="s">
        <v>1</v>
      </c>
      <c r="M3" s="743"/>
      <c r="N3" s="746" t="s">
        <v>5</v>
      </c>
      <c r="O3" s="742" t="s">
        <v>4</v>
      </c>
      <c r="P3" s="913" t="s">
        <v>11</v>
      </c>
      <c r="Q3" s="914"/>
      <c r="R3" s="915" t="s">
        <v>12</v>
      </c>
      <c r="S3" s="751"/>
      <c r="T3" s="746" t="s">
        <v>2</v>
      </c>
      <c r="U3" s="748" t="s">
        <v>23</v>
      </c>
    </row>
    <row r="4" spans="1:25" ht="19.95" customHeight="1" thickBot="1" x14ac:dyDescent="0.45">
      <c r="A4" s="739"/>
      <c r="B4" s="744"/>
      <c r="C4" s="919"/>
      <c r="D4" s="745"/>
      <c r="E4" s="920"/>
      <c r="F4" s="921"/>
      <c r="G4" s="6" t="s">
        <v>8</v>
      </c>
      <c r="H4" s="174" t="s">
        <v>16</v>
      </c>
      <c r="I4" s="920"/>
      <c r="J4" s="921"/>
      <c r="K4" s="911"/>
      <c r="L4" s="912"/>
      <c r="M4" s="745"/>
      <c r="N4" s="747"/>
      <c r="O4" s="912"/>
      <c r="P4" s="6" t="s">
        <v>8</v>
      </c>
      <c r="Q4" s="7" t="s">
        <v>16</v>
      </c>
      <c r="R4" s="175" t="s">
        <v>8</v>
      </c>
      <c r="S4" s="7" t="s">
        <v>16</v>
      </c>
      <c r="T4" s="920"/>
      <c r="U4" s="921"/>
    </row>
    <row r="5" spans="1:25" ht="15" customHeight="1" x14ac:dyDescent="0.4">
      <c r="A5" s="762" t="s">
        <v>26</v>
      </c>
      <c r="B5" s="861" t="s">
        <v>15</v>
      </c>
      <c r="C5" s="29" t="s">
        <v>7</v>
      </c>
      <c r="D5" s="69" t="s">
        <v>27</v>
      </c>
      <c r="E5" s="85">
        <v>4</v>
      </c>
      <c r="F5" s="19">
        <v>4</v>
      </c>
      <c r="G5" s="27">
        <v>4</v>
      </c>
      <c r="H5" s="176"/>
      <c r="I5" s="868">
        <v>8</v>
      </c>
      <c r="J5" s="901">
        <v>8</v>
      </c>
      <c r="K5" s="873" t="s">
        <v>15</v>
      </c>
      <c r="L5" s="177" t="s">
        <v>120</v>
      </c>
      <c r="M5" s="178" t="s">
        <v>15</v>
      </c>
      <c r="N5" s="179">
        <v>8</v>
      </c>
      <c r="O5" s="180">
        <v>8</v>
      </c>
      <c r="P5" s="181"/>
      <c r="Q5" s="182"/>
      <c r="R5" s="181"/>
      <c r="S5" s="182"/>
      <c r="T5" s="881">
        <v>16</v>
      </c>
      <c r="U5" s="896">
        <v>10</v>
      </c>
      <c r="W5" s="13"/>
    </row>
    <row r="6" spans="1:25" ht="15" customHeight="1" x14ac:dyDescent="0.4">
      <c r="A6" s="762"/>
      <c r="B6" s="862"/>
      <c r="C6" s="35" t="s">
        <v>7</v>
      </c>
      <c r="D6" s="70" t="s">
        <v>28</v>
      </c>
      <c r="E6" s="86">
        <v>4</v>
      </c>
      <c r="F6" s="22">
        <v>4</v>
      </c>
      <c r="G6" s="32"/>
      <c r="H6" s="183">
        <v>4</v>
      </c>
      <c r="I6" s="869"/>
      <c r="J6" s="909"/>
      <c r="K6" s="874"/>
      <c r="L6" s="184" t="s">
        <v>68</v>
      </c>
      <c r="M6" s="185" t="s">
        <v>121</v>
      </c>
      <c r="N6" s="186">
        <v>5</v>
      </c>
      <c r="O6" s="187">
        <v>4</v>
      </c>
      <c r="P6" s="188">
        <v>4</v>
      </c>
      <c r="Q6" s="189"/>
      <c r="R6" s="188"/>
      <c r="S6" s="189"/>
      <c r="T6" s="882"/>
      <c r="U6" s="897"/>
      <c r="W6" s="13"/>
    </row>
    <row r="7" spans="1:25" ht="15" customHeight="1" x14ac:dyDescent="0.4">
      <c r="A7" s="762"/>
      <c r="B7" s="862"/>
      <c r="C7" s="35" t="s">
        <v>41</v>
      </c>
      <c r="D7" s="70" t="s">
        <v>47</v>
      </c>
      <c r="E7" s="86">
        <v>4</v>
      </c>
      <c r="F7" s="22">
        <v>3</v>
      </c>
      <c r="G7" s="32"/>
      <c r="H7" s="183"/>
      <c r="I7" s="869"/>
      <c r="J7" s="909"/>
      <c r="K7" s="874"/>
      <c r="L7" s="184" t="s">
        <v>68</v>
      </c>
      <c r="M7" s="190" t="s">
        <v>122</v>
      </c>
      <c r="N7" s="186">
        <v>5</v>
      </c>
      <c r="O7" s="187">
        <v>3</v>
      </c>
      <c r="P7" s="188"/>
      <c r="Q7" s="189">
        <v>4</v>
      </c>
      <c r="R7" s="188"/>
      <c r="S7" s="189"/>
      <c r="T7" s="882"/>
      <c r="U7" s="897"/>
      <c r="W7" s="13"/>
    </row>
    <row r="8" spans="1:25" ht="15" customHeight="1" thickBot="1" x14ac:dyDescent="0.45">
      <c r="A8" s="762"/>
      <c r="B8" s="878"/>
      <c r="C8" s="164" t="s">
        <v>41</v>
      </c>
      <c r="D8" s="71" t="s">
        <v>48</v>
      </c>
      <c r="E8" s="87">
        <v>4</v>
      </c>
      <c r="F8" s="46">
        <v>4</v>
      </c>
      <c r="G8" s="60"/>
      <c r="H8" s="191"/>
      <c r="I8" s="879"/>
      <c r="J8" s="902"/>
      <c r="K8" s="874"/>
      <c r="L8" s="192" t="s">
        <v>68</v>
      </c>
      <c r="M8" s="190" t="s">
        <v>123</v>
      </c>
      <c r="N8" s="193">
        <v>5</v>
      </c>
      <c r="O8" s="194">
        <v>4</v>
      </c>
      <c r="P8" s="195"/>
      <c r="Q8" s="196"/>
      <c r="R8" s="197">
        <v>4</v>
      </c>
      <c r="S8" s="196"/>
      <c r="T8" s="882"/>
      <c r="U8" s="897"/>
      <c r="W8" s="13"/>
    </row>
    <row r="9" spans="1:25" ht="15" customHeight="1" thickBot="1" x14ac:dyDescent="0.45">
      <c r="A9" s="762"/>
      <c r="B9" s="861" t="s">
        <v>10</v>
      </c>
      <c r="C9" s="29" t="s">
        <v>7</v>
      </c>
      <c r="D9" s="69" t="s">
        <v>29</v>
      </c>
      <c r="E9" s="85">
        <v>4</v>
      </c>
      <c r="F9" s="19">
        <v>4</v>
      </c>
      <c r="G9" s="27">
        <v>4</v>
      </c>
      <c r="H9" s="176"/>
      <c r="I9" s="868">
        <v>8</v>
      </c>
      <c r="J9" s="901">
        <v>8</v>
      </c>
      <c r="K9" s="910"/>
      <c r="L9" s="198" t="s">
        <v>68</v>
      </c>
      <c r="M9" s="199" t="s">
        <v>124</v>
      </c>
      <c r="N9" s="200">
        <v>5</v>
      </c>
      <c r="O9" s="201">
        <v>4</v>
      </c>
      <c r="P9" s="202"/>
      <c r="Q9" s="203"/>
      <c r="R9" s="204"/>
      <c r="S9" s="205">
        <v>4</v>
      </c>
      <c r="T9" s="883"/>
      <c r="U9" s="898"/>
      <c r="W9" s="13"/>
      <c r="X9" s="2"/>
      <c r="Y9" s="2"/>
    </row>
    <row r="10" spans="1:25" ht="15" customHeight="1" x14ac:dyDescent="0.4">
      <c r="A10" s="762"/>
      <c r="B10" s="862"/>
      <c r="C10" s="35" t="s">
        <v>7</v>
      </c>
      <c r="D10" s="70" t="s">
        <v>30</v>
      </c>
      <c r="E10" s="86">
        <v>4</v>
      </c>
      <c r="F10" s="22">
        <v>4</v>
      </c>
      <c r="G10" s="32"/>
      <c r="H10" s="183">
        <v>4</v>
      </c>
      <c r="I10" s="869"/>
      <c r="J10" s="909"/>
      <c r="K10" s="873" t="s">
        <v>10</v>
      </c>
      <c r="L10" s="177" t="s">
        <v>120</v>
      </c>
      <c r="M10" s="178" t="s">
        <v>67</v>
      </c>
      <c r="N10" s="179">
        <v>8</v>
      </c>
      <c r="O10" s="206">
        <v>8</v>
      </c>
      <c r="P10" s="207"/>
      <c r="Q10" s="208"/>
      <c r="R10" s="207"/>
      <c r="S10" s="208"/>
      <c r="T10" s="881">
        <v>8</v>
      </c>
      <c r="U10" s="896">
        <v>10</v>
      </c>
      <c r="W10" s="13"/>
    </row>
    <row r="11" spans="1:25" ht="15" customHeight="1" x14ac:dyDescent="0.4">
      <c r="A11" s="762"/>
      <c r="B11" s="862"/>
      <c r="C11" s="35" t="s">
        <v>41</v>
      </c>
      <c r="D11" s="70" t="s">
        <v>49</v>
      </c>
      <c r="E11" s="86">
        <v>4</v>
      </c>
      <c r="F11" s="22">
        <v>4</v>
      </c>
      <c r="G11" s="40"/>
      <c r="H11" s="68"/>
      <c r="I11" s="869"/>
      <c r="J11" s="909"/>
      <c r="K11" s="874"/>
      <c r="L11" s="192" t="s">
        <v>68</v>
      </c>
      <c r="M11" s="185" t="s">
        <v>125</v>
      </c>
      <c r="N11" s="193">
        <v>5</v>
      </c>
      <c r="O11" s="209">
        <v>4</v>
      </c>
      <c r="P11" s="195">
        <v>4</v>
      </c>
      <c r="Q11" s="210"/>
      <c r="R11" s="195"/>
      <c r="S11" s="210"/>
      <c r="T11" s="882"/>
      <c r="U11" s="897"/>
      <c r="W11" s="13"/>
    </row>
    <row r="12" spans="1:25" ht="15" customHeight="1" thickBot="1" x14ac:dyDescent="0.45">
      <c r="A12" s="762"/>
      <c r="B12" s="878"/>
      <c r="C12" s="164" t="s">
        <v>41</v>
      </c>
      <c r="D12" s="71" t="s">
        <v>58</v>
      </c>
      <c r="E12" s="87">
        <v>4</v>
      </c>
      <c r="F12" s="46">
        <v>3</v>
      </c>
      <c r="G12" s="41"/>
      <c r="H12" s="76"/>
      <c r="I12" s="879"/>
      <c r="J12" s="902"/>
      <c r="K12" s="910"/>
      <c r="L12" s="198" t="s">
        <v>68</v>
      </c>
      <c r="M12" s="211" t="s">
        <v>126</v>
      </c>
      <c r="N12" s="200">
        <v>5</v>
      </c>
      <c r="O12" s="212">
        <v>3</v>
      </c>
      <c r="P12" s="213"/>
      <c r="Q12" s="214">
        <v>4</v>
      </c>
      <c r="R12" s="213"/>
      <c r="S12" s="214"/>
      <c r="T12" s="883"/>
      <c r="U12" s="898"/>
      <c r="W12" s="13"/>
    </row>
    <row r="13" spans="1:25" ht="15" customHeight="1" x14ac:dyDescent="0.4">
      <c r="A13" s="762"/>
      <c r="B13" s="861" t="s">
        <v>20</v>
      </c>
      <c r="C13" s="29" t="s">
        <v>7</v>
      </c>
      <c r="D13" s="69" t="s">
        <v>31</v>
      </c>
      <c r="E13" s="85">
        <v>4</v>
      </c>
      <c r="F13" s="19">
        <v>4</v>
      </c>
      <c r="G13" s="29">
        <v>4</v>
      </c>
      <c r="H13" s="215"/>
      <c r="I13" s="868">
        <v>8</v>
      </c>
      <c r="J13" s="901">
        <v>8</v>
      </c>
      <c r="K13" s="905" t="s">
        <v>20</v>
      </c>
      <c r="L13" s="177" t="s">
        <v>120</v>
      </c>
      <c r="M13" s="178" t="s">
        <v>70</v>
      </c>
      <c r="N13" s="179">
        <v>8</v>
      </c>
      <c r="O13" s="206">
        <v>8</v>
      </c>
      <c r="P13" s="207"/>
      <c r="Q13" s="208"/>
      <c r="R13" s="207"/>
      <c r="S13" s="208"/>
      <c r="T13" s="881">
        <v>16</v>
      </c>
      <c r="U13" s="896">
        <v>10</v>
      </c>
      <c r="W13" s="13"/>
      <c r="X13" s="2"/>
      <c r="Y13" s="2"/>
    </row>
    <row r="14" spans="1:25" ht="15" customHeight="1" x14ac:dyDescent="0.4">
      <c r="A14" s="762"/>
      <c r="B14" s="862"/>
      <c r="C14" s="35" t="s">
        <v>7</v>
      </c>
      <c r="D14" s="70" t="s">
        <v>32</v>
      </c>
      <c r="E14" s="86">
        <v>4</v>
      </c>
      <c r="F14" s="22">
        <v>4</v>
      </c>
      <c r="G14" s="37"/>
      <c r="H14" s="216">
        <v>4</v>
      </c>
      <c r="I14" s="869"/>
      <c r="J14" s="909"/>
      <c r="K14" s="916"/>
      <c r="L14" s="192" t="s">
        <v>68</v>
      </c>
      <c r="M14" s="185" t="s">
        <v>127</v>
      </c>
      <c r="N14" s="193">
        <v>5</v>
      </c>
      <c r="O14" s="209">
        <v>3</v>
      </c>
      <c r="P14" s="195">
        <v>4</v>
      </c>
      <c r="Q14" s="210"/>
      <c r="R14" s="195"/>
      <c r="S14" s="210"/>
      <c r="T14" s="882"/>
      <c r="U14" s="897"/>
      <c r="W14" s="13"/>
    </row>
    <row r="15" spans="1:25" ht="15" customHeight="1" x14ac:dyDescent="0.4">
      <c r="A15" s="762"/>
      <c r="B15" s="862"/>
      <c r="C15" s="35" t="s">
        <v>41</v>
      </c>
      <c r="D15" s="70" t="s">
        <v>50</v>
      </c>
      <c r="E15" s="86">
        <v>4</v>
      </c>
      <c r="F15" s="22">
        <v>4</v>
      </c>
      <c r="G15" s="37"/>
      <c r="H15" s="216"/>
      <c r="I15" s="869"/>
      <c r="J15" s="909"/>
      <c r="K15" s="916"/>
      <c r="L15" s="192" t="s">
        <v>68</v>
      </c>
      <c r="M15" s="217" t="s">
        <v>128</v>
      </c>
      <c r="N15" s="193">
        <v>5</v>
      </c>
      <c r="O15" s="209">
        <v>4</v>
      </c>
      <c r="P15" s="195"/>
      <c r="Q15" s="210">
        <v>4</v>
      </c>
      <c r="R15" s="195"/>
      <c r="S15" s="210"/>
      <c r="T15" s="882"/>
      <c r="U15" s="897"/>
      <c r="W15" s="13"/>
    </row>
    <row r="16" spans="1:25" ht="15" customHeight="1" thickBot="1" x14ac:dyDescent="0.45">
      <c r="A16" s="762"/>
      <c r="B16" s="878"/>
      <c r="C16" s="164" t="s">
        <v>41</v>
      </c>
      <c r="D16" s="71" t="s">
        <v>51</v>
      </c>
      <c r="E16" s="87">
        <v>4</v>
      </c>
      <c r="F16" s="46">
        <v>4</v>
      </c>
      <c r="G16" s="62"/>
      <c r="H16" s="218"/>
      <c r="I16" s="879"/>
      <c r="J16" s="902"/>
      <c r="K16" s="916"/>
      <c r="L16" s="192" t="s">
        <v>68</v>
      </c>
      <c r="M16" s="185" t="s">
        <v>129</v>
      </c>
      <c r="N16" s="193">
        <v>5</v>
      </c>
      <c r="O16" s="209">
        <v>4</v>
      </c>
      <c r="P16" s="195"/>
      <c r="Q16" s="210"/>
      <c r="R16" s="195">
        <v>4</v>
      </c>
      <c r="S16" s="210"/>
      <c r="T16" s="882"/>
      <c r="U16" s="897"/>
      <c r="W16" s="13"/>
    </row>
    <row r="17" spans="1:25" ht="15" customHeight="1" thickBot="1" x14ac:dyDescent="0.45">
      <c r="A17" s="762"/>
      <c r="B17" s="899" t="s">
        <v>13</v>
      </c>
      <c r="C17" s="29" t="s">
        <v>7</v>
      </c>
      <c r="D17" s="69" t="s">
        <v>33</v>
      </c>
      <c r="E17" s="85">
        <v>3</v>
      </c>
      <c r="F17" s="19">
        <v>3</v>
      </c>
      <c r="G17" s="29">
        <v>3</v>
      </c>
      <c r="H17" s="215"/>
      <c r="I17" s="868">
        <v>6</v>
      </c>
      <c r="J17" s="901">
        <v>6</v>
      </c>
      <c r="K17" s="906"/>
      <c r="L17" s="198" t="s">
        <v>71</v>
      </c>
      <c r="M17" s="219" t="s">
        <v>130</v>
      </c>
      <c r="N17" s="200">
        <v>5</v>
      </c>
      <c r="O17" s="212">
        <v>4</v>
      </c>
      <c r="P17" s="213"/>
      <c r="Q17" s="214"/>
      <c r="R17" s="213"/>
      <c r="S17" s="214">
        <v>4</v>
      </c>
      <c r="T17" s="883"/>
      <c r="U17" s="898"/>
      <c r="W17" s="13"/>
    </row>
    <row r="18" spans="1:25" ht="15" customHeight="1" thickBot="1" x14ac:dyDescent="0.45">
      <c r="A18" s="762"/>
      <c r="B18" s="900"/>
      <c r="C18" s="62" t="s">
        <v>7</v>
      </c>
      <c r="D18" s="71" t="s">
        <v>34</v>
      </c>
      <c r="E18" s="87">
        <v>3</v>
      </c>
      <c r="F18" s="46">
        <v>3</v>
      </c>
      <c r="G18" s="62"/>
      <c r="H18" s="218">
        <v>3</v>
      </c>
      <c r="I18" s="879"/>
      <c r="J18" s="902"/>
      <c r="K18" s="220" t="s">
        <v>13</v>
      </c>
      <c r="L18" s="221" t="s">
        <v>120</v>
      </c>
      <c r="M18" s="222" t="s">
        <v>131</v>
      </c>
      <c r="N18" s="223">
        <v>6</v>
      </c>
      <c r="O18" s="224">
        <v>6</v>
      </c>
      <c r="P18" s="225"/>
      <c r="Q18" s="226"/>
      <c r="R18" s="227"/>
      <c r="S18" s="228"/>
      <c r="T18" s="229">
        <v>0</v>
      </c>
      <c r="U18" s="230">
        <v>6</v>
      </c>
      <c r="W18" s="13"/>
      <c r="X18" s="2"/>
      <c r="Y18" s="2"/>
    </row>
    <row r="19" spans="1:25" ht="15" customHeight="1" thickBot="1" x14ac:dyDescent="0.45">
      <c r="A19" s="762"/>
      <c r="B19" s="861" t="s">
        <v>19</v>
      </c>
      <c r="C19" s="29" t="s">
        <v>7</v>
      </c>
      <c r="D19" s="69" t="s">
        <v>35</v>
      </c>
      <c r="E19" s="85">
        <v>4</v>
      </c>
      <c r="F19" s="19">
        <v>4</v>
      </c>
      <c r="G19" s="29">
        <v>4</v>
      </c>
      <c r="H19" s="215"/>
      <c r="I19" s="868">
        <v>8</v>
      </c>
      <c r="J19" s="903">
        <v>8</v>
      </c>
      <c r="K19" s="231" t="s">
        <v>132</v>
      </c>
      <c r="L19" s="232" t="s">
        <v>120</v>
      </c>
      <c r="M19" s="233" t="s">
        <v>133</v>
      </c>
      <c r="N19" s="234">
        <v>8</v>
      </c>
      <c r="O19" s="235">
        <v>7</v>
      </c>
      <c r="P19" s="236"/>
      <c r="Q19" s="237"/>
      <c r="R19" s="238"/>
      <c r="S19" s="239"/>
      <c r="T19" s="240">
        <v>0</v>
      </c>
      <c r="U19" s="241">
        <v>10</v>
      </c>
      <c r="W19" s="14"/>
      <c r="X19" s="2"/>
      <c r="Y19" s="2"/>
    </row>
    <row r="20" spans="1:25" ht="15" customHeight="1" thickBot="1" x14ac:dyDescent="0.45">
      <c r="A20" s="762"/>
      <c r="B20" s="878"/>
      <c r="C20" s="62" t="s">
        <v>7</v>
      </c>
      <c r="D20" s="71" t="s">
        <v>36</v>
      </c>
      <c r="E20" s="87">
        <v>4</v>
      </c>
      <c r="F20" s="46">
        <v>4</v>
      </c>
      <c r="G20" s="62"/>
      <c r="H20" s="218">
        <v>4</v>
      </c>
      <c r="I20" s="879"/>
      <c r="J20" s="904"/>
      <c r="K20" s="905" t="s">
        <v>6</v>
      </c>
      <c r="L20" s="177" t="s">
        <v>120</v>
      </c>
      <c r="M20" s="242" t="s">
        <v>134</v>
      </c>
      <c r="N20" s="179">
        <v>8</v>
      </c>
      <c r="O20" s="206">
        <v>7</v>
      </c>
      <c r="P20" s="243"/>
      <c r="Q20" s="244"/>
      <c r="R20" s="245"/>
      <c r="S20" s="246"/>
      <c r="T20" s="881">
        <v>0</v>
      </c>
      <c r="U20" s="907">
        <v>10</v>
      </c>
      <c r="W20" s="14"/>
      <c r="X20" s="2"/>
      <c r="Y20" s="2"/>
    </row>
    <row r="21" spans="1:25" ht="15" customHeight="1" thickBot="1" x14ac:dyDescent="0.45">
      <c r="A21" s="762"/>
      <c r="B21" s="861" t="s">
        <v>6</v>
      </c>
      <c r="C21" s="29" t="s">
        <v>7</v>
      </c>
      <c r="D21" s="69" t="s">
        <v>37</v>
      </c>
      <c r="E21" s="85">
        <v>4</v>
      </c>
      <c r="F21" s="19">
        <v>4</v>
      </c>
      <c r="G21" s="29">
        <v>4</v>
      </c>
      <c r="H21" s="215"/>
      <c r="I21" s="889">
        <v>10</v>
      </c>
      <c r="J21" s="870">
        <v>10</v>
      </c>
      <c r="K21" s="906"/>
      <c r="L21" s="198" t="s">
        <v>120</v>
      </c>
      <c r="M21" s="219" t="s">
        <v>135</v>
      </c>
      <c r="N21" s="200">
        <v>2</v>
      </c>
      <c r="O21" s="212">
        <v>2</v>
      </c>
      <c r="P21" s="247"/>
      <c r="Q21" s="248"/>
      <c r="R21" s="249"/>
      <c r="S21" s="250"/>
      <c r="T21" s="883"/>
      <c r="U21" s="908"/>
      <c r="W21" s="15"/>
      <c r="X21" s="2"/>
      <c r="Y21" s="2"/>
    </row>
    <row r="22" spans="1:25" ht="15" customHeight="1" x14ac:dyDescent="0.4">
      <c r="A22" s="762"/>
      <c r="B22" s="862"/>
      <c r="C22" s="37" t="s">
        <v>7</v>
      </c>
      <c r="D22" s="72" t="s">
        <v>38</v>
      </c>
      <c r="E22" s="86">
        <v>4</v>
      </c>
      <c r="F22" s="22">
        <v>4</v>
      </c>
      <c r="G22" s="37"/>
      <c r="H22" s="216">
        <v>4</v>
      </c>
      <c r="I22" s="890"/>
      <c r="J22" s="871"/>
      <c r="K22" s="892" t="s">
        <v>136</v>
      </c>
      <c r="L22" s="251" t="s">
        <v>68</v>
      </c>
      <c r="M22" s="252" t="s">
        <v>137</v>
      </c>
      <c r="N22" s="253">
        <v>5</v>
      </c>
      <c r="O22" s="254">
        <v>6</v>
      </c>
      <c r="P22" s="207">
        <v>2</v>
      </c>
      <c r="Q22" s="208">
        <v>2</v>
      </c>
      <c r="R22" s="207"/>
      <c r="S22" s="208"/>
      <c r="T22" s="894">
        <v>8</v>
      </c>
      <c r="U22" s="884">
        <v>10</v>
      </c>
      <c r="W22" s="15"/>
      <c r="X22" s="2"/>
      <c r="Y22" s="2"/>
    </row>
    <row r="23" spans="1:25" ht="15" customHeight="1" thickBot="1" x14ac:dyDescent="0.45">
      <c r="A23" s="762"/>
      <c r="B23" s="862"/>
      <c r="C23" s="37" t="s">
        <v>7</v>
      </c>
      <c r="D23" s="72" t="s">
        <v>39</v>
      </c>
      <c r="E23" s="86">
        <v>1</v>
      </c>
      <c r="F23" s="22">
        <v>1</v>
      </c>
      <c r="G23" s="37">
        <v>1</v>
      </c>
      <c r="H23" s="216"/>
      <c r="I23" s="890"/>
      <c r="J23" s="871"/>
      <c r="K23" s="893"/>
      <c r="L23" s="255" t="s">
        <v>68</v>
      </c>
      <c r="M23" s="256" t="s">
        <v>138</v>
      </c>
      <c r="N23" s="257">
        <v>5</v>
      </c>
      <c r="O23" s="258">
        <v>4</v>
      </c>
      <c r="P23" s="204"/>
      <c r="Q23" s="203"/>
      <c r="R23" s="204">
        <v>2</v>
      </c>
      <c r="S23" s="203">
        <v>2</v>
      </c>
      <c r="T23" s="895"/>
      <c r="U23" s="886"/>
      <c r="W23" s="15"/>
      <c r="X23" s="2"/>
      <c r="Y23" s="2"/>
    </row>
    <row r="24" spans="1:25" ht="15" customHeight="1" thickBot="1" x14ac:dyDescent="0.45">
      <c r="A24" s="762"/>
      <c r="B24" s="878"/>
      <c r="C24" s="62" t="s">
        <v>7</v>
      </c>
      <c r="D24" s="73" t="s">
        <v>40</v>
      </c>
      <c r="E24" s="87">
        <v>1</v>
      </c>
      <c r="F24" s="46">
        <v>1</v>
      </c>
      <c r="G24" s="62"/>
      <c r="H24" s="218">
        <v>1</v>
      </c>
      <c r="I24" s="891"/>
      <c r="J24" s="880"/>
      <c r="K24" s="892" t="s">
        <v>103</v>
      </c>
      <c r="L24" s="251" t="s">
        <v>68</v>
      </c>
      <c r="M24" s="252" t="s">
        <v>139</v>
      </c>
      <c r="N24" s="253">
        <v>5</v>
      </c>
      <c r="O24" s="259">
        <v>4</v>
      </c>
      <c r="P24" s="863" t="s">
        <v>140</v>
      </c>
      <c r="Q24" s="864"/>
      <c r="R24" s="260"/>
      <c r="S24" s="260"/>
      <c r="T24" s="894">
        <v>4</v>
      </c>
      <c r="U24" s="884">
        <v>10</v>
      </c>
      <c r="W24" s="15"/>
      <c r="X24" s="2"/>
      <c r="Y24" s="2"/>
    </row>
    <row r="25" spans="1:25" ht="15" customHeight="1" thickBot="1" x14ac:dyDescent="0.45">
      <c r="A25" s="762"/>
      <c r="B25" s="861" t="s">
        <v>18</v>
      </c>
      <c r="C25" s="29" t="s">
        <v>43</v>
      </c>
      <c r="D25" s="74" t="s">
        <v>52</v>
      </c>
      <c r="E25" s="85">
        <v>2</v>
      </c>
      <c r="F25" s="19">
        <v>1</v>
      </c>
      <c r="G25" s="29">
        <v>1</v>
      </c>
      <c r="H25" s="215"/>
      <c r="I25" s="868">
        <v>2</v>
      </c>
      <c r="J25" s="870">
        <v>10</v>
      </c>
      <c r="K25" s="893"/>
      <c r="L25" s="255" t="s">
        <v>68</v>
      </c>
      <c r="M25" s="261" t="s">
        <v>141</v>
      </c>
      <c r="N25" s="262">
        <v>5</v>
      </c>
      <c r="O25" s="263">
        <v>4</v>
      </c>
      <c r="P25" s="62">
        <v>2</v>
      </c>
      <c r="Q25" s="218">
        <v>2</v>
      </c>
      <c r="R25" s="264"/>
      <c r="S25" s="264"/>
      <c r="T25" s="895"/>
      <c r="U25" s="886"/>
      <c r="W25" s="15"/>
      <c r="X25" s="2"/>
      <c r="Y25" s="2"/>
    </row>
    <row r="26" spans="1:25" ht="15" customHeight="1" x14ac:dyDescent="0.4">
      <c r="A26" s="762"/>
      <c r="B26" s="862"/>
      <c r="C26" s="37" t="s">
        <v>43</v>
      </c>
      <c r="D26" s="72" t="s">
        <v>53</v>
      </c>
      <c r="E26" s="86">
        <v>2</v>
      </c>
      <c r="F26" s="22">
        <v>1</v>
      </c>
      <c r="G26" s="37"/>
      <c r="H26" s="216">
        <v>1</v>
      </c>
      <c r="I26" s="869"/>
      <c r="J26" s="871"/>
      <c r="K26" s="265" t="s">
        <v>142</v>
      </c>
      <c r="L26" s="266" t="s">
        <v>68</v>
      </c>
      <c r="M26" s="267" t="s">
        <v>81</v>
      </c>
      <c r="N26" s="268">
        <v>5</v>
      </c>
      <c r="O26" s="269">
        <v>3</v>
      </c>
      <c r="P26" s="243"/>
      <c r="Q26" s="244"/>
      <c r="R26" s="245"/>
      <c r="S26" s="246"/>
      <c r="T26" s="881">
        <v>2</v>
      </c>
      <c r="U26" s="884">
        <v>16</v>
      </c>
      <c r="W26" s="15"/>
    </row>
    <row r="27" spans="1:25" ht="15" customHeight="1" x14ac:dyDescent="0.4">
      <c r="A27" s="762"/>
      <c r="B27" s="862"/>
      <c r="C27" s="37" t="s">
        <v>41</v>
      </c>
      <c r="D27" s="72" t="s">
        <v>44</v>
      </c>
      <c r="E27" s="86">
        <v>3</v>
      </c>
      <c r="F27" s="22">
        <v>2</v>
      </c>
      <c r="G27" s="37"/>
      <c r="H27" s="216"/>
      <c r="I27" s="869"/>
      <c r="J27" s="871"/>
      <c r="K27" s="270" t="s">
        <v>143</v>
      </c>
      <c r="L27" s="271" t="s">
        <v>68</v>
      </c>
      <c r="M27" s="272" t="s">
        <v>143</v>
      </c>
      <c r="N27" s="193">
        <v>5</v>
      </c>
      <c r="O27" s="194">
        <v>3</v>
      </c>
      <c r="P27" s="273"/>
      <c r="Q27" s="274"/>
      <c r="R27" s="275"/>
      <c r="S27" s="276"/>
      <c r="T27" s="882"/>
      <c r="U27" s="885"/>
      <c r="W27" s="15"/>
    </row>
    <row r="28" spans="1:25" ht="15" customHeight="1" x14ac:dyDescent="0.4">
      <c r="A28" s="762"/>
      <c r="B28" s="862"/>
      <c r="C28" s="37" t="s">
        <v>41</v>
      </c>
      <c r="D28" s="72" t="s">
        <v>62</v>
      </c>
      <c r="E28" s="86">
        <v>3</v>
      </c>
      <c r="F28" s="22">
        <v>2</v>
      </c>
      <c r="G28" s="37"/>
      <c r="H28" s="216"/>
      <c r="I28" s="869"/>
      <c r="J28" s="871"/>
      <c r="K28" s="887" t="s">
        <v>106</v>
      </c>
      <c r="L28" s="271" t="s">
        <v>68</v>
      </c>
      <c r="M28" s="272" t="s">
        <v>144</v>
      </c>
      <c r="N28" s="193">
        <v>5</v>
      </c>
      <c r="O28" s="194">
        <v>2</v>
      </c>
      <c r="P28" s="273"/>
      <c r="Q28" s="274"/>
      <c r="R28" s="277"/>
      <c r="S28" s="278"/>
      <c r="T28" s="882"/>
      <c r="U28" s="885"/>
      <c r="W28" s="15"/>
    </row>
    <row r="29" spans="1:25" ht="15" customHeight="1" thickBot="1" x14ac:dyDescent="0.45">
      <c r="A29" s="762"/>
      <c r="B29" s="862"/>
      <c r="C29" s="37" t="s">
        <v>45</v>
      </c>
      <c r="D29" s="72" t="s">
        <v>54</v>
      </c>
      <c r="E29" s="86">
        <v>3</v>
      </c>
      <c r="F29" s="22">
        <v>2</v>
      </c>
      <c r="G29" s="37"/>
      <c r="H29" s="216"/>
      <c r="I29" s="869"/>
      <c r="J29" s="871"/>
      <c r="K29" s="888"/>
      <c r="L29" s="271" t="s">
        <v>68</v>
      </c>
      <c r="M29" s="279" t="s">
        <v>112</v>
      </c>
      <c r="N29" s="280">
        <v>5</v>
      </c>
      <c r="O29" s="281">
        <v>2</v>
      </c>
      <c r="P29" s="282"/>
      <c r="Q29" s="283"/>
      <c r="R29" s="284">
        <v>1</v>
      </c>
      <c r="S29" s="285">
        <v>1</v>
      </c>
      <c r="T29" s="883"/>
      <c r="U29" s="886"/>
      <c r="W29" s="15"/>
    </row>
    <row r="30" spans="1:25" ht="15" customHeight="1" thickBot="1" x14ac:dyDescent="0.45">
      <c r="A30" s="762"/>
      <c r="B30" s="878"/>
      <c r="C30" s="62" t="s">
        <v>45</v>
      </c>
      <c r="D30" s="73" t="s">
        <v>55</v>
      </c>
      <c r="E30" s="87">
        <v>3</v>
      </c>
      <c r="F30" s="46">
        <v>2</v>
      </c>
      <c r="G30" s="62"/>
      <c r="H30" s="218"/>
      <c r="I30" s="879"/>
      <c r="J30" s="880"/>
      <c r="K30" s="286"/>
      <c r="L30" s="287"/>
      <c r="M30" s="288"/>
      <c r="N30" s="289"/>
      <c r="O30" s="289"/>
      <c r="P30" s="289"/>
      <c r="Q30" s="289"/>
      <c r="R30" s="289"/>
      <c r="S30" s="289"/>
      <c r="T30" s="290"/>
      <c r="U30" s="291"/>
      <c r="W30" s="15"/>
    </row>
    <row r="31" spans="1:25" ht="15" customHeight="1" x14ac:dyDescent="0.4">
      <c r="A31" s="762"/>
      <c r="B31" s="861" t="s">
        <v>145</v>
      </c>
      <c r="C31" s="29" t="s">
        <v>17</v>
      </c>
      <c r="D31" s="74" t="s">
        <v>146</v>
      </c>
      <c r="E31" s="85">
        <v>3</v>
      </c>
      <c r="F31" s="19">
        <v>2</v>
      </c>
      <c r="G31" s="863" t="s">
        <v>140</v>
      </c>
      <c r="H31" s="864"/>
      <c r="I31" s="653">
        <v>4</v>
      </c>
      <c r="J31" s="653">
        <v>10</v>
      </c>
      <c r="K31" s="865"/>
      <c r="L31" s="292"/>
      <c r="M31" s="293"/>
      <c r="N31" s="294"/>
      <c r="O31" s="294"/>
      <c r="P31" s="294"/>
      <c r="Q31" s="294"/>
      <c r="R31" s="294"/>
      <c r="S31" s="294"/>
      <c r="T31" s="295"/>
      <c r="U31" s="296"/>
      <c r="W31" s="15"/>
    </row>
    <row r="32" spans="1:25" ht="15" customHeight="1" x14ac:dyDescent="0.4">
      <c r="A32" s="762"/>
      <c r="B32" s="862"/>
      <c r="C32" s="37" t="s">
        <v>41</v>
      </c>
      <c r="D32" s="297" t="s">
        <v>147</v>
      </c>
      <c r="E32" s="86">
        <v>3</v>
      </c>
      <c r="F32" s="22">
        <v>2</v>
      </c>
      <c r="G32" s="37">
        <v>2</v>
      </c>
      <c r="H32" s="216">
        <v>2</v>
      </c>
      <c r="I32" s="654"/>
      <c r="J32" s="654"/>
      <c r="K32" s="865"/>
      <c r="L32" s="292"/>
      <c r="M32" s="293"/>
      <c r="N32" s="294"/>
      <c r="O32" s="294"/>
      <c r="P32" s="294"/>
      <c r="Q32" s="294"/>
      <c r="R32" s="294"/>
      <c r="S32" s="294"/>
      <c r="T32" s="295"/>
      <c r="U32" s="296"/>
      <c r="W32" s="15"/>
    </row>
    <row r="33" spans="1:23" ht="15" customHeight="1" x14ac:dyDescent="0.4">
      <c r="A33" s="762"/>
      <c r="B33" s="862"/>
      <c r="C33" s="37" t="s">
        <v>21</v>
      </c>
      <c r="D33" s="72" t="s">
        <v>63</v>
      </c>
      <c r="E33" s="86">
        <v>3</v>
      </c>
      <c r="F33" s="22">
        <v>3</v>
      </c>
      <c r="G33" s="37"/>
      <c r="H33" s="216"/>
      <c r="I33" s="654"/>
      <c r="J33" s="654"/>
      <c r="K33" s="865"/>
      <c r="L33" s="292"/>
      <c r="M33" s="293"/>
      <c r="N33" s="294"/>
      <c r="O33" s="294"/>
      <c r="P33" s="294"/>
      <c r="Q33" s="294"/>
      <c r="R33" s="294"/>
      <c r="S33" s="294"/>
      <c r="T33" s="295"/>
      <c r="U33" s="296"/>
      <c r="W33" s="15"/>
    </row>
    <row r="34" spans="1:23" ht="15" customHeight="1" thickBot="1" x14ac:dyDescent="0.45">
      <c r="A34" s="762"/>
      <c r="B34" s="862"/>
      <c r="C34" s="42" t="s">
        <v>21</v>
      </c>
      <c r="D34" s="111" t="s">
        <v>109</v>
      </c>
      <c r="E34" s="112">
        <v>3</v>
      </c>
      <c r="F34" s="49">
        <v>3</v>
      </c>
      <c r="G34" s="42"/>
      <c r="H34" s="298"/>
      <c r="I34" s="655"/>
      <c r="J34" s="655"/>
      <c r="K34" s="865"/>
      <c r="L34" s="292"/>
      <c r="M34" s="293"/>
      <c r="N34" s="294"/>
      <c r="O34" s="294"/>
      <c r="P34" s="294"/>
      <c r="Q34" s="294"/>
      <c r="R34" s="294"/>
      <c r="S34" s="294"/>
      <c r="T34" s="295"/>
      <c r="U34" s="296"/>
      <c r="W34" s="15"/>
    </row>
    <row r="35" spans="1:23" ht="15" customHeight="1" x14ac:dyDescent="0.4">
      <c r="A35" s="762"/>
      <c r="B35" s="866" t="s">
        <v>56</v>
      </c>
      <c r="C35" s="163" t="s">
        <v>41</v>
      </c>
      <c r="D35" s="74" t="s">
        <v>60</v>
      </c>
      <c r="E35" s="85">
        <v>4</v>
      </c>
      <c r="F35" s="19">
        <v>3</v>
      </c>
      <c r="G35" s="863" t="s">
        <v>140</v>
      </c>
      <c r="H35" s="864"/>
      <c r="I35" s="868">
        <v>6</v>
      </c>
      <c r="J35" s="870">
        <v>16</v>
      </c>
      <c r="K35" s="872"/>
      <c r="L35" s="292"/>
      <c r="M35" s="293"/>
      <c r="N35" s="294"/>
      <c r="O35" s="294"/>
      <c r="P35" s="294"/>
      <c r="Q35" s="294"/>
      <c r="R35" s="294"/>
      <c r="S35" s="294"/>
      <c r="T35" s="295"/>
      <c r="U35" s="296"/>
      <c r="W35" s="15"/>
    </row>
    <row r="36" spans="1:23" ht="15" customHeight="1" thickBot="1" x14ac:dyDescent="0.45">
      <c r="A36" s="762"/>
      <c r="B36" s="867"/>
      <c r="C36" s="62" t="s">
        <v>17</v>
      </c>
      <c r="D36" s="73" t="s">
        <v>59</v>
      </c>
      <c r="E36" s="87">
        <v>4</v>
      </c>
      <c r="F36" s="46">
        <v>3</v>
      </c>
      <c r="G36" s="58">
        <v>3</v>
      </c>
      <c r="H36" s="299">
        <v>3</v>
      </c>
      <c r="I36" s="869"/>
      <c r="J36" s="871"/>
      <c r="K36" s="872"/>
      <c r="L36" s="292"/>
      <c r="M36" s="293"/>
      <c r="N36" s="294"/>
      <c r="O36" s="294"/>
      <c r="P36" s="294"/>
      <c r="Q36" s="294"/>
      <c r="R36" s="294"/>
      <c r="S36" s="294"/>
      <c r="T36" s="295"/>
      <c r="U36" s="296"/>
      <c r="W36" s="15"/>
    </row>
    <row r="37" spans="1:23" ht="15" customHeight="1" x14ac:dyDescent="0.4">
      <c r="A37" s="710" t="s">
        <v>148</v>
      </c>
      <c r="B37" s="55" t="s">
        <v>64</v>
      </c>
      <c r="C37" s="300" t="s">
        <v>65</v>
      </c>
      <c r="D37" s="75" t="s">
        <v>66</v>
      </c>
      <c r="E37" s="301">
        <v>4</v>
      </c>
      <c r="F37" s="20">
        <v>3</v>
      </c>
      <c r="G37" s="16"/>
      <c r="H37" s="156"/>
      <c r="I37" s="797">
        <v>0</v>
      </c>
      <c r="J37" s="754"/>
      <c r="K37" s="302" t="s">
        <v>64</v>
      </c>
      <c r="L37" s="303" t="s">
        <v>71</v>
      </c>
      <c r="M37" s="304" t="s">
        <v>149</v>
      </c>
      <c r="N37" s="305">
        <v>5</v>
      </c>
      <c r="O37" s="306">
        <v>3</v>
      </c>
      <c r="P37" s="307" t="s">
        <v>150</v>
      </c>
      <c r="Q37" s="307" t="s">
        <v>150</v>
      </c>
      <c r="R37" s="308"/>
      <c r="S37" s="309"/>
      <c r="T37" s="853">
        <v>6</v>
      </c>
      <c r="U37" s="855"/>
      <c r="W37" s="12"/>
    </row>
    <row r="38" spans="1:23" ht="13.95" customHeight="1" x14ac:dyDescent="0.4">
      <c r="A38" s="711"/>
      <c r="B38" s="310" t="s">
        <v>67</v>
      </c>
      <c r="C38" s="311" t="s">
        <v>68</v>
      </c>
      <c r="D38" s="68" t="s">
        <v>69</v>
      </c>
      <c r="E38" s="301">
        <v>4</v>
      </c>
      <c r="F38" s="20">
        <v>3</v>
      </c>
      <c r="G38" s="16"/>
      <c r="H38" s="156"/>
      <c r="I38" s="780"/>
      <c r="J38" s="755"/>
      <c r="K38" s="858" t="s">
        <v>67</v>
      </c>
      <c r="L38" s="312" t="s">
        <v>68</v>
      </c>
      <c r="M38" s="313" t="s">
        <v>69</v>
      </c>
      <c r="N38" s="314">
        <v>5</v>
      </c>
      <c r="O38" s="315">
        <v>3</v>
      </c>
      <c r="P38" s="316"/>
      <c r="Q38" s="317"/>
      <c r="R38" s="318"/>
      <c r="S38" s="319"/>
      <c r="T38" s="804"/>
      <c r="U38" s="856"/>
      <c r="W38" s="12"/>
    </row>
    <row r="39" spans="1:23" ht="15" customHeight="1" thickBot="1" x14ac:dyDescent="0.45">
      <c r="A39" s="711"/>
      <c r="B39" s="320" t="s">
        <v>70</v>
      </c>
      <c r="C39" s="321" t="s">
        <v>71</v>
      </c>
      <c r="D39" s="76" t="s">
        <v>72</v>
      </c>
      <c r="E39" s="301">
        <v>4</v>
      </c>
      <c r="F39" s="46">
        <v>3</v>
      </c>
      <c r="G39" s="58"/>
      <c r="H39" s="299"/>
      <c r="I39" s="798"/>
      <c r="J39" s="755"/>
      <c r="K39" s="859"/>
      <c r="L39" s="184" t="s">
        <v>71</v>
      </c>
      <c r="M39" s="322" t="s">
        <v>74</v>
      </c>
      <c r="N39" s="186">
        <v>5</v>
      </c>
      <c r="O39" s="187">
        <v>3</v>
      </c>
      <c r="P39" s="323">
        <v>3</v>
      </c>
      <c r="Q39" s="317">
        <v>3</v>
      </c>
      <c r="R39" s="324"/>
      <c r="S39" s="319"/>
      <c r="T39" s="804"/>
      <c r="U39" s="856"/>
    </row>
    <row r="40" spans="1:23" ht="15" customHeight="1" thickBot="1" x14ac:dyDescent="0.45">
      <c r="A40" s="711"/>
      <c r="B40" s="169" t="s">
        <v>64</v>
      </c>
      <c r="C40" s="325" t="s">
        <v>71</v>
      </c>
      <c r="D40" s="84" t="s">
        <v>73</v>
      </c>
      <c r="E40" s="301">
        <v>4</v>
      </c>
      <c r="F40" s="19">
        <v>3</v>
      </c>
      <c r="G40" s="9"/>
      <c r="H40" s="151"/>
      <c r="I40" s="808">
        <v>0</v>
      </c>
      <c r="J40" s="755"/>
      <c r="K40" s="326" t="s">
        <v>70</v>
      </c>
      <c r="L40" s="198" t="s">
        <v>71</v>
      </c>
      <c r="M40" s="219" t="s">
        <v>151</v>
      </c>
      <c r="N40" s="200">
        <v>5</v>
      </c>
      <c r="O40" s="201">
        <v>3</v>
      </c>
      <c r="P40" s="327"/>
      <c r="Q40" s="328"/>
      <c r="R40" s="329"/>
      <c r="S40" s="330"/>
      <c r="T40" s="854"/>
      <c r="U40" s="856"/>
    </row>
    <row r="41" spans="1:23" ht="15" customHeight="1" x14ac:dyDescent="0.4">
      <c r="A41" s="711"/>
      <c r="B41" s="310" t="s">
        <v>67</v>
      </c>
      <c r="C41" s="311" t="s">
        <v>71</v>
      </c>
      <c r="D41" s="104" t="s">
        <v>74</v>
      </c>
      <c r="E41" s="301">
        <v>4</v>
      </c>
      <c r="F41" s="22">
        <v>3</v>
      </c>
      <c r="G41" s="8"/>
      <c r="H41" s="147"/>
      <c r="I41" s="780"/>
      <c r="J41" s="755"/>
      <c r="K41" s="331" t="s">
        <v>64</v>
      </c>
      <c r="L41" s="177" t="s">
        <v>71</v>
      </c>
      <c r="M41" s="332" t="s">
        <v>152</v>
      </c>
      <c r="N41" s="179">
        <v>5</v>
      </c>
      <c r="O41" s="180">
        <v>7</v>
      </c>
      <c r="P41" s="333"/>
      <c r="Q41" s="334"/>
      <c r="R41" s="844" t="s">
        <v>153</v>
      </c>
      <c r="S41" s="845"/>
      <c r="T41" s="804">
        <v>14</v>
      </c>
      <c r="U41" s="856"/>
    </row>
    <row r="42" spans="1:23" ht="15" customHeight="1" thickBot="1" x14ac:dyDescent="0.45">
      <c r="A42" s="711"/>
      <c r="B42" s="320" t="s">
        <v>70</v>
      </c>
      <c r="C42" s="321" t="s">
        <v>71</v>
      </c>
      <c r="D42" s="103" t="s">
        <v>75</v>
      </c>
      <c r="E42" s="301">
        <v>4</v>
      </c>
      <c r="F42" s="46">
        <v>3</v>
      </c>
      <c r="G42" s="58"/>
      <c r="H42" s="299"/>
      <c r="I42" s="798"/>
      <c r="J42" s="755"/>
      <c r="K42" s="860" t="s">
        <v>67</v>
      </c>
      <c r="L42" s="192" t="s">
        <v>68</v>
      </c>
      <c r="M42" s="185" t="s">
        <v>154</v>
      </c>
      <c r="N42" s="193">
        <v>5</v>
      </c>
      <c r="O42" s="194">
        <v>7</v>
      </c>
      <c r="P42" s="335"/>
      <c r="Q42" s="336"/>
      <c r="R42" s="337"/>
      <c r="S42" s="338"/>
      <c r="T42" s="804"/>
      <c r="U42" s="856"/>
    </row>
    <row r="43" spans="1:23" ht="15" customHeight="1" x14ac:dyDescent="0.4">
      <c r="A43" s="711"/>
      <c r="B43" s="47" t="s">
        <v>64</v>
      </c>
      <c r="C43" s="325" t="s">
        <v>71</v>
      </c>
      <c r="D43" s="79" t="s">
        <v>85</v>
      </c>
      <c r="E43" s="301">
        <v>4</v>
      </c>
      <c r="F43" s="19">
        <v>3</v>
      </c>
      <c r="G43" s="9"/>
      <c r="H43" s="151"/>
      <c r="I43" s="808">
        <v>0</v>
      </c>
      <c r="J43" s="755"/>
      <c r="K43" s="860"/>
      <c r="L43" s="184" t="s">
        <v>71</v>
      </c>
      <c r="M43" s="339" t="s">
        <v>155</v>
      </c>
      <c r="N43" s="186">
        <v>5</v>
      </c>
      <c r="O43" s="187">
        <v>7</v>
      </c>
      <c r="P43" s="333"/>
      <c r="Q43" s="334"/>
      <c r="R43" s="337">
        <v>4</v>
      </c>
      <c r="S43" s="338">
        <v>3</v>
      </c>
      <c r="T43" s="804"/>
      <c r="U43" s="856"/>
    </row>
    <row r="44" spans="1:23" ht="15.6" customHeight="1" x14ac:dyDescent="0.4">
      <c r="A44" s="711"/>
      <c r="B44" s="48" t="s">
        <v>67</v>
      </c>
      <c r="C44" s="311" t="s">
        <v>71</v>
      </c>
      <c r="D44" s="104" t="s">
        <v>156</v>
      </c>
      <c r="E44" s="301">
        <v>4</v>
      </c>
      <c r="F44" s="20">
        <v>3</v>
      </c>
      <c r="G44" s="16"/>
      <c r="H44" s="156"/>
      <c r="I44" s="780"/>
      <c r="J44" s="755"/>
      <c r="K44" s="860"/>
      <c r="L44" s="192" t="s">
        <v>71</v>
      </c>
      <c r="M44" s="217" t="s">
        <v>157</v>
      </c>
      <c r="N44" s="193">
        <v>5</v>
      </c>
      <c r="O44" s="194">
        <v>7</v>
      </c>
      <c r="P44" s="335"/>
      <c r="Q44" s="336"/>
      <c r="R44" s="337">
        <v>4</v>
      </c>
      <c r="S44" s="338">
        <v>3</v>
      </c>
      <c r="T44" s="804"/>
      <c r="U44" s="856"/>
    </row>
    <row r="45" spans="1:23" ht="15" customHeight="1" thickBot="1" x14ac:dyDescent="0.45">
      <c r="A45" s="711"/>
      <c r="B45" s="21" t="s">
        <v>70</v>
      </c>
      <c r="C45" s="321" t="s">
        <v>68</v>
      </c>
      <c r="D45" s="103" t="s">
        <v>86</v>
      </c>
      <c r="E45" s="301">
        <v>4</v>
      </c>
      <c r="F45" s="46">
        <v>3</v>
      </c>
      <c r="G45" s="58"/>
      <c r="H45" s="299"/>
      <c r="I45" s="798"/>
      <c r="J45" s="755"/>
      <c r="K45" s="340" t="s">
        <v>70</v>
      </c>
      <c r="L45" s="341" t="s">
        <v>71</v>
      </c>
      <c r="M45" s="342" t="s">
        <v>158</v>
      </c>
      <c r="N45" s="343">
        <v>5</v>
      </c>
      <c r="O45" s="344">
        <v>7</v>
      </c>
      <c r="P45" s="345"/>
      <c r="Q45" s="346"/>
      <c r="R45" s="347"/>
      <c r="S45" s="338"/>
      <c r="T45" s="805"/>
      <c r="U45" s="856"/>
    </row>
    <row r="46" spans="1:23" ht="15" customHeight="1" x14ac:dyDescent="0.4">
      <c r="A46" s="711"/>
      <c r="B46" s="169" t="s">
        <v>64</v>
      </c>
      <c r="C46" s="300" t="s">
        <v>65</v>
      </c>
      <c r="D46" s="81" t="s">
        <v>87</v>
      </c>
      <c r="E46" s="85">
        <v>4</v>
      </c>
      <c r="F46" s="85">
        <v>4</v>
      </c>
      <c r="G46" s="9"/>
      <c r="H46" s="151"/>
      <c r="I46" s="808">
        <v>0</v>
      </c>
      <c r="J46" s="755"/>
      <c r="K46" s="873" t="s">
        <v>94</v>
      </c>
      <c r="L46" s="822" t="s">
        <v>68</v>
      </c>
      <c r="M46" s="876" t="s">
        <v>159</v>
      </c>
      <c r="N46" s="809">
        <v>5</v>
      </c>
      <c r="O46" s="811">
        <v>6</v>
      </c>
      <c r="P46" s="844" t="s">
        <v>160</v>
      </c>
      <c r="Q46" s="845"/>
      <c r="R46" s="348"/>
      <c r="S46" s="349"/>
      <c r="T46" s="803">
        <v>18</v>
      </c>
      <c r="U46" s="856"/>
    </row>
    <row r="47" spans="1:23" ht="15" customHeight="1" x14ac:dyDescent="0.4">
      <c r="A47" s="711"/>
      <c r="B47" s="132" t="s">
        <v>67</v>
      </c>
      <c r="C47" s="311" t="s">
        <v>65</v>
      </c>
      <c r="D47" s="108" t="s">
        <v>88</v>
      </c>
      <c r="E47" s="86">
        <v>4</v>
      </c>
      <c r="F47" s="86">
        <v>4</v>
      </c>
      <c r="G47" s="8"/>
      <c r="H47" s="147"/>
      <c r="I47" s="780"/>
      <c r="J47" s="755"/>
      <c r="K47" s="874"/>
      <c r="L47" s="875"/>
      <c r="M47" s="877"/>
      <c r="N47" s="832"/>
      <c r="O47" s="833"/>
      <c r="P47" s="347">
        <v>3</v>
      </c>
      <c r="Q47" s="323">
        <v>3</v>
      </c>
      <c r="R47" s="350"/>
      <c r="S47" s="351"/>
      <c r="T47" s="804"/>
      <c r="U47" s="856"/>
    </row>
    <row r="48" spans="1:23" ht="15" customHeight="1" x14ac:dyDescent="0.4">
      <c r="A48" s="711"/>
      <c r="B48" s="799" t="s">
        <v>70</v>
      </c>
      <c r="C48" s="311" t="s">
        <v>71</v>
      </c>
      <c r="D48" s="78" t="s">
        <v>89</v>
      </c>
      <c r="E48" s="86">
        <v>4</v>
      </c>
      <c r="F48" s="86">
        <v>4</v>
      </c>
      <c r="G48" s="17"/>
      <c r="H48" s="352"/>
      <c r="I48" s="780"/>
      <c r="J48" s="755"/>
      <c r="K48" s="846" t="s">
        <v>96</v>
      </c>
      <c r="L48" s="848" t="s">
        <v>68</v>
      </c>
      <c r="M48" s="849" t="s">
        <v>161</v>
      </c>
      <c r="N48" s="851">
        <v>5</v>
      </c>
      <c r="O48" s="852">
        <v>6</v>
      </c>
      <c r="P48" s="347">
        <v>3</v>
      </c>
      <c r="Q48" s="323">
        <v>3</v>
      </c>
      <c r="R48" s="350"/>
      <c r="S48" s="351"/>
      <c r="T48" s="804"/>
      <c r="U48" s="856"/>
    </row>
    <row r="49" spans="1:21" ht="15" customHeight="1" thickBot="1" x14ac:dyDescent="0.45">
      <c r="A49" s="711"/>
      <c r="B49" s="800"/>
      <c r="C49" s="165" t="s">
        <v>65</v>
      </c>
      <c r="D49" s="107" t="s">
        <v>90</v>
      </c>
      <c r="E49" s="87">
        <v>4</v>
      </c>
      <c r="F49" s="87">
        <v>4</v>
      </c>
      <c r="G49" s="17"/>
      <c r="H49" s="352"/>
      <c r="I49" s="798"/>
      <c r="J49" s="755"/>
      <c r="K49" s="847"/>
      <c r="L49" s="823"/>
      <c r="M49" s="850"/>
      <c r="N49" s="810"/>
      <c r="O49" s="812"/>
      <c r="P49" s="353">
        <v>3</v>
      </c>
      <c r="Q49" s="327">
        <v>3</v>
      </c>
      <c r="R49" s="354"/>
      <c r="S49" s="355"/>
      <c r="T49" s="805"/>
      <c r="U49" s="856"/>
    </row>
    <row r="50" spans="1:21" ht="15" customHeight="1" x14ac:dyDescent="0.4">
      <c r="A50" s="711"/>
      <c r="B50" s="47" t="s">
        <v>64</v>
      </c>
      <c r="C50" s="167" t="s">
        <v>68</v>
      </c>
      <c r="D50" s="79" t="s">
        <v>91</v>
      </c>
      <c r="E50" s="301">
        <v>4</v>
      </c>
      <c r="F50" s="19">
        <v>3</v>
      </c>
      <c r="G50" s="9"/>
      <c r="H50" s="151"/>
      <c r="I50" s="808">
        <v>0</v>
      </c>
      <c r="J50" s="755"/>
      <c r="K50" s="817" t="s">
        <v>94</v>
      </c>
      <c r="L50" s="822" t="s">
        <v>68</v>
      </c>
      <c r="M50" s="830" t="s">
        <v>162</v>
      </c>
      <c r="N50" s="809">
        <v>5</v>
      </c>
      <c r="O50" s="811">
        <v>6</v>
      </c>
      <c r="P50" s="356"/>
      <c r="Q50" s="357"/>
      <c r="R50" s="801" t="s">
        <v>153</v>
      </c>
      <c r="S50" s="802"/>
      <c r="T50" s="803">
        <v>12</v>
      </c>
      <c r="U50" s="856"/>
    </row>
    <row r="51" spans="1:21" ht="15" customHeight="1" x14ac:dyDescent="0.4">
      <c r="A51" s="711"/>
      <c r="B51" s="48" t="s">
        <v>67</v>
      </c>
      <c r="C51" s="166" t="s">
        <v>71</v>
      </c>
      <c r="D51" s="106" t="s">
        <v>92</v>
      </c>
      <c r="E51" s="301">
        <v>4</v>
      </c>
      <c r="F51" s="22">
        <v>3</v>
      </c>
      <c r="G51" s="8"/>
      <c r="H51" s="147"/>
      <c r="I51" s="780"/>
      <c r="J51" s="755"/>
      <c r="K51" s="818"/>
      <c r="L51" s="875"/>
      <c r="M51" s="831"/>
      <c r="N51" s="832"/>
      <c r="O51" s="833"/>
      <c r="P51" s="335"/>
      <c r="Q51" s="336"/>
      <c r="R51" s="347">
        <v>3</v>
      </c>
      <c r="S51" s="338">
        <v>3</v>
      </c>
      <c r="T51" s="804"/>
      <c r="U51" s="856"/>
    </row>
    <row r="52" spans="1:21" ht="15" customHeight="1" thickBot="1" x14ac:dyDescent="0.45">
      <c r="A52" s="711"/>
      <c r="B52" s="21" t="s">
        <v>70</v>
      </c>
      <c r="C52" s="51" t="s">
        <v>65</v>
      </c>
      <c r="D52" s="103" t="s">
        <v>93</v>
      </c>
      <c r="E52" s="301">
        <v>4</v>
      </c>
      <c r="F52" s="46">
        <v>3</v>
      </c>
      <c r="G52" s="58"/>
      <c r="H52" s="299"/>
      <c r="I52" s="798"/>
      <c r="J52" s="755"/>
      <c r="K52" s="358" t="s">
        <v>96</v>
      </c>
      <c r="L52" s="359" t="s">
        <v>71</v>
      </c>
      <c r="M52" s="360" t="s">
        <v>163</v>
      </c>
      <c r="N52" s="280">
        <v>5</v>
      </c>
      <c r="O52" s="281">
        <v>6</v>
      </c>
      <c r="P52" s="361"/>
      <c r="Q52" s="362"/>
      <c r="R52" s="363">
        <v>3</v>
      </c>
      <c r="S52" s="364">
        <v>3</v>
      </c>
      <c r="T52" s="805"/>
      <c r="U52" s="856"/>
    </row>
    <row r="53" spans="1:21" ht="15" customHeight="1" x14ac:dyDescent="0.4">
      <c r="A53" s="711"/>
      <c r="B53" s="806" t="s">
        <v>19</v>
      </c>
      <c r="C53" s="166" t="s">
        <v>68</v>
      </c>
      <c r="D53" s="81" t="s">
        <v>76</v>
      </c>
      <c r="E53" s="365">
        <v>4</v>
      </c>
      <c r="F53" s="20">
        <v>4</v>
      </c>
      <c r="G53" s="16"/>
      <c r="H53" s="156"/>
      <c r="I53" s="808">
        <v>0</v>
      </c>
      <c r="J53" s="755"/>
      <c r="K53" s="366" t="s">
        <v>94</v>
      </c>
      <c r="L53" s="367" t="s">
        <v>71</v>
      </c>
      <c r="M53" s="368" t="s">
        <v>164</v>
      </c>
      <c r="N53" s="809">
        <v>5</v>
      </c>
      <c r="O53" s="811">
        <v>3</v>
      </c>
      <c r="P53" s="243"/>
      <c r="Q53" s="244"/>
      <c r="R53" s="369" t="s">
        <v>150</v>
      </c>
      <c r="S53" s="370"/>
      <c r="T53" s="803">
        <v>16</v>
      </c>
      <c r="U53" s="856"/>
    </row>
    <row r="54" spans="1:21" ht="15" customHeight="1" thickBot="1" x14ac:dyDescent="0.45">
      <c r="A54" s="711"/>
      <c r="B54" s="807"/>
      <c r="C54" s="45" t="s">
        <v>71</v>
      </c>
      <c r="D54" s="82" t="s">
        <v>165</v>
      </c>
      <c r="E54" s="371">
        <v>4</v>
      </c>
      <c r="F54" s="46">
        <v>4</v>
      </c>
      <c r="G54" s="8"/>
      <c r="H54" s="147"/>
      <c r="I54" s="780"/>
      <c r="J54" s="755"/>
      <c r="K54" s="372" t="s">
        <v>96</v>
      </c>
      <c r="L54" s="198" t="s">
        <v>71</v>
      </c>
      <c r="M54" s="373" t="s">
        <v>166</v>
      </c>
      <c r="N54" s="810"/>
      <c r="O54" s="812"/>
      <c r="P54" s="374"/>
      <c r="Q54" s="375"/>
      <c r="R54" s="328">
        <v>3</v>
      </c>
      <c r="S54" s="376"/>
      <c r="T54" s="804"/>
      <c r="U54" s="856"/>
    </row>
    <row r="55" spans="1:21" ht="15" customHeight="1" x14ac:dyDescent="0.4">
      <c r="A55" s="711"/>
      <c r="B55" s="813" t="s">
        <v>6</v>
      </c>
      <c r="C55" s="119" t="s">
        <v>68</v>
      </c>
      <c r="D55" s="83" t="s">
        <v>77</v>
      </c>
      <c r="E55" s="365">
        <v>4</v>
      </c>
      <c r="F55" s="19">
        <v>4</v>
      </c>
      <c r="G55" s="8"/>
      <c r="H55" s="147"/>
      <c r="I55" s="780"/>
      <c r="J55" s="755"/>
      <c r="K55" s="377" t="s">
        <v>94</v>
      </c>
      <c r="L55" s="184" t="s">
        <v>71</v>
      </c>
      <c r="M55" s="378" t="s">
        <v>167</v>
      </c>
      <c r="N55" s="814">
        <v>5</v>
      </c>
      <c r="O55" s="815">
        <v>2</v>
      </c>
      <c r="P55" s="379"/>
      <c r="Q55" s="380"/>
      <c r="R55" s="381"/>
      <c r="S55" s="369" t="s">
        <v>150</v>
      </c>
      <c r="T55" s="804"/>
      <c r="U55" s="856"/>
    </row>
    <row r="56" spans="1:21" ht="15" customHeight="1" thickBot="1" x14ac:dyDescent="0.45">
      <c r="A56" s="711"/>
      <c r="B56" s="807"/>
      <c r="C56" s="51" t="s">
        <v>71</v>
      </c>
      <c r="D56" s="80" t="s">
        <v>78</v>
      </c>
      <c r="E56" s="371">
        <v>4</v>
      </c>
      <c r="F56" s="46">
        <v>4</v>
      </c>
      <c r="G56" s="58"/>
      <c r="H56" s="299"/>
      <c r="I56" s="798"/>
      <c r="J56" s="755"/>
      <c r="K56" s="382" t="s">
        <v>96</v>
      </c>
      <c r="L56" s="341" t="s">
        <v>71</v>
      </c>
      <c r="M56" s="383" t="s">
        <v>168</v>
      </c>
      <c r="N56" s="810"/>
      <c r="O56" s="816"/>
      <c r="P56" s="374"/>
      <c r="Q56" s="375"/>
      <c r="R56" s="384"/>
      <c r="S56" s="384">
        <v>2</v>
      </c>
      <c r="T56" s="805"/>
      <c r="U56" s="856"/>
    </row>
    <row r="57" spans="1:21" ht="15" customHeight="1" x14ac:dyDescent="0.4">
      <c r="A57" s="711"/>
      <c r="B57" s="50" t="s">
        <v>94</v>
      </c>
      <c r="C57" s="325" t="s">
        <v>65</v>
      </c>
      <c r="D57" s="84" t="s">
        <v>95</v>
      </c>
      <c r="E57" s="365">
        <v>4</v>
      </c>
      <c r="F57" s="19">
        <v>3</v>
      </c>
      <c r="G57" s="9"/>
      <c r="H57" s="151"/>
      <c r="I57" s="808">
        <v>0</v>
      </c>
      <c r="J57" s="755"/>
      <c r="K57" s="817" t="s">
        <v>169</v>
      </c>
      <c r="L57" s="221" t="s">
        <v>71</v>
      </c>
      <c r="M57" s="385" t="s">
        <v>170</v>
      </c>
      <c r="N57" s="179">
        <v>5</v>
      </c>
      <c r="O57" s="180">
        <v>2</v>
      </c>
      <c r="P57" s="386"/>
      <c r="Q57" s="387"/>
      <c r="R57" s="841" t="s">
        <v>150</v>
      </c>
      <c r="S57" s="842"/>
      <c r="T57" s="803">
        <v>3</v>
      </c>
      <c r="U57" s="856"/>
    </row>
    <row r="58" spans="1:21" ht="15" customHeight="1" thickBot="1" x14ac:dyDescent="0.45">
      <c r="A58" s="711"/>
      <c r="B58" s="54" t="s">
        <v>96</v>
      </c>
      <c r="C58" s="166" t="s">
        <v>65</v>
      </c>
      <c r="D58" s="103" t="s">
        <v>97</v>
      </c>
      <c r="E58" s="371">
        <v>4</v>
      </c>
      <c r="F58" s="49">
        <v>3</v>
      </c>
      <c r="G58" s="17"/>
      <c r="H58" s="352"/>
      <c r="I58" s="798"/>
      <c r="J58" s="755"/>
      <c r="K58" s="840"/>
      <c r="L58" s="359" t="s">
        <v>71</v>
      </c>
      <c r="M58" s="385" t="s">
        <v>171</v>
      </c>
      <c r="N58" s="280">
        <v>5</v>
      </c>
      <c r="O58" s="281">
        <v>2</v>
      </c>
      <c r="P58" s="388"/>
      <c r="Q58" s="389"/>
      <c r="R58" s="390">
        <v>1</v>
      </c>
      <c r="S58" s="391">
        <v>1</v>
      </c>
      <c r="T58" s="805"/>
      <c r="U58" s="856"/>
    </row>
    <row r="59" spans="1:21" ht="15" customHeight="1" x14ac:dyDescent="0.4">
      <c r="A59" s="711"/>
      <c r="B59" s="819" t="s">
        <v>94</v>
      </c>
      <c r="C59" s="670" t="s">
        <v>71</v>
      </c>
      <c r="D59" s="79" t="s">
        <v>98</v>
      </c>
      <c r="E59" s="365">
        <v>4</v>
      </c>
      <c r="F59" s="392">
        <v>4</v>
      </c>
      <c r="G59" s="150"/>
      <c r="H59" s="151"/>
      <c r="I59" s="808">
        <v>0</v>
      </c>
      <c r="J59" s="755"/>
      <c r="K59" s="817" t="s">
        <v>80</v>
      </c>
      <c r="L59" s="822" t="s">
        <v>68</v>
      </c>
      <c r="M59" s="824" t="s">
        <v>172</v>
      </c>
      <c r="N59" s="809">
        <v>5</v>
      </c>
      <c r="O59" s="811">
        <v>6</v>
      </c>
      <c r="P59" s="801" t="s">
        <v>150</v>
      </c>
      <c r="Q59" s="802"/>
      <c r="R59" s="393"/>
      <c r="S59" s="394"/>
      <c r="T59" s="803"/>
      <c r="U59" s="856"/>
    </row>
    <row r="60" spans="1:21" ht="15" customHeight="1" thickBot="1" x14ac:dyDescent="0.45">
      <c r="A60" s="711"/>
      <c r="B60" s="800"/>
      <c r="C60" s="820"/>
      <c r="D60" s="395" t="s">
        <v>99</v>
      </c>
      <c r="E60" s="371">
        <v>4</v>
      </c>
      <c r="F60" s="396">
        <v>4</v>
      </c>
      <c r="G60" s="162"/>
      <c r="H60" s="147"/>
      <c r="I60" s="780"/>
      <c r="J60" s="755"/>
      <c r="K60" s="821"/>
      <c r="L60" s="823"/>
      <c r="M60" s="825"/>
      <c r="N60" s="810"/>
      <c r="O60" s="812"/>
      <c r="P60" s="353">
        <v>3</v>
      </c>
      <c r="Q60" s="327">
        <v>3</v>
      </c>
      <c r="R60" s="397"/>
      <c r="S60" s="398"/>
      <c r="T60" s="804"/>
      <c r="U60" s="856"/>
    </row>
    <row r="61" spans="1:21" ht="15" customHeight="1" thickBot="1" x14ac:dyDescent="0.45">
      <c r="A61" s="711"/>
      <c r="B61" s="23" t="s">
        <v>96</v>
      </c>
      <c r="C61" s="51" t="s">
        <v>71</v>
      </c>
      <c r="D61" s="77" t="s">
        <v>108</v>
      </c>
      <c r="E61" s="399">
        <v>4</v>
      </c>
      <c r="F61" s="400">
        <v>4</v>
      </c>
      <c r="G61" s="401"/>
      <c r="H61" s="299"/>
      <c r="I61" s="798"/>
      <c r="J61" s="755"/>
      <c r="K61" s="402"/>
      <c r="L61" s="260"/>
      <c r="M61" s="403"/>
      <c r="N61" s="260"/>
      <c r="O61" s="394"/>
      <c r="P61" s="834" t="s">
        <v>173</v>
      </c>
      <c r="Q61" s="835"/>
      <c r="R61" s="835"/>
      <c r="S61" s="836"/>
      <c r="T61" s="839"/>
      <c r="U61" s="856"/>
    </row>
    <row r="62" spans="1:21" ht="15" customHeight="1" x14ac:dyDescent="0.4">
      <c r="A62" s="711"/>
      <c r="B62" s="819" t="s">
        <v>94</v>
      </c>
      <c r="C62" s="670" t="s">
        <v>65</v>
      </c>
      <c r="D62" s="84" t="s">
        <v>100</v>
      </c>
      <c r="E62" s="404">
        <v>4</v>
      </c>
      <c r="F62" s="159">
        <v>4</v>
      </c>
      <c r="G62" s="9"/>
      <c r="H62" s="151"/>
      <c r="I62" s="808">
        <v>0</v>
      </c>
      <c r="J62" s="755"/>
      <c r="K62" s="828"/>
      <c r="L62" s="405"/>
      <c r="M62" s="406"/>
      <c r="N62" s="405"/>
      <c r="O62" s="387"/>
      <c r="P62" s="837"/>
      <c r="Q62" s="837"/>
      <c r="R62" s="837"/>
      <c r="S62" s="838"/>
      <c r="T62" s="791"/>
      <c r="U62" s="856"/>
    </row>
    <row r="63" spans="1:21" ht="15" customHeight="1" x14ac:dyDescent="0.4">
      <c r="A63" s="711"/>
      <c r="B63" s="826"/>
      <c r="C63" s="827"/>
      <c r="D63" s="407" t="s">
        <v>101</v>
      </c>
      <c r="E63" s="408">
        <v>4</v>
      </c>
      <c r="F63" s="409">
        <v>4</v>
      </c>
      <c r="G63" s="8"/>
      <c r="H63" s="147"/>
      <c r="I63" s="780"/>
      <c r="J63" s="755"/>
      <c r="K63" s="829"/>
      <c r="L63" s="410"/>
      <c r="M63" s="411"/>
      <c r="N63" s="410"/>
      <c r="O63" s="278"/>
      <c r="P63" s="837"/>
      <c r="Q63" s="837"/>
      <c r="R63" s="837"/>
      <c r="S63" s="838"/>
      <c r="T63" s="791"/>
      <c r="U63" s="856"/>
    </row>
    <row r="64" spans="1:21" ht="15" customHeight="1" thickBot="1" x14ac:dyDescent="0.45">
      <c r="A64" s="711"/>
      <c r="B64" s="21" t="s">
        <v>96</v>
      </c>
      <c r="C64" s="321" t="s">
        <v>65</v>
      </c>
      <c r="D64" s="412" t="s">
        <v>102</v>
      </c>
      <c r="E64" s="413">
        <v>4</v>
      </c>
      <c r="F64" s="414">
        <v>4</v>
      </c>
      <c r="G64" s="58"/>
      <c r="H64" s="299"/>
      <c r="I64" s="798"/>
      <c r="J64" s="755"/>
      <c r="K64" s="415"/>
      <c r="L64" s="410"/>
      <c r="M64" s="411"/>
      <c r="N64" s="410"/>
      <c r="O64" s="278"/>
      <c r="P64" s="837"/>
      <c r="Q64" s="837"/>
      <c r="R64" s="837"/>
      <c r="S64" s="838"/>
      <c r="T64" s="791"/>
      <c r="U64" s="856"/>
    </row>
    <row r="65" spans="1:21" ht="15" customHeight="1" x14ac:dyDescent="0.4">
      <c r="A65" s="711"/>
      <c r="B65" s="169" t="s">
        <v>80</v>
      </c>
      <c r="C65" s="325" t="s">
        <v>68</v>
      </c>
      <c r="D65" s="84" t="s">
        <v>174</v>
      </c>
      <c r="E65" s="365">
        <v>4</v>
      </c>
      <c r="F65" s="416">
        <v>3</v>
      </c>
      <c r="G65" s="9"/>
      <c r="H65" s="113"/>
      <c r="I65" s="808">
        <v>0</v>
      </c>
      <c r="J65" s="755"/>
      <c r="K65" s="417"/>
      <c r="L65" s="410"/>
      <c r="M65" s="411"/>
      <c r="N65" s="410"/>
      <c r="O65" s="278"/>
      <c r="P65" s="837"/>
      <c r="Q65" s="837"/>
      <c r="R65" s="837"/>
      <c r="S65" s="838"/>
      <c r="T65" s="791"/>
      <c r="U65" s="856"/>
    </row>
    <row r="66" spans="1:21" s="3" customFormat="1" ht="15" customHeight="1" thickBot="1" x14ac:dyDescent="0.45">
      <c r="A66" s="711"/>
      <c r="B66" s="23" t="s">
        <v>81</v>
      </c>
      <c r="C66" s="165" t="s">
        <v>71</v>
      </c>
      <c r="D66" s="102" t="s">
        <v>175</v>
      </c>
      <c r="E66" s="418">
        <v>4</v>
      </c>
      <c r="F66" s="419">
        <v>3</v>
      </c>
      <c r="G66" s="172"/>
      <c r="H66" s="420"/>
      <c r="I66" s="780"/>
      <c r="J66" s="755"/>
      <c r="K66" s="417"/>
      <c r="L66" s="410"/>
      <c r="M66" s="411"/>
      <c r="N66" s="410"/>
      <c r="O66" s="278"/>
      <c r="P66" s="837"/>
      <c r="Q66" s="837"/>
      <c r="R66" s="837"/>
      <c r="S66" s="838"/>
      <c r="T66" s="791"/>
      <c r="U66" s="856"/>
    </row>
    <row r="67" spans="1:21" s="3" customFormat="1" ht="15" customHeight="1" x14ac:dyDescent="0.4">
      <c r="A67" s="711"/>
      <c r="B67" s="421" t="s">
        <v>80</v>
      </c>
      <c r="C67" s="167" t="s">
        <v>45</v>
      </c>
      <c r="D67" s="105" t="s">
        <v>111</v>
      </c>
      <c r="E67" s="365">
        <v>4</v>
      </c>
      <c r="F67" s="392">
        <v>3</v>
      </c>
      <c r="G67" s="171"/>
      <c r="H67" s="422"/>
      <c r="I67" s="797">
        <v>0</v>
      </c>
      <c r="J67" s="755"/>
      <c r="K67" s="417"/>
      <c r="L67" s="410"/>
      <c r="M67" s="423"/>
      <c r="N67" s="410"/>
      <c r="O67" s="278"/>
      <c r="P67" s="837"/>
      <c r="Q67" s="837"/>
      <c r="R67" s="837"/>
      <c r="S67" s="838"/>
      <c r="T67" s="791"/>
      <c r="U67" s="856"/>
    </row>
    <row r="68" spans="1:21" s="3" customFormat="1" ht="15" customHeight="1" x14ac:dyDescent="0.4">
      <c r="A68" s="711"/>
      <c r="B68" s="55" t="s">
        <v>81</v>
      </c>
      <c r="C68" s="44" t="s">
        <v>71</v>
      </c>
      <c r="D68" s="102" t="s">
        <v>82</v>
      </c>
      <c r="E68" s="371">
        <v>4</v>
      </c>
      <c r="F68" s="424">
        <v>3</v>
      </c>
      <c r="G68" s="162"/>
      <c r="H68" s="147"/>
      <c r="I68" s="780"/>
      <c r="J68" s="755"/>
      <c r="K68" s="417"/>
      <c r="L68" s="410"/>
      <c r="M68" s="411"/>
      <c r="N68" s="410"/>
      <c r="O68" s="410"/>
      <c r="P68" s="837"/>
      <c r="Q68" s="837"/>
      <c r="R68" s="837"/>
      <c r="S68" s="838"/>
      <c r="T68" s="791"/>
      <c r="U68" s="856"/>
    </row>
    <row r="69" spans="1:21" ht="15" customHeight="1" thickBot="1" x14ac:dyDescent="0.45">
      <c r="A69" s="711"/>
      <c r="B69" s="55" t="s">
        <v>83</v>
      </c>
      <c r="C69" s="45" t="s">
        <v>71</v>
      </c>
      <c r="D69" s="103" t="s">
        <v>84</v>
      </c>
      <c r="E69" s="399">
        <v>4</v>
      </c>
      <c r="F69" s="400">
        <v>3</v>
      </c>
      <c r="G69" s="401"/>
      <c r="H69" s="299"/>
      <c r="I69" s="781"/>
      <c r="J69" s="755"/>
      <c r="K69" s="425"/>
      <c r="L69" s="426"/>
      <c r="M69" s="427"/>
      <c r="N69" s="426"/>
      <c r="O69" s="428"/>
      <c r="P69" s="837"/>
      <c r="Q69" s="837"/>
      <c r="R69" s="837"/>
      <c r="S69" s="838"/>
      <c r="T69" s="792"/>
      <c r="U69" s="856"/>
    </row>
    <row r="70" spans="1:21" ht="15" customHeight="1" x14ac:dyDescent="0.4">
      <c r="A70" s="711"/>
      <c r="B70" s="777" t="s">
        <v>103</v>
      </c>
      <c r="C70" s="429" t="s">
        <v>45</v>
      </c>
      <c r="D70" s="430" t="s">
        <v>104</v>
      </c>
      <c r="E70" s="170">
        <v>3</v>
      </c>
      <c r="F70" s="431">
        <v>2</v>
      </c>
      <c r="G70" s="29"/>
      <c r="H70" s="30"/>
      <c r="I70" s="779">
        <v>0</v>
      </c>
      <c r="J70" s="755"/>
      <c r="K70" s="782"/>
      <c r="L70" s="783"/>
      <c r="M70" s="783"/>
      <c r="N70" s="783"/>
      <c r="O70" s="783"/>
      <c r="P70" s="783"/>
      <c r="Q70" s="783"/>
      <c r="R70" s="783"/>
      <c r="S70" s="784"/>
      <c r="T70" s="791"/>
      <c r="U70" s="856"/>
    </row>
    <row r="71" spans="1:21" ht="15" customHeight="1" thickBot="1" x14ac:dyDescent="0.45">
      <c r="A71" s="711"/>
      <c r="B71" s="778"/>
      <c r="C71" s="432" t="s">
        <v>45</v>
      </c>
      <c r="D71" s="158" t="s">
        <v>105</v>
      </c>
      <c r="E71" s="148">
        <v>3</v>
      </c>
      <c r="F71" s="433">
        <v>2</v>
      </c>
      <c r="G71" s="62"/>
      <c r="H71" s="63"/>
      <c r="I71" s="779"/>
      <c r="J71" s="755"/>
      <c r="K71" s="785"/>
      <c r="L71" s="786"/>
      <c r="M71" s="786"/>
      <c r="N71" s="786"/>
      <c r="O71" s="786"/>
      <c r="P71" s="786"/>
      <c r="Q71" s="786"/>
      <c r="R71" s="786"/>
      <c r="S71" s="787"/>
      <c r="T71" s="791"/>
      <c r="U71" s="856"/>
    </row>
    <row r="72" spans="1:21" ht="15" customHeight="1" x14ac:dyDescent="0.4">
      <c r="A72" s="711"/>
      <c r="B72" s="434" t="s">
        <v>116</v>
      </c>
      <c r="C72" s="435" t="s">
        <v>45</v>
      </c>
      <c r="D72" s="161" t="s">
        <v>115</v>
      </c>
      <c r="E72" s="119">
        <v>2</v>
      </c>
      <c r="F72" s="146">
        <v>2</v>
      </c>
      <c r="G72" s="436"/>
      <c r="H72" s="437"/>
      <c r="I72" s="780"/>
      <c r="J72" s="755"/>
      <c r="K72" s="785"/>
      <c r="L72" s="786"/>
      <c r="M72" s="786"/>
      <c r="N72" s="786"/>
      <c r="O72" s="786"/>
      <c r="P72" s="786"/>
      <c r="Q72" s="786"/>
      <c r="R72" s="786"/>
      <c r="S72" s="787"/>
      <c r="T72" s="791"/>
      <c r="U72" s="856"/>
    </row>
    <row r="73" spans="1:21" ht="15" customHeight="1" x14ac:dyDescent="0.4">
      <c r="A73" s="711"/>
      <c r="B73" s="793" t="s">
        <v>106</v>
      </c>
      <c r="C73" s="429" t="s">
        <v>68</v>
      </c>
      <c r="D73" s="157" t="s">
        <v>114</v>
      </c>
      <c r="E73" s="160">
        <v>3</v>
      </c>
      <c r="F73" s="155">
        <v>2</v>
      </c>
      <c r="G73" s="37"/>
      <c r="H73" s="38"/>
      <c r="I73" s="780"/>
      <c r="J73" s="755"/>
      <c r="K73" s="785"/>
      <c r="L73" s="786"/>
      <c r="M73" s="786"/>
      <c r="N73" s="786"/>
      <c r="O73" s="786"/>
      <c r="P73" s="786"/>
      <c r="Q73" s="786"/>
      <c r="R73" s="786"/>
      <c r="S73" s="787"/>
      <c r="T73" s="791"/>
      <c r="U73" s="856"/>
    </row>
    <row r="74" spans="1:21" ht="15" customHeight="1" x14ac:dyDescent="0.4">
      <c r="A74" s="711"/>
      <c r="B74" s="793"/>
      <c r="C74" s="438" t="s">
        <v>71</v>
      </c>
      <c r="D74" s="153" t="s">
        <v>113</v>
      </c>
      <c r="E74" s="88">
        <v>3</v>
      </c>
      <c r="F74" s="149">
        <v>2</v>
      </c>
      <c r="G74" s="168"/>
      <c r="H74" s="437"/>
      <c r="I74" s="780"/>
      <c r="J74" s="755"/>
      <c r="K74" s="785"/>
      <c r="L74" s="786"/>
      <c r="M74" s="786"/>
      <c r="N74" s="786"/>
      <c r="O74" s="786"/>
      <c r="P74" s="786"/>
      <c r="Q74" s="786"/>
      <c r="R74" s="786"/>
      <c r="S74" s="787"/>
      <c r="T74" s="791"/>
      <c r="U74" s="856"/>
    </row>
    <row r="75" spans="1:21" ht="15" customHeight="1" thickBot="1" x14ac:dyDescent="0.45">
      <c r="A75" s="712"/>
      <c r="B75" s="794"/>
      <c r="C75" s="439" t="s">
        <v>65</v>
      </c>
      <c r="D75" s="154" t="s">
        <v>112</v>
      </c>
      <c r="E75" s="51">
        <v>3</v>
      </c>
      <c r="F75" s="152">
        <v>2</v>
      </c>
      <c r="G75" s="62"/>
      <c r="H75" s="218"/>
      <c r="I75" s="781"/>
      <c r="J75" s="843"/>
      <c r="K75" s="788"/>
      <c r="L75" s="789"/>
      <c r="M75" s="789"/>
      <c r="N75" s="786"/>
      <c r="O75" s="786"/>
      <c r="P75" s="789"/>
      <c r="Q75" s="789"/>
      <c r="R75" s="789"/>
      <c r="S75" s="790"/>
      <c r="T75" s="792"/>
      <c r="U75" s="857"/>
    </row>
    <row r="76" spans="1:21" ht="14.4" customHeight="1" thickBot="1" x14ac:dyDescent="0.45">
      <c r="A76" s="695" t="s">
        <v>0</v>
      </c>
      <c r="B76" s="795"/>
      <c r="C76" s="795"/>
      <c r="D76" s="796"/>
      <c r="E76" s="120"/>
      <c r="F76" s="121"/>
      <c r="G76" s="440">
        <v>0</v>
      </c>
      <c r="H76" s="441">
        <v>0</v>
      </c>
      <c r="I76" s="442"/>
      <c r="J76" s="443"/>
      <c r="K76" s="444"/>
      <c r="L76" s="445"/>
      <c r="M76" s="445"/>
      <c r="N76" s="446"/>
      <c r="O76" s="446"/>
      <c r="P76" s="447">
        <v>15</v>
      </c>
      <c r="Q76" s="447">
        <v>15</v>
      </c>
      <c r="R76" s="440">
        <v>18</v>
      </c>
      <c r="S76" s="448">
        <v>15</v>
      </c>
      <c r="T76" s="449"/>
      <c r="U76" s="450"/>
    </row>
    <row r="77" spans="1:21" ht="14.4" customHeight="1" thickBot="1" x14ac:dyDescent="0.45">
      <c r="A77" s="768" t="s">
        <v>22</v>
      </c>
      <c r="B77" s="769"/>
      <c r="C77" s="769"/>
      <c r="D77" s="770"/>
      <c r="E77" s="451"/>
      <c r="F77" s="452"/>
      <c r="G77" s="453">
        <v>30</v>
      </c>
      <c r="H77" s="454">
        <v>30</v>
      </c>
      <c r="I77" s="455"/>
      <c r="J77" s="456"/>
      <c r="K77" s="457"/>
      <c r="L77" s="458"/>
      <c r="M77" s="458"/>
      <c r="N77" s="458"/>
      <c r="O77" s="458"/>
      <c r="P77" s="459">
        <v>30</v>
      </c>
      <c r="Q77" s="459">
        <v>29</v>
      </c>
      <c r="R77" s="459">
        <v>29</v>
      </c>
      <c r="S77" s="459">
        <v>26</v>
      </c>
      <c r="T77" s="109">
        <v>174</v>
      </c>
      <c r="U77" s="110"/>
    </row>
    <row r="78" spans="1:21" ht="14.4" customHeight="1" thickBot="1" x14ac:dyDescent="0.45">
      <c r="A78" s="771" t="s">
        <v>24</v>
      </c>
      <c r="B78" s="772"/>
      <c r="C78" s="772"/>
      <c r="D78" s="773"/>
      <c r="E78" s="460"/>
      <c r="F78" s="461"/>
      <c r="G78" s="462">
        <v>3</v>
      </c>
      <c r="H78" s="463">
        <v>3</v>
      </c>
      <c r="I78" s="455"/>
      <c r="J78" s="456"/>
      <c r="K78" s="457"/>
      <c r="L78" s="458"/>
      <c r="M78" s="458"/>
      <c r="N78" s="458"/>
      <c r="O78" s="458"/>
      <c r="P78" s="464">
        <v>3</v>
      </c>
      <c r="Q78" s="464">
        <v>3</v>
      </c>
      <c r="R78" s="464">
        <v>3</v>
      </c>
      <c r="S78" s="464">
        <v>3</v>
      </c>
      <c r="T78" s="465">
        <v>18</v>
      </c>
      <c r="U78" s="466"/>
    </row>
    <row r="79" spans="1:21" ht="14.4" customHeight="1" thickBot="1" x14ac:dyDescent="0.45">
      <c r="A79" s="774" t="s">
        <v>25</v>
      </c>
      <c r="B79" s="775"/>
      <c r="C79" s="775"/>
      <c r="D79" s="776"/>
      <c r="E79" s="467"/>
      <c r="F79" s="468"/>
      <c r="G79" s="453">
        <f t="shared" ref="G79:T79" si="0">SUM(G77:G78)</f>
        <v>33</v>
      </c>
      <c r="H79" s="454">
        <f t="shared" si="0"/>
        <v>33</v>
      </c>
      <c r="I79" s="469"/>
      <c r="J79" s="470"/>
      <c r="K79" s="457"/>
      <c r="L79" s="458"/>
      <c r="M79" s="458"/>
      <c r="N79" s="458"/>
      <c r="O79" s="458"/>
      <c r="P79" s="471">
        <f t="shared" ref="P79:S79" si="1">P77+P78</f>
        <v>33</v>
      </c>
      <c r="Q79" s="471">
        <f t="shared" si="1"/>
        <v>32</v>
      </c>
      <c r="R79" s="471">
        <f t="shared" si="1"/>
        <v>32</v>
      </c>
      <c r="S79" s="471">
        <f t="shared" si="1"/>
        <v>29</v>
      </c>
      <c r="T79" s="109">
        <f t="shared" si="0"/>
        <v>192</v>
      </c>
      <c r="U79" s="472"/>
    </row>
    <row r="82" spans="7:19" x14ac:dyDescent="0.4">
      <c r="G82" s="4"/>
      <c r="H82" s="4"/>
      <c r="R82" s="4"/>
      <c r="S82" s="4"/>
    </row>
    <row r="83" spans="7:19" x14ac:dyDescent="0.4">
      <c r="G83" s="4"/>
      <c r="H83" s="4"/>
      <c r="R83" s="4"/>
      <c r="S83" s="4"/>
    </row>
    <row r="84" spans="7:19" x14ac:dyDescent="0.4">
      <c r="G84" s="4"/>
      <c r="H84" s="4"/>
      <c r="R84" s="4"/>
      <c r="S84" s="4"/>
    </row>
  </sheetData>
  <mergeCells count="144">
    <mergeCell ref="A1:U1"/>
    <mergeCell ref="A2:U2"/>
    <mergeCell ref="A3:A4"/>
    <mergeCell ref="B3:B4"/>
    <mergeCell ref="C3:D4"/>
    <mergeCell ref="E3:E4"/>
    <mergeCell ref="F3:F4"/>
    <mergeCell ref="G3:H3"/>
    <mergeCell ref="I3:I4"/>
    <mergeCell ref="J3:J4"/>
    <mergeCell ref="T3:T4"/>
    <mergeCell ref="U3:U4"/>
    <mergeCell ref="A5:A36"/>
    <mergeCell ref="B5:B8"/>
    <mergeCell ref="I5:I8"/>
    <mergeCell ref="J5:J8"/>
    <mergeCell ref="K5:K9"/>
    <mergeCell ref="T5:T9"/>
    <mergeCell ref="U5:U9"/>
    <mergeCell ref="B9:B12"/>
    <mergeCell ref="K3:K4"/>
    <mergeCell ref="L3:M4"/>
    <mergeCell ref="N3:N4"/>
    <mergeCell ref="O3:O4"/>
    <mergeCell ref="P3:Q3"/>
    <mergeCell ref="R3:S3"/>
    <mergeCell ref="I9:I12"/>
    <mergeCell ref="J9:J12"/>
    <mergeCell ref="K10:K12"/>
    <mergeCell ref="T10:T12"/>
    <mergeCell ref="U10:U12"/>
    <mergeCell ref="B13:B16"/>
    <mergeCell ref="I13:I16"/>
    <mergeCell ref="J13:J16"/>
    <mergeCell ref="K13:K17"/>
    <mergeCell ref="T13:T17"/>
    <mergeCell ref="U13:U17"/>
    <mergeCell ref="B17:B18"/>
    <mergeCell ref="I17:I18"/>
    <mergeCell ref="J17:J18"/>
    <mergeCell ref="B19:B20"/>
    <mergeCell ref="I19:I20"/>
    <mergeCell ref="J19:J20"/>
    <mergeCell ref="K20:K21"/>
    <mergeCell ref="T20:T21"/>
    <mergeCell ref="U20:U21"/>
    <mergeCell ref="B25:B30"/>
    <mergeCell ref="I25:I30"/>
    <mergeCell ref="J25:J30"/>
    <mergeCell ref="T26:T29"/>
    <mergeCell ref="U26:U29"/>
    <mergeCell ref="K28:K29"/>
    <mergeCell ref="B21:B24"/>
    <mergeCell ref="I21:I24"/>
    <mergeCell ref="J21:J24"/>
    <mergeCell ref="K22:K23"/>
    <mergeCell ref="T22:T23"/>
    <mergeCell ref="U22:U23"/>
    <mergeCell ref="K24:K25"/>
    <mergeCell ref="P24:Q24"/>
    <mergeCell ref="T24:T25"/>
    <mergeCell ref="U24:U25"/>
    <mergeCell ref="T37:T40"/>
    <mergeCell ref="U37:U75"/>
    <mergeCell ref="K38:K39"/>
    <mergeCell ref="I40:I42"/>
    <mergeCell ref="R41:S41"/>
    <mergeCell ref="T41:T45"/>
    <mergeCell ref="K42:K44"/>
    <mergeCell ref="B31:B34"/>
    <mergeCell ref="G31:H31"/>
    <mergeCell ref="I31:I34"/>
    <mergeCell ref="J31:J34"/>
    <mergeCell ref="K31:K34"/>
    <mergeCell ref="B35:B36"/>
    <mergeCell ref="G35:H35"/>
    <mergeCell ref="I35:I36"/>
    <mergeCell ref="J35:J36"/>
    <mergeCell ref="K35:K36"/>
    <mergeCell ref="I43:I45"/>
    <mergeCell ref="I46:I49"/>
    <mergeCell ref="K46:K47"/>
    <mergeCell ref="L46:L47"/>
    <mergeCell ref="M46:M47"/>
    <mergeCell ref="N46:N47"/>
    <mergeCell ref="L50:L51"/>
    <mergeCell ref="M50:M51"/>
    <mergeCell ref="N50:N51"/>
    <mergeCell ref="O50:O51"/>
    <mergeCell ref="T59:T60"/>
    <mergeCell ref="P61:S69"/>
    <mergeCell ref="T61:T69"/>
    <mergeCell ref="I57:I58"/>
    <mergeCell ref="K57:K58"/>
    <mergeCell ref="R57:S57"/>
    <mergeCell ref="T57:T58"/>
    <mergeCell ref="I65:I66"/>
    <mergeCell ref="I67:I69"/>
    <mergeCell ref="N59:N60"/>
    <mergeCell ref="O59:O60"/>
    <mergeCell ref="P59:Q59"/>
    <mergeCell ref="J37:J75"/>
    <mergeCell ref="O46:O47"/>
    <mergeCell ref="P46:Q46"/>
    <mergeCell ref="T46:T49"/>
    <mergeCell ref="K48:K49"/>
    <mergeCell ref="L48:L49"/>
    <mergeCell ref="M48:M49"/>
    <mergeCell ref="N48:N49"/>
    <mergeCell ref="O48:O49"/>
    <mergeCell ref="B59:B60"/>
    <mergeCell ref="C59:C60"/>
    <mergeCell ref="I59:I61"/>
    <mergeCell ref="K59:K60"/>
    <mergeCell ref="L59:L60"/>
    <mergeCell ref="M59:M60"/>
    <mergeCell ref="B62:B63"/>
    <mergeCell ref="C62:C63"/>
    <mergeCell ref="I62:I64"/>
    <mergeCell ref="K62:K63"/>
    <mergeCell ref="A77:D77"/>
    <mergeCell ref="A78:D78"/>
    <mergeCell ref="A79:D79"/>
    <mergeCell ref="B70:B71"/>
    <mergeCell ref="I70:I75"/>
    <mergeCell ref="K70:S75"/>
    <mergeCell ref="T70:T75"/>
    <mergeCell ref="B73:B75"/>
    <mergeCell ref="A76:D76"/>
    <mergeCell ref="A37:A75"/>
    <mergeCell ref="I37:I39"/>
    <mergeCell ref="B48:B49"/>
    <mergeCell ref="R50:S50"/>
    <mergeCell ref="T50:T52"/>
    <mergeCell ref="B53:B54"/>
    <mergeCell ref="I53:I56"/>
    <mergeCell ref="N53:N54"/>
    <mergeCell ref="O53:O54"/>
    <mergeCell ref="T53:T56"/>
    <mergeCell ref="B55:B56"/>
    <mergeCell ref="N55:N56"/>
    <mergeCell ref="O55:O56"/>
    <mergeCell ref="I50:I52"/>
    <mergeCell ref="K50:K51"/>
  </mergeCells>
  <phoneticPr fontId="5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8BC4DF17F45BB408FCBA23CC24AF765" ma:contentTypeVersion="12" ma:contentTypeDescription="새 문서를 만듭니다." ma:contentTypeScope="" ma:versionID="21ff283adf8e7ef01b269185e1c997a0">
  <xsd:schema xmlns:xsd="http://www.w3.org/2001/XMLSchema" xmlns:xs="http://www.w3.org/2001/XMLSchema" xmlns:p="http://schemas.microsoft.com/office/2006/metadata/properties" xmlns:ns3="d8b632a0-15bf-45b0-8378-50c04537826e" targetNamespace="http://schemas.microsoft.com/office/2006/metadata/properties" ma:root="true" ma:fieldsID="c729eebe051a266cd1f884956e2022cf" ns3:_="">
    <xsd:import namespace="d8b632a0-15bf-45b0-8378-50c04537826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b632a0-15bf-45b0-8378-50c0453782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8b632a0-15bf-45b0-8378-50c04537826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A51E26-62DC-4974-8CCC-346CD5640E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b632a0-15bf-45b0-8378-50c0453782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E8335F-1D60-44CD-AC33-4E5FE66ED5E4}">
  <ds:schemaRefs>
    <ds:schemaRef ds:uri="http://purl.org/dc/elements/1.1/"/>
    <ds:schemaRef ds:uri="http://schemas.microsoft.com/office/infopath/2007/PartnerControls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d8b632a0-15bf-45b0-8378-50c04537826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66EAE7C-C35F-4021-B0FA-21EFC04236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94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2026학년도 신입생 3개년 편제(0713안)</vt:lpstr>
      <vt:lpstr>2025학년도 전학년 교육과정 편제(안)</vt:lpstr>
      <vt:lpstr>'2026학년도 신입생 3개년 편제(0713안)'!Print_Area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14</cp:revision>
  <cp:lastPrinted>2025-07-15T07:15:57Z</cp:lastPrinted>
  <dcterms:created xsi:type="dcterms:W3CDTF">2022-04-18T03:36:49Z</dcterms:created>
  <dcterms:modified xsi:type="dcterms:W3CDTF">2025-12-04T01:19:02Z</dcterms:modified>
  <cp:version>1200.0100.01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0x01010018BC4DF17F45BB408FCBA23CC24AF765</vt:lpwstr>
  </property>
</Properties>
</file>