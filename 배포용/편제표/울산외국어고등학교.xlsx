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\2026년\교육과정\교육과정 편제표\"/>
    </mc:Choice>
  </mc:AlternateContent>
  <xr:revisionPtr revIDLastSave="0" documentId="13_ncr:1_{10F24EB4-53D6-4A89-BAB4-8F2EC2697C5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2026학년도 신입생 3개년 편제표(영어과)" sheetId="8" r:id="rId1"/>
    <sheet name="2026학년도 신입생 3개년 편제표(중러일아)" sheetId="10" r:id="rId2"/>
  </sheets>
  <definedNames>
    <definedName name="_xlnm.Print_Area" localSheetId="0">'2026학년도 신입생 3개년 편제표(영어과)'!$A$1:$O$77</definedName>
    <definedName name="_xlnm.Print_Area" localSheetId="1">'2026학년도 신입생 3개년 편제표(중러일아)'!$A$1:$O$79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1" i="10" l="1"/>
  <c r="N51" i="8" l="1"/>
  <c r="N11" i="10" l="1"/>
  <c r="N5" i="10"/>
  <c r="N69" i="10" l="1"/>
  <c r="I71" i="10"/>
  <c r="I73" i="10" s="1"/>
  <c r="J71" i="10"/>
  <c r="J73" i="10" s="1"/>
  <c r="K71" i="10"/>
  <c r="K73" i="10" s="1"/>
  <c r="L71" i="10"/>
  <c r="L73" i="10" s="1"/>
  <c r="M71" i="10"/>
  <c r="M73" i="10" s="1"/>
  <c r="H71" i="10"/>
  <c r="N59" i="10"/>
  <c r="N51" i="10"/>
  <c r="N47" i="10"/>
  <c r="N40" i="10"/>
  <c r="N36" i="10"/>
  <c r="N34" i="10"/>
  <c r="N28" i="10"/>
  <c r="N23" i="10"/>
  <c r="N21" i="10"/>
  <c r="N19" i="10"/>
  <c r="N17" i="10"/>
  <c r="I69" i="8"/>
  <c r="J69" i="8"/>
  <c r="K69" i="8"/>
  <c r="L69" i="8"/>
  <c r="M69" i="8"/>
  <c r="H69" i="8"/>
  <c r="N65" i="8"/>
  <c r="N61" i="8"/>
  <c r="N59" i="8"/>
  <c r="N47" i="8"/>
  <c r="N40" i="8"/>
  <c r="N36" i="8"/>
  <c r="N34" i="8"/>
  <c r="N28" i="8"/>
  <c r="N23" i="8"/>
  <c r="N21" i="8"/>
  <c r="N19" i="8"/>
  <c r="N17" i="8"/>
  <c r="N11" i="8"/>
  <c r="N5" i="8"/>
  <c r="N72" i="10"/>
  <c r="N71" i="10" l="1"/>
  <c r="N69" i="8"/>
  <c r="H73" i="10"/>
  <c r="N73" i="10" s="1"/>
  <c r="M71" i="8"/>
  <c r="L71" i="8"/>
  <c r="K71" i="8"/>
  <c r="J71" i="8"/>
  <c r="I71" i="8"/>
  <c r="H71" i="8"/>
  <c r="N70" i="8"/>
  <c r="N71" i="8" l="1"/>
</calcChain>
</file>

<file path=xl/sharedStrings.xml><?xml version="1.0" encoding="utf-8"?>
<sst xmlns="http://schemas.openxmlformats.org/spreadsheetml/2006/main" count="372" uniqueCount="152">
  <si>
    <t>구분</t>
    <phoneticPr fontId="2" type="noConversion"/>
  </si>
  <si>
    <t>교과
(군)</t>
    <phoneticPr fontId="2" type="noConversion"/>
  </si>
  <si>
    <t>세부과목</t>
  </si>
  <si>
    <t>1학년</t>
    <phoneticPr fontId="2" type="noConversion"/>
  </si>
  <si>
    <t>2학년</t>
  </si>
  <si>
    <t>3학년</t>
  </si>
  <si>
    <t>1학기</t>
  </si>
  <si>
    <t>2학기</t>
  </si>
  <si>
    <t>학
교
지
정
교
육
과
정</t>
    <phoneticPr fontId="2" type="noConversion"/>
  </si>
  <si>
    <t>국어</t>
  </si>
  <si>
    <t>공통</t>
    <phoneticPr fontId="2" type="noConversion"/>
  </si>
  <si>
    <t>일반</t>
    <phoneticPr fontId="2" type="noConversion"/>
  </si>
  <si>
    <t>수학</t>
  </si>
  <si>
    <t>영어</t>
  </si>
  <si>
    <t>사회</t>
  </si>
  <si>
    <t>과학</t>
    <phoneticPr fontId="2" type="noConversion"/>
  </si>
  <si>
    <t>체육</t>
  </si>
  <si>
    <t>진로</t>
    <phoneticPr fontId="2" type="noConversion"/>
  </si>
  <si>
    <t>예술</t>
    <phoneticPr fontId="2" type="noConversion"/>
  </si>
  <si>
    <t>음악</t>
    <phoneticPr fontId="2" type="noConversion"/>
  </si>
  <si>
    <t>교양</t>
    <phoneticPr fontId="2" type="noConversion"/>
  </si>
  <si>
    <t>창의적 체험활동</t>
  </si>
  <si>
    <t>확률과 통계</t>
    <phoneticPr fontId="2" type="noConversion"/>
  </si>
  <si>
    <t>사회</t>
    <phoneticPr fontId="2" type="noConversion"/>
  </si>
  <si>
    <t>공통국어1</t>
    <phoneticPr fontId="2" type="noConversion"/>
  </si>
  <si>
    <t>공통수학1</t>
    <phoneticPr fontId="2" type="noConversion"/>
  </si>
  <si>
    <t>공통수학2</t>
    <phoneticPr fontId="2" type="noConversion"/>
  </si>
  <si>
    <t>공통영어1</t>
    <phoneticPr fontId="2" type="noConversion"/>
  </si>
  <si>
    <t>공통영어2</t>
    <phoneticPr fontId="2" type="noConversion"/>
  </si>
  <si>
    <t>한국사1</t>
    <phoneticPr fontId="2" type="noConversion"/>
  </si>
  <si>
    <t>한국사2</t>
    <phoneticPr fontId="2" type="noConversion"/>
  </si>
  <si>
    <t>통합사회1</t>
    <phoneticPr fontId="2" type="noConversion"/>
  </si>
  <si>
    <t>통합사회2</t>
    <phoneticPr fontId="2" type="noConversion"/>
  </si>
  <si>
    <t>통합과학1</t>
    <phoneticPr fontId="2" type="noConversion"/>
  </si>
  <si>
    <t>통합과학2</t>
    <phoneticPr fontId="2" type="noConversion"/>
  </si>
  <si>
    <t>과학탐구실험1</t>
    <phoneticPr fontId="2" type="noConversion"/>
  </si>
  <si>
    <t>체육1</t>
    <phoneticPr fontId="2" type="noConversion"/>
  </si>
  <si>
    <t>체육2</t>
    <phoneticPr fontId="2" type="noConversion"/>
  </si>
  <si>
    <t>진로와 직업</t>
    <phoneticPr fontId="2" type="noConversion"/>
  </si>
  <si>
    <t>독서와 작문</t>
    <phoneticPr fontId="2" type="noConversion"/>
  </si>
  <si>
    <t>대수</t>
    <phoneticPr fontId="2" type="noConversion"/>
  </si>
  <si>
    <t>스포츠 생활1</t>
    <phoneticPr fontId="2" type="noConversion"/>
  </si>
  <si>
    <t>융합</t>
    <phoneticPr fontId="2" type="noConversion"/>
  </si>
  <si>
    <t>스포츠 문화</t>
    <phoneticPr fontId="2" type="noConversion"/>
  </si>
  <si>
    <t>스포츠 과학</t>
    <phoneticPr fontId="2" type="noConversion"/>
  </si>
  <si>
    <t>미적분Ⅰ</t>
    <phoneticPr fontId="2" type="noConversion"/>
  </si>
  <si>
    <t>기준
학점</t>
    <phoneticPr fontId="2" type="noConversion"/>
  </si>
  <si>
    <t>운영학점</t>
    <phoneticPr fontId="2" type="noConversion"/>
  </si>
  <si>
    <t>이수 
학점</t>
    <phoneticPr fontId="2" type="noConversion"/>
  </si>
  <si>
    <t>필수
이수
학점</t>
    <phoneticPr fontId="2" type="noConversion"/>
  </si>
  <si>
    <t>일반</t>
  </si>
  <si>
    <t>과학탐구실험2</t>
  </si>
  <si>
    <t>학
생
선
택
교
육
과
정</t>
    <phoneticPr fontId="2" type="noConversion"/>
  </si>
  <si>
    <t>이수학점 소계</t>
    <phoneticPr fontId="2" type="noConversion"/>
  </si>
  <si>
    <t>학기별 총 이수 학점</t>
    <phoneticPr fontId="2" type="noConversion"/>
  </si>
  <si>
    <t>문학</t>
    <phoneticPr fontId="2" type="noConversion"/>
  </si>
  <si>
    <t>스포츠 생활2</t>
    <phoneticPr fontId="2" type="noConversion"/>
  </si>
  <si>
    <t>울산외국어고등학교</t>
    <phoneticPr fontId="2" type="noConversion"/>
  </si>
  <si>
    <t>국제</t>
    <phoneticPr fontId="2" type="noConversion"/>
  </si>
  <si>
    <t>외국어(전공)</t>
    <phoneticPr fontId="2" type="noConversion"/>
  </si>
  <si>
    <t>외국어(부전공)</t>
    <phoneticPr fontId="2" type="noConversion"/>
  </si>
  <si>
    <t>생태와 환경</t>
    <phoneticPr fontId="2" type="noConversion"/>
  </si>
  <si>
    <t>주제 탐구 독서</t>
    <phoneticPr fontId="2" type="noConversion"/>
  </si>
  <si>
    <t>공통국어2</t>
    <phoneticPr fontId="2" type="noConversion"/>
  </si>
  <si>
    <t>심화 영어 독해Ⅰ</t>
    <phoneticPr fontId="2" type="noConversion"/>
  </si>
  <si>
    <t>심화 영어 회화Ⅱ</t>
    <phoneticPr fontId="2" type="noConversion"/>
  </si>
  <si>
    <t>심화 영어 독해Ⅱ</t>
    <phoneticPr fontId="2" type="noConversion"/>
  </si>
  <si>
    <t>심화 영어Ⅱ</t>
    <phoneticPr fontId="2" type="noConversion"/>
  </si>
  <si>
    <t>심화 영어Ⅰ</t>
    <phoneticPr fontId="2" type="noConversion"/>
  </si>
  <si>
    <t>심화 영어 작문Ⅰ</t>
    <phoneticPr fontId="2" type="noConversion"/>
  </si>
  <si>
    <t>논술</t>
    <phoneticPr fontId="2" type="noConversion"/>
  </si>
  <si>
    <t>인간과 철학</t>
    <phoneticPr fontId="2" type="noConversion"/>
  </si>
  <si>
    <t>인간과 심리</t>
    <phoneticPr fontId="2" type="noConversion"/>
  </si>
  <si>
    <t>세계시민과 지리</t>
    <phoneticPr fontId="2" type="noConversion"/>
  </si>
  <si>
    <t>융합과학 탐구</t>
    <phoneticPr fontId="2" type="noConversion"/>
  </si>
  <si>
    <t>세계사</t>
  </si>
  <si>
    <t>전공어 회화Ⅰ</t>
    <phoneticPr fontId="2" type="noConversion"/>
  </si>
  <si>
    <t>전공어 회화Ⅱ</t>
    <phoneticPr fontId="2" type="noConversion"/>
  </si>
  <si>
    <t>전공 기초 전공어</t>
    <phoneticPr fontId="2" type="noConversion"/>
  </si>
  <si>
    <t>전공어 독해와 작문Ⅰ</t>
    <phoneticPr fontId="2" type="noConversion"/>
  </si>
  <si>
    <t>심화 전공어</t>
    <phoneticPr fontId="2" type="noConversion"/>
  </si>
  <si>
    <t>전공어 독해와 작문Ⅱ</t>
    <phoneticPr fontId="2" type="noConversion"/>
  </si>
  <si>
    <t>심화 영어 작문Ⅱ</t>
    <phoneticPr fontId="2" type="noConversion"/>
  </si>
  <si>
    <t>물리학</t>
    <phoneticPr fontId="2" type="noConversion"/>
  </si>
  <si>
    <t>화학</t>
    <phoneticPr fontId="2" type="noConversion"/>
  </si>
  <si>
    <t>생명과학</t>
    <phoneticPr fontId="2" type="noConversion"/>
  </si>
  <si>
    <t>지구과학</t>
    <phoneticPr fontId="2" type="noConversion"/>
  </si>
  <si>
    <t>논리와 사고</t>
    <phoneticPr fontId="2" type="noConversion"/>
  </si>
  <si>
    <t>☞ 표기방법 안내</t>
  </si>
  <si>
    <t xml:space="preserve"> ◦ 특목고 과목(보통교과 표6)을 진로선택과목으로 가져올 때 * 표기</t>
  </si>
  <si>
    <t xml:space="preserve"> ◦ 고시외과목은 ☆ 표기</t>
  </si>
  <si>
    <t xml:space="preserve"> ◦ 교과특성화학교 관련 과목은 ■ 표기</t>
  </si>
  <si>
    <t>☞ 교차집중표기법: 교차집중(↔)</t>
  </si>
  <si>
    <t xml:space="preserve"> ◦ 전문교과를 진로선택과목으로 가져올 때 ★ 표기</t>
    <phoneticPr fontId="2" type="noConversion"/>
  </si>
  <si>
    <t xml:space="preserve"> ◦ 특목고 과목(보통교과 표6)을 진로선택과목으로 가져올 때 * 표기</t>
    <phoneticPr fontId="2" type="noConversion"/>
  </si>
  <si>
    <t>☞ 교차집중표기법: 교차집중(↔)</t>
    <phoneticPr fontId="2" type="noConversion"/>
  </si>
  <si>
    <t xml:space="preserve"> ◦ 음악감상과 비평↔진로와 직업</t>
    <phoneticPr fontId="2" type="noConversion"/>
  </si>
  <si>
    <t xml:space="preserve"> ◦ 음악↔논리와 사고</t>
    <phoneticPr fontId="2" type="noConversion"/>
  </si>
  <si>
    <t>☞ 학과별 교차집중과목(영어과↔중러일아과)</t>
    <phoneticPr fontId="2" type="noConversion"/>
  </si>
  <si>
    <t>택1</t>
    <phoneticPr fontId="2" type="noConversion"/>
  </si>
  <si>
    <t>택2</t>
    <phoneticPr fontId="2" type="noConversion"/>
  </si>
  <si>
    <t>과목
선택</t>
    <phoneticPr fontId="2" type="noConversion"/>
  </si>
  <si>
    <t>과목선택</t>
    <phoneticPr fontId="2" type="noConversion"/>
  </si>
  <si>
    <t>화법과 언어</t>
    <phoneticPr fontId="2" type="noConversion"/>
  </si>
  <si>
    <t>융합</t>
    <phoneticPr fontId="2" type="noConversion"/>
  </si>
  <si>
    <t>진로</t>
    <phoneticPr fontId="2" type="noConversion"/>
  </si>
  <si>
    <t>전공 문화</t>
    <phoneticPr fontId="2" type="noConversion"/>
  </si>
  <si>
    <t>독서와 작문</t>
    <phoneticPr fontId="2" type="noConversion"/>
  </si>
  <si>
    <t>화법과 언어</t>
    <phoneticPr fontId="2" type="noConversion"/>
  </si>
  <si>
    <t>심화 영어Ⅰ</t>
    <phoneticPr fontId="2" type="noConversion"/>
  </si>
  <si>
    <t>심화 영어 독해Ⅰ</t>
    <phoneticPr fontId="2" type="noConversion"/>
  </si>
  <si>
    <t>국제</t>
    <phoneticPr fontId="2" type="noConversion"/>
  </si>
  <si>
    <t>진로</t>
    <phoneticPr fontId="2" type="noConversion"/>
  </si>
  <si>
    <t>사회과제 연구</t>
    <phoneticPr fontId="2" type="noConversion"/>
  </si>
  <si>
    <t>일반</t>
    <phoneticPr fontId="2" type="noConversion"/>
  </si>
  <si>
    <t>논술</t>
    <phoneticPr fontId="2" type="noConversion"/>
  </si>
  <si>
    <t>전공기초 전공어</t>
    <phoneticPr fontId="2" type="noConversion"/>
  </si>
  <si>
    <t>경제</t>
    <phoneticPr fontId="2" type="noConversion"/>
  </si>
  <si>
    <t>국제법</t>
    <phoneticPr fontId="2" type="noConversion"/>
  </si>
  <si>
    <t>진로</t>
    <phoneticPr fontId="2" type="noConversion"/>
  </si>
  <si>
    <t>현대사회와 윤리</t>
    <phoneticPr fontId="2" type="noConversion"/>
  </si>
  <si>
    <t>2026학년도 신입생 3개년 교육과정 편제표(영어과)</t>
    <phoneticPr fontId="2" type="noConversion"/>
  </si>
  <si>
    <t>2026학년도 신입생 3개년 교육과정 편제표(중러일아)</t>
    <phoneticPr fontId="2" type="noConversion"/>
  </si>
  <si>
    <t>융합</t>
    <phoneticPr fontId="2" type="noConversion"/>
  </si>
  <si>
    <t>전공 문화</t>
    <phoneticPr fontId="2" type="noConversion"/>
  </si>
  <si>
    <t>생명과학</t>
  </si>
  <si>
    <t>지구과학</t>
  </si>
  <si>
    <t>택1</t>
    <phoneticPr fontId="2" type="noConversion"/>
  </si>
  <si>
    <t>사회와 문화</t>
    <phoneticPr fontId="2" type="noConversion"/>
  </si>
  <si>
    <t>동아시아 역사 기행</t>
    <phoneticPr fontId="2" type="noConversion"/>
  </si>
  <si>
    <t>윤리와 사상</t>
    <phoneticPr fontId="2" type="noConversion"/>
  </si>
  <si>
    <t>한국지리 탐구</t>
    <phoneticPr fontId="2" type="noConversion"/>
  </si>
  <si>
    <t>진로</t>
    <phoneticPr fontId="2" type="noConversion"/>
  </si>
  <si>
    <t>일반</t>
    <phoneticPr fontId="2" type="noConversion"/>
  </si>
  <si>
    <t>국제 경제</t>
    <phoneticPr fontId="2" type="noConversion"/>
  </si>
  <si>
    <t>세계 문제와 미래 사회</t>
    <phoneticPr fontId="2" type="noConversion"/>
  </si>
  <si>
    <t>지역 이해</t>
    <phoneticPr fontId="2" type="noConversion"/>
  </si>
  <si>
    <t>국제 정치</t>
    <phoneticPr fontId="2" type="noConversion"/>
  </si>
  <si>
    <t>사회 탐구 방법</t>
    <phoneticPr fontId="2" type="noConversion"/>
  </si>
  <si>
    <t>비교 문화</t>
    <phoneticPr fontId="2" type="noConversion"/>
  </si>
  <si>
    <t>수학과제 탐구</t>
    <phoneticPr fontId="2" type="noConversion"/>
  </si>
  <si>
    <t>음악 감상과 비평</t>
    <phoneticPr fontId="2" type="noConversion"/>
  </si>
  <si>
    <t xml:space="preserve"> ◦ 융합과학탐구↔논술 </t>
    <phoneticPr fontId="2" type="noConversion"/>
  </si>
  <si>
    <t>교양/
제2외국어</t>
    <phoneticPr fontId="2" type="noConversion"/>
  </si>
  <si>
    <t>제2외국어
/교양</t>
    <phoneticPr fontId="2" type="noConversion"/>
  </si>
  <si>
    <t>☞ 학과별 이수상이과목</t>
    <phoneticPr fontId="2" type="noConversion"/>
  </si>
  <si>
    <t>◦ 음악감상과 비평↔진로와 직업</t>
    <phoneticPr fontId="2" type="noConversion"/>
  </si>
  <si>
    <t xml:space="preserve">◦ 융합과학탐구↔논술 </t>
    <phoneticPr fontId="2" type="noConversion"/>
  </si>
  <si>
    <t>◦ 음악↔논리와 사고</t>
    <phoneticPr fontId="2" type="noConversion"/>
  </si>
  <si>
    <t>◦ 물리학/화확(택1), 국제계열(택2):중어일아 전공은 택1</t>
    <phoneticPr fontId="2" type="noConversion"/>
  </si>
  <si>
    <t>◦ 사회 일반(진로)(택1), 국제계열(택1):영어 전공은 택2</t>
    <phoneticPr fontId="2" type="noConversion"/>
  </si>
  <si>
    <t>국제 관계와 국제 기구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</si>
</sst>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5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1"/>
      <name val="나눔고딕"/>
      <family val="3"/>
      <charset val="129"/>
    </font>
    <font>
      <sz val="8"/>
      <color theme="1"/>
      <name val="나눔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color theme="1"/>
      <name val="새굴림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8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7" fillId="2" borderId="13" xfId="0" applyNumberFormat="1" applyFont="1" applyFill="1" applyBorder="1" applyAlignment="1">
      <alignment horizontal="center" vertical="center" shrinkToFit="1"/>
    </xf>
    <xf numFmtId="176" fontId="7" fillId="2" borderId="12" xfId="0" applyNumberFormat="1" applyFont="1" applyFill="1" applyBorder="1" applyAlignment="1">
      <alignment horizontal="center" vertical="center" shrinkToFit="1"/>
    </xf>
    <xf numFmtId="176" fontId="8" fillId="0" borderId="8" xfId="0" applyNumberFormat="1" applyFont="1" applyBorder="1" applyAlignment="1">
      <alignment horizontal="center" vertical="center" wrapText="1"/>
    </xf>
    <xf numFmtId="176" fontId="9" fillId="0" borderId="15" xfId="0" applyNumberFormat="1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176" fontId="9" fillId="0" borderId="16" xfId="0" applyNumberFormat="1" applyFont="1" applyBorder="1" applyAlignment="1">
      <alignment horizontal="center" vertical="center" wrapText="1"/>
    </xf>
    <xf numFmtId="176" fontId="9" fillId="0" borderId="17" xfId="0" applyNumberFormat="1" applyFont="1" applyBorder="1" applyAlignment="1">
      <alignment horizontal="center" vertical="center" wrapText="1"/>
    </xf>
    <xf numFmtId="176" fontId="9" fillId="0" borderId="7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176" fontId="9" fillId="0" borderId="8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176" fontId="9" fillId="3" borderId="8" xfId="0" applyNumberFormat="1" applyFont="1" applyFill="1" applyBorder="1" applyAlignment="1">
      <alignment horizontal="center" vertical="center" wrapText="1"/>
    </xf>
    <xf numFmtId="176" fontId="9" fillId="3" borderId="9" xfId="0" applyNumberFormat="1" applyFont="1" applyFill="1" applyBorder="1" applyAlignment="1">
      <alignment horizontal="center" vertical="center" wrapText="1"/>
    </xf>
    <xf numFmtId="176" fontId="9" fillId="0" borderId="7" xfId="0" applyNumberFormat="1" applyFont="1" applyFill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176" fontId="9" fillId="3" borderId="8" xfId="0" applyNumberFormat="1" applyFont="1" applyFill="1" applyBorder="1" applyAlignment="1">
      <alignment horizontal="center" vertical="center" wrapText="1" shrinkToFit="1"/>
    </xf>
    <xf numFmtId="176" fontId="9" fillId="3" borderId="9" xfId="0" applyNumberFormat="1" applyFont="1" applyFill="1" applyBorder="1" applyAlignment="1">
      <alignment horizontal="center" vertical="center" wrapText="1" shrinkToFit="1"/>
    </xf>
    <xf numFmtId="176" fontId="9" fillId="3" borderId="8" xfId="0" applyNumberFormat="1" applyFont="1" applyFill="1" applyBorder="1" applyAlignment="1">
      <alignment horizontal="center" vertical="center" shrinkToFit="1"/>
    </xf>
    <xf numFmtId="176" fontId="9" fillId="3" borderId="9" xfId="0" applyNumberFormat="1" applyFont="1" applyFill="1" applyBorder="1" applyAlignment="1">
      <alignment horizontal="center" vertical="center" shrinkToFit="1"/>
    </xf>
    <xf numFmtId="0" fontId="9" fillId="3" borderId="18" xfId="0" applyFont="1" applyFill="1" applyBorder="1" applyAlignment="1">
      <alignment horizontal="center" vertical="center" wrapText="1"/>
    </xf>
    <xf numFmtId="176" fontId="9" fillId="3" borderId="12" xfId="0" applyNumberFormat="1" applyFont="1" applyFill="1" applyBorder="1" applyAlignment="1">
      <alignment horizontal="center" vertical="center" wrapText="1"/>
    </xf>
    <xf numFmtId="176" fontId="9" fillId="0" borderId="14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176" fontId="7" fillId="2" borderId="18" xfId="0" applyNumberFormat="1" applyFont="1" applyFill="1" applyBorder="1" applyAlignment="1">
      <alignment horizontal="center" vertical="center" shrinkToFit="1"/>
    </xf>
    <xf numFmtId="176" fontId="9" fillId="0" borderId="34" xfId="0" applyNumberFormat="1" applyFont="1" applyBorder="1" applyAlignment="1">
      <alignment horizontal="center" vertical="center" wrapText="1"/>
    </xf>
    <xf numFmtId="176" fontId="9" fillId="0" borderId="36" xfId="0" applyNumberFormat="1" applyFont="1" applyBorder="1" applyAlignment="1">
      <alignment horizontal="center" vertical="center" wrapText="1"/>
    </xf>
    <xf numFmtId="176" fontId="9" fillId="3" borderId="36" xfId="0" applyNumberFormat="1" applyFont="1" applyFill="1" applyBorder="1" applyAlignment="1">
      <alignment horizontal="center" vertical="center" wrapText="1"/>
    </xf>
    <xf numFmtId="176" fontId="9" fillId="3" borderId="36" xfId="0" applyNumberFormat="1" applyFont="1" applyFill="1" applyBorder="1" applyAlignment="1">
      <alignment horizontal="center" vertical="center" wrapText="1" shrinkToFit="1"/>
    </xf>
    <xf numFmtId="176" fontId="9" fillId="3" borderId="37" xfId="0" applyNumberFormat="1" applyFont="1" applyFill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6" fontId="9" fillId="0" borderId="35" xfId="0" applyNumberFormat="1" applyFont="1" applyBorder="1" applyAlignment="1">
      <alignment horizontal="center" vertical="center" wrapText="1"/>
    </xf>
    <xf numFmtId="176" fontId="9" fillId="0" borderId="11" xfId="0" applyNumberFormat="1" applyFont="1" applyFill="1" applyBorder="1" applyAlignment="1">
      <alignment horizontal="center" vertical="center" wrapText="1"/>
    </xf>
    <xf numFmtId="176" fontId="9" fillId="0" borderId="4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76" fontId="9" fillId="0" borderId="25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176" fontId="9" fillId="0" borderId="27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176" fontId="9" fillId="0" borderId="4" xfId="0" applyNumberFormat="1" applyFont="1" applyFill="1" applyBorder="1" applyAlignment="1">
      <alignment horizontal="center" vertical="center" shrinkToFit="1"/>
    </xf>
    <xf numFmtId="176" fontId="9" fillId="0" borderId="32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6" fontId="9" fillId="0" borderId="44" xfId="0" applyNumberFormat="1" applyFont="1" applyBorder="1" applyAlignment="1">
      <alignment horizontal="center" vertical="center" wrapText="1"/>
    </xf>
    <xf numFmtId="176" fontId="9" fillId="0" borderId="24" xfId="0" applyNumberFormat="1" applyFont="1" applyBorder="1" applyAlignment="1">
      <alignment horizontal="center" vertical="center" wrapText="1"/>
    </xf>
    <xf numFmtId="176" fontId="9" fillId="0" borderId="45" xfId="0" applyNumberFormat="1" applyFont="1" applyBorder="1" applyAlignment="1">
      <alignment horizontal="center" vertical="center" wrapText="1"/>
    </xf>
    <xf numFmtId="176" fontId="9" fillId="0" borderId="46" xfId="0" applyNumberFormat="1" applyFont="1" applyBorder="1" applyAlignment="1">
      <alignment horizontal="center" vertical="center" wrapText="1"/>
    </xf>
    <xf numFmtId="176" fontId="9" fillId="3" borderId="13" xfId="0" applyNumberFormat="1" applyFont="1" applyFill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76" fontId="9" fillId="0" borderId="48" xfId="0" applyNumberFormat="1" applyFont="1" applyFill="1" applyBorder="1" applyAlignment="1">
      <alignment horizontal="center" vertical="center" wrapText="1"/>
    </xf>
    <xf numFmtId="176" fontId="8" fillId="0" borderId="47" xfId="0" applyNumberFormat="1" applyFont="1" applyBorder="1" applyAlignment="1">
      <alignment horizontal="center" vertical="center" wrapText="1"/>
    </xf>
    <xf numFmtId="176" fontId="9" fillId="3" borderId="28" xfId="0" applyNumberFormat="1" applyFont="1" applyFill="1" applyBorder="1" applyAlignment="1">
      <alignment vertical="center" wrapText="1"/>
    </xf>
    <xf numFmtId="176" fontId="9" fillId="0" borderId="31" xfId="0" applyNumberFormat="1" applyFont="1" applyBorder="1" applyAlignment="1">
      <alignment horizontal="center" vertical="center" wrapText="1"/>
    </xf>
    <xf numFmtId="176" fontId="8" fillId="0" borderId="24" xfId="0" applyNumberFormat="1" applyFont="1" applyBorder="1" applyAlignment="1">
      <alignment horizontal="center" vertical="center" wrapText="1"/>
    </xf>
    <xf numFmtId="176" fontId="8" fillId="0" borderId="49" xfId="0" applyNumberFormat="1" applyFont="1" applyBorder="1" applyAlignment="1">
      <alignment horizontal="center" vertical="center" wrapText="1"/>
    </xf>
    <xf numFmtId="176" fontId="8" fillId="0" borderId="25" xfId="0" applyNumberFormat="1" applyFont="1" applyBorder="1" applyAlignment="1">
      <alignment horizontal="center" vertical="center" wrapText="1"/>
    </xf>
    <xf numFmtId="176" fontId="8" fillId="0" borderId="41" xfId="0" applyNumberFormat="1" applyFont="1" applyBorder="1" applyAlignment="1">
      <alignment horizontal="center" vertical="center" wrapText="1"/>
    </xf>
    <xf numFmtId="176" fontId="9" fillId="3" borderId="11" xfId="0" applyNumberFormat="1" applyFont="1" applyFill="1" applyBorder="1" applyAlignment="1">
      <alignment horizontal="center" vertical="center" shrinkToFit="1"/>
    </xf>
    <xf numFmtId="176" fontId="9" fillId="4" borderId="9" xfId="0" applyNumberFormat="1" applyFont="1" applyFill="1" applyBorder="1" applyAlignment="1">
      <alignment horizontal="center" vertical="center" wrapText="1" shrinkToFit="1"/>
    </xf>
    <xf numFmtId="176" fontId="9" fillId="4" borderId="8" xfId="0" applyNumberFormat="1" applyFont="1" applyFill="1" applyBorder="1" applyAlignment="1">
      <alignment horizontal="center" vertical="center" wrapText="1"/>
    </xf>
    <xf numFmtId="176" fontId="9" fillId="4" borderId="8" xfId="0" applyNumberFormat="1" applyFont="1" applyFill="1" applyBorder="1" applyAlignment="1">
      <alignment horizontal="center" vertical="center" wrapText="1" shrinkToFit="1"/>
    </xf>
    <xf numFmtId="176" fontId="9" fillId="4" borderId="9" xfId="0" applyNumberFormat="1" applyFont="1" applyFill="1" applyBorder="1" applyAlignment="1">
      <alignment horizontal="center" vertical="center" wrapText="1"/>
    </xf>
    <xf numFmtId="176" fontId="9" fillId="5" borderId="13" xfId="0" applyNumberFormat="1" applyFont="1" applyFill="1" applyBorder="1" applyAlignment="1">
      <alignment horizontal="center" vertical="center" wrapText="1"/>
    </xf>
    <xf numFmtId="176" fontId="9" fillId="5" borderId="8" xfId="0" applyNumberFormat="1" applyFont="1" applyFill="1" applyBorder="1" applyAlignment="1">
      <alignment horizontal="center" vertical="center" wrapText="1" shrinkToFit="1"/>
    </xf>
    <xf numFmtId="176" fontId="9" fillId="5" borderId="37" xfId="0" applyNumberFormat="1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176" fontId="9" fillId="0" borderId="12" xfId="0" applyNumberFormat="1" applyFont="1" applyFill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76" fontId="9" fillId="3" borderId="5" xfId="0" applyNumberFormat="1" applyFont="1" applyFill="1" applyBorder="1" applyAlignment="1">
      <alignment horizontal="center" vertical="center" wrapText="1"/>
    </xf>
    <xf numFmtId="176" fontId="9" fillId="3" borderId="13" xfId="0" applyNumberFormat="1" applyFont="1" applyFill="1" applyBorder="1" applyAlignment="1">
      <alignment horizontal="center" vertical="center" wrapText="1"/>
    </xf>
    <xf numFmtId="176" fontId="9" fillId="0" borderId="12" xfId="0" applyNumberFormat="1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176" fontId="12" fillId="3" borderId="13" xfId="0" applyNumberFormat="1" applyFont="1" applyFill="1" applyBorder="1" applyAlignment="1">
      <alignment horizontal="center" vertical="center" wrapText="1"/>
    </xf>
    <xf numFmtId="176" fontId="9" fillId="0" borderId="53" xfId="0" applyNumberFormat="1" applyFont="1" applyFill="1" applyBorder="1" applyAlignment="1">
      <alignment horizontal="center" vertical="center" wrapText="1"/>
    </xf>
    <xf numFmtId="176" fontId="8" fillId="0" borderId="31" xfId="0" applyNumberFormat="1" applyFont="1" applyBorder="1" applyAlignment="1">
      <alignment horizontal="center" vertical="center" wrapText="1"/>
    </xf>
    <xf numFmtId="176" fontId="9" fillId="0" borderId="38" xfId="0" applyNumberFormat="1" applyFont="1" applyBorder="1" applyAlignment="1">
      <alignment horizontal="center" vertical="center" wrapText="1"/>
    </xf>
    <xf numFmtId="176" fontId="9" fillId="5" borderId="25" xfId="0" applyNumberFormat="1" applyFont="1" applyFill="1" applyBorder="1" applyAlignment="1">
      <alignment horizontal="center" vertical="center" wrapText="1" shrinkToFit="1"/>
    </xf>
    <xf numFmtId="0" fontId="3" fillId="0" borderId="13" xfId="0" applyFont="1" applyBorder="1">
      <alignment vertical="center"/>
    </xf>
    <xf numFmtId="176" fontId="9" fillId="0" borderId="9" xfId="0" applyNumberFormat="1" applyFont="1" applyFill="1" applyBorder="1" applyAlignment="1">
      <alignment horizontal="center" vertical="center" wrapText="1"/>
    </xf>
    <xf numFmtId="176" fontId="9" fillId="0" borderId="8" xfId="0" applyNumberFormat="1" applyFont="1" applyFill="1" applyBorder="1" applyAlignment="1">
      <alignment horizontal="center" vertical="center" wrapText="1"/>
    </xf>
    <xf numFmtId="0" fontId="3" fillId="0" borderId="0" xfId="0" applyFont="1" applyBorder="1">
      <alignment vertical="center"/>
    </xf>
    <xf numFmtId="176" fontId="9" fillId="0" borderId="9" xfId="0" applyNumberFormat="1" applyFont="1" applyFill="1" applyBorder="1" applyAlignment="1">
      <alignment horizontal="center" vertical="center" shrinkToFit="1"/>
    </xf>
    <xf numFmtId="0" fontId="3" fillId="0" borderId="56" xfId="0" applyFont="1" applyBorder="1">
      <alignment vertical="center"/>
    </xf>
    <xf numFmtId="0" fontId="5" fillId="0" borderId="5" xfId="0" applyFont="1" applyBorder="1">
      <alignment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176" fontId="9" fillId="0" borderId="5" xfId="0" applyNumberFormat="1" applyFont="1" applyFill="1" applyBorder="1" applyAlignment="1">
      <alignment horizontal="center" vertical="center" wrapText="1"/>
    </xf>
    <xf numFmtId="176" fontId="9" fillId="0" borderId="31" xfId="0" applyNumberFormat="1" applyFont="1" applyFill="1" applyBorder="1" applyAlignment="1">
      <alignment horizontal="center" vertical="center" wrapText="1"/>
    </xf>
    <xf numFmtId="176" fontId="9" fillId="0" borderId="32" xfId="0" applyNumberFormat="1" applyFont="1" applyFill="1" applyBorder="1" applyAlignment="1">
      <alignment horizontal="center" vertical="center" wrapText="1"/>
    </xf>
    <xf numFmtId="176" fontId="9" fillId="0" borderId="6" xfId="0" applyNumberFormat="1" applyFont="1" applyFill="1" applyBorder="1" applyAlignment="1">
      <alignment horizontal="center" vertical="center" wrapText="1"/>
    </xf>
    <xf numFmtId="176" fontId="9" fillId="0" borderId="24" xfId="0" applyNumberFormat="1" applyFont="1" applyFill="1" applyBorder="1" applyAlignment="1">
      <alignment horizontal="center" vertical="center" wrapText="1"/>
    </xf>
    <xf numFmtId="176" fontId="9" fillId="0" borderId="25" xfId="0" applyNumberFormat="1" applyFont="1" applyFill="1" applyBorder="1" applyAlignment="1">
      <alignment horizontal="center" vertical="center" wrapText="1"/>
    </xf>
    <xf numFmtId="176" fontId="9" fillId="0" borderId="36" xfId="0" applyNumberFormat="1" applyFont="1" applyFill="1" applyBorder="1" applyAlignment="1">
      <alignment horizontal="center" vertical="center" wrapText="1"/>
    </xf>
    <xf numFmtId="176" fontId="9" fillId="0" borderId="13" xfId="0" applyNumberFormat="1" applyFont="1" applyFill="1" applyBorder="1" applyAlignment="1">
      <alignment horizontal="center" vertical="center" wrapText="1"/>
    </xf>
    <xf numFmtId="176" fontId="9" fillId="0" borderId="18" xfId="0" applyNumberFormat="1" applyFont="1" applyFill="1" applyBorder="1" applyAlignment="1">
      <alignment horizontal="center" vertical="center" wrapText="1"/>
    </xf>
    <xf numFmtId="176" fontId="9" fillId="0" borderId="37" xfId="0" applyNumberFormat="1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176" fontId="9" fillId="0" borderId="35" xfId="0" applyNumberFormat="1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176" fontId="9" fillId="0" borderId="38" xfId="0" applyNumberFormat="1" applyFont="1" applyFill="1" applyBorder="1" applyAlignment="1">
      <alignment horizontal="center" vertical="center" wrapText="1"/>
    </xf>
    <xf numFmtId="176" fontId="9" fillId="0" borderId="27" xfId="0" applyNumberFormat="1" applyFont="1" applyFill="1" applyBorder="1" applyAlignment="1">
      <alignment horizontal="center" vertical="center" wrapText="1"/>
    </xf>
    <xf numFmtId="176" fontId="9" fillId="0" borderId="16" xfId="0" applyNumberFormat="1" applyFont="1" applyFill="1" applyBorder="1" applyAlignment="1">
      <alignment horizontal="center" vertical="center" wrapText="1"/>
    </xf>
    <xf numFmtId="176" fontId="9" fillId="0" borderId="17" xfId="0" applyNumberFormat="1" applyFont="1" applyFill="1" applyBorder="1" applyAlignment="1">
      <alignment horizontal="center" vertical="center" wrapText="1"/>
    </xf>
    <xf numFmtId="176" fontId="9" fillId="0" borderId="56" xfId="0" applyNumberFormat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176" fontId="9" fillId="0" borderId="13" xfId="0" applyNumberFormat="1" applyFont="1" applyFill="1" applyBorder="1" applyAlignment="1">
      <alignment horizontal="center" vertical="center" wrapText="1"/>
    </xf>
    <xf numFmtId="176" fontId="9" fillId="0" borderId="5" xfId="0" applyNumberFormat="1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176" fontId="9" fillId="0" borderId="13" xfId="0" applyNumberFormat="1" applyFont="1" applyFill="1" applyBorder="1" applyAlignment="1">
      <alignment horizontal="center" vertical="center" wrapText="1"/>
    </xf>
    <xf numFmtId="176" fontId="9" fillId="0" borderId="5" xfId="0" applyNumberFormat="1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176" fontId="9" fillId="0" borderId="19" xfId="0" applyNumberFormat="1" applyFont="1" applyFill="1" applyBorder="1" applyAlignment="1">
      <alignment horizontal="center" vertical="center" wrapText="1"/>
    </xf>
    <xf numFmtId="176" fontId="9" fillId="0" borderId="13" xfId="0" applyNumberFormat="1" applyFont="1" applyFill="1" applyBorder="1" applyAlignment="1">
      <alignment horizontal="center" vertical="center" wrapText="1"/>
    </xf>
    <xf numFmtId="176" fontId="9" fillId="0" borderId="3" xfId="0" applyNumberFormat="1" applyFont="1" applyFill="1" applyBorder="1" applyAlignment="1">
      <alignment horizontal="center" vertical="center" wrapText="1"/>
    </xf>
    <xf numFmtId="176" fontId="9" fillId="0" borderId="39" xfId="0" applyNumberFormat="1" applyFont="1" applyFill="1" applyBorder="1" applyAlignment="1">
      <alignment horizontal="center" vertical="center" wrapText="1"/>
    </xf>
    <xf numFmtId="176" fontId="9" fillId="0" borderId="12" xfId="0" applyNumberFormat="1" applyFont="1" applyFill="1" applyBorder="1" applyAlignment="1">
      <alignment horizontal="center" vertical="center" shrinkToFi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5" fillId="0" borderId="13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25" xfId="0" applyFont="1" applyBorder="1">
      <alignment vertical="center"/>
    </xf>
    <xf numFmtId="0" fontId="9" fillId="0" borderId="15" xfId="0" applyFont="1" applyFill="1" applyBorder="1" applyAlignment="1">
      <alignment horizontal="center" vertical="center" wrapText="1"/>
    </xf>
    <xf numFmtId="0" fontId="9" fillId="0" borderId="48" xfId="0" applyFont="1" applyFill="1" applyBorder="1" applyAlignment="1">
      <alignment horizontal="center" vertical="center" wrapText="1"/>
    </xf>
    <xf numFmtId="176" fontId="9" fillId="3" borderId="13" xfId="0" applyNumberFormat="1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176" fontId="9" fillId="3" borderId="18" xfId="0" applyNumberFormat="1" applyFont="1" applyFill="1" applyBorder="1" applyAlignment="1">
      <alignment horizontal="center" vertical="center" shrinkToFit="1"/>
    </xf>
    <xf numFmtId="176" fontId="6" fillId="0" borderId="10" xfId="0" applyNumberFormat="1" applyFont="1" applyFill="1" applyBorder="1" applyAlignment="1">
      <alignment horizontal="center" vertical="center" wrapText="1"/>
    </xf>
    <xf numFmtId="176" fontId="9" fillId="0" borderId="13" xfId="0" applyNumberFormat="1" applyFont="1" applyFill="1" applyBorder="1" applyAlignment="1">
      <alignment horizontal="center" vertical="center" wrapText="1"/>
    </xf>
    <xf numFmtId="0" fontId="9" fillId="0" borderId="55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176" fontId="6" fillId="0" borderId="53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3" fillId="0" borderId="24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2" xfId="0" applyFont="1" applyBorder="1">
      <alignment vertical="center"/>
    </xf>
    <xf numFmtId="0" fontId="1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176" fontId="9" fillId="0" borderId="10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176" fontId="9" fillId="0" borderId="9" xfId="0" applyNumberFormat="1" applyFont="1" applyFill="1" applyBorder="1" applyAlignment="1">
      <alignment vertical="center" wrapText="1"/>
    </xf>
    <xf numFmtId="176" fontId="9" fillId="0" borderId="47" xfId="0" applyNumberFormat="1" applyFont="1" applyFill="1" applyBorder="1" applyAlignment="1">
      <alignment vertical="center" wrapText="1"/>
    </xf>
    <xf numFmtId="176" fontId="9" fillId="0" borderId="12" xfId="0" applyNumberFormat="1" applyFont="1" applyFill="1" applyBorder="1" applyAlignment="1">
      <alignment vertical="center" wrapText="1"/>
    </xf>
    <xf numFmtId="176" fontId="9" fillId="0" borderId="8" xfId="0" applyNumberFormat="1" applyFont="1" applyFill="1" applyBorder="1" applyAlignment="1">
      <alignment vertical="center" wrapText="1"/>
    </xf>
    <xf numFmtId="176" fontId="9" fillId="0" borderId="57" xfId="0" applyNumberFormat="1" applyFont="1" applyBorder="1" applyAlignment="1">
      <alignment horizontal="center" vertical="center" wrapText="1"/>
    </xf>
    <xf numFmtId="176" fontId="9" fillId="0" borderId="21" xfId="0" applyNumberFormat="1" applyFont="1" applyBorder="1" applyAlignment="1">
      <alignment horizontal="center" vertical="center" wrapText="1"/>
    </xf>
    <xf numFmtId="0" fontId="3" fillId="0" borderId="58" xfId="0" applyFont="1" applyBorder="1">
      <alignment vertical="center"/>
    </xf>
    <xf numFmtId="0" fontId="3" fillId="0" borderId="59" xfId="0" applyFont="1" applyBorder="1">
      <alignment vertical="center"/>
    </xf>
    <xf numFmtId="176" fontId="9" fillId="0" borderId="2" xfId="0" applyNumberFormat="1" applyFont="1" applyFill="1" applyBorder="1" applyAlignment="1">
      <alignment vertical="center" wrapText="1"/>
    </xf>
    <xf numFmtId="176" fontId="9" fillId="8" borderId="9" xfId="0" applyNumberFormat="1" applyFont="1" applyFill="1" applyBorder="1" applyAlignment="1">
      <alignment horizontal="center" vertical="center" wrapText="1"/>
    </xf>
    <xf numFmtId="176" fontId="9" fillId="8" borderId="13" xfId="0" applyNumberFormat="1" applyFont="1" applyFill="1" applyBorder="1" applyAlignment="1">
      <alignment horizontal="center" vertical="center" wrapText="1"/>
    </xf>
    <xf numFmtId="176" fontId="9" fillId="8" borderId="8" xfId="0" applyNumberFormat="1" applyFont="1" applyFill="1" applyBorder="1" applyAlignment="1">
      <alignment horizontal="center" vertical="center" wrapText="1"/>
    </xf>
    <xf numFmtId="0" fontId="3" fillId="8" borderId="0" xfId="0" applyFont="1" applyFill="1">
      <alignment vertical="center"/>
    </xf>
    <xf numFmtId="0" fontId="14" fillId="0" borderId="0" xfId="0" applyFont="1" applyAlignment="1">
      <alignment horizontal="left" vertical="center"/>
    </xf>
    <xf numFmtId="0" fontId="10" fillId="9" borderId="0" xfId="0" applyFont="1" applyFill="1">
      <alignment vertical="center"/>
    </xf>
    <xf numFmtId="176" fontId="9" fillId="0" borderId="5" xfId="0" applyNumberFormat="1" applyFont="1" applyFill="1" applyBorder="1" applyAlignment="1">
      <alignment horizontal="center" vertical="center" wrapText="1"/>
    </xf>
    <xf numFmtId="176" fontId="9" fillId="0" borderId="15" xfId="0" applyNumberFormat="1" applyFont="1" applyFill="1" applyBorder="1" applyAlignment="1">
      <alignment horizontal="left" vertical="center" wrapText="1"/>
    </xf>
    <xf numFmtId="176" fontId="9" fillId="0" borderId="7" xfId="0" applyNumberFormat="1" applyFont="1" applyFill="1" applyBorder="1" applyAlignment="1">
      <alignment horizontal="left" vertical="center" wrapText="1"/>
    </xf>
    <xf numFmtId="176" fontId="9" fillId="0" borderId="4" xfId="0" applyNumberFormat="1" applyFont="1" applyFill="1" applyBorder="1" applyAlignment="1">
      <alignment horizontal="left" vertical="center" wrapText="1"/>
    </xf>
    <xf numFmtId="176" fontId="6" fillId="0" borderId="7" xfId="0" applyNumberFormat="1" applyFont="1" applyFill="1" applyBorder="1" applyAlignment="1">
      <alignment horizontal="left" vertical="center" wrapText="1"/>
    </xf>
    <xf numFmtId="176" fontId="9" fillId="0" borderId="14" xfId="0" applyNumberFormat="1" applyFont="1" applyFill="1" applyBorder="1" applyAlignment="1">
      <alignment horizontal="left" vertical="center" wrapText="1"/>
    </xf>
    <xf numFmtId="176" fontId="9" fillId="0" borderId="7" xfId="0" applyNumberFormat="1" applyFont="1" applyFill="1" applyBorder="1" applyAlignment="1">
      <alignment horizontal="left" vertical="center" shrinkToFit="1"/>
    </xf>
    <xf numFmtId="176" fontId="9" fillId="3" borderId="11" xfId="0" applyNumberFormat="1" applyFont="1" applyFill="1" applyBorder="1" applyAlignment="1">
      <alignment horizontal="left" vertical="center" shrinkToFit="1"/>
    </xf>
    <xf numFmtId="176" fontId="9" fillId="0" borderId="4" xfId="0" applyNumberFormat="1" applyFont="1" applyFill="1" applyBorder="1" applyAlignment="1">
      <alignment horizontal="left" vertical="center" shrinkToFit="1"/>
    </xf>
    <xf numFmtId="176" fontId="6" fillId="0" borderId="7" xfId="0" applyNumberFormat="1" applyFont="1" applyFill="1" applyBorder="1" applyAlignment="1">
      <alignment horizontal="left" vertical="center" shrinkToFit="1"/>
    </xf>
    <xf numFmtId="176" fontId="9" fillId="0" borderId="14" xfId="0" applyNumberFormat="1" applyFont="1" applyFill="1" applyBorder="1" applyAlignment="1">
      <alignment horizontal="left" vertical="center" shrinkToFit="1"/>
    </xf>
    <xf numFmtId="176" fontId="9" fillId="3" borderId="4" xfId="0" applyNumberFormat="1" applyFont="1" applyFill="1" applyBorder="1" applyAlignment="1">
      <alignment horizontal="left" vertical="center" wrapText="1" shrinkToFit="1"/>
    </xf>
    <xf numFmtId="176" fontId="9" fillId="0" borderId="7" xfId="0" applyNumberFormat="1" applyFont="1" applyFill="1" applyBorder="1" applyAlignment="1">
      <alignment horizontal="left" vertical="center" wrapText="1" shrinkToFit="1"/>
    </xf>
    <xf numFmtId="176" fontId="9" fillId="0" borderId="4" xfId="0" applyNumberFormat="1" applyFont="1" applyFill="1" applyBorder="1" applyAlignment="1">
      <alignment horizontal="left" vertical="center" wrapText="1" shrinkToFit="1"/>
    </xf>
    <xf numFmtId="176" fontId="6" fillId="0" borderId="4" xfId="0" applyNumberFormat="1" applyFont="1" applyFill="1" applyBorder="1" applyAlignment="1">
      <alignment horizontal="left" vertical="center" wrapText="1" shrinkToFit="1"/>
    </xf>
    <xf numFmtId="176" fontId="9" fillId="0" borderId="53" xfId="0" applyNumberFormat="1" applyFont="1" applyFill="1" applyBorder="1" applyAlignment="1">
      <alignment horizontal="left" vertical="center" wrapText="1" shrinkToFit="1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9" fillId="3" borderId="7" xfId="0" applyNumberFormat="1" applyFont="1" applyFill="1" applyBorder="1" applyAlignment="1">
      <alignment horizontal="left" vertical="center" shrinkToFit="1"/>
    </xf>
    <xf numFmtId="176" fontId="9" fillId="0" borderId="11" xfId="0" applyNumberFormat="1" applyFont="1" applyFill="1" applyBorder="1" applyAlignment="1">
      <alignment horizontal="left" vertical="center" shrinkToFit="1"/>
    </xf>
    <xf numFmtId="176" fontId="6" fillId="0" borderId="7" xfId="0" applyNumberFormat="1" applyFont="1" applyFill="1" applyBorder="1" applyAlignment="1">
      <alignment horizontal="left" vertical="center" wrapText="1" shrinkToFit="1"/>
    </xf>
    <xf numFmtId="176" fontId="9" fillId="0" borderId="48" xfId="0" applyNumberFormat="1" applyFont="1" applyFill="1" applyBorder="1" applyAlignment="1">
      <alignment horizontal="left" vertical="center" wrapText="1" shrinkToFit="1"/>
    </xf>
    <xf numFmtId="0" fontId="11" fillId="0" borderId="0" xfId="0" applyFont="1" applyBorder="1" applyAlignment="1">
      <alignment horizontal="left" vertical="center"/>
    </xf>
    <xf numFmtId="176" fontId="9" fillId="3" borderId="13" xfId="0" applyNumberFormat="1" applyFont="1" applyFill="1" applyBorder="1" applyAlignment="1">
      <alignment horizontal="center" vertical="center" wrapText="1"/>
    </xf>
    <xf numFmtId="176" fontId="9" fillId="3" borderId="5" xfId="0" applyNumberFormat="1" applyFont="1" applyFill="1" applyBorder="1" applyAlignment="1">
      <alignment horizontal="center" vertical="center" wrapText="1"/>
    </xf>
    <xf numFmtId="176" fontId="9" fillId="9" borderId="10" xfId="0" applyNumberFormat="1" applyFont="1" applyFill="1" applyBorder="1" applyAlignment="1">
      <alignment horizontal="center" vertical="center" wrapText="1"/>
    </xf>
    <xf numFmtId="176" fontId="9" fillId="9" borderId="28" xfId="0" applyNumberFormat="1" applyFont="1" applyFill="1" applyBorder="1" applyAlignment="1">
      <alignment horizontal="center" vertical="center" wrapText="1"/>
    </xf>
    <xf numFmtId="176" fontId="9" fillId="6" borderId="13" xfId="0" applyNumberFormat="1" applyFont="1" applyFill="1" applyBorder="1" applyAlignment="1">
      <alignment horizontal="center" vertical="center" wrapText="1"/>
    </xf>
    <xf numFmtId="176" fontId="9" fillId="6" borderId="5" xfId="0" applyNumberFormat="1" applyFont="1" applyFill="1" applyBorder="1" applyAlignment="1">
      <alignment horizontal="center" vertical="center" wrapText="1"/>
    </xf>
    <xf numFmtId="176" fontId="7" fillId="0" borderId="61" xfId="0" applyNumberFormat="1" applyFont="1" applyBorder="1" applyAlignment="1">
      <alignment horizontal="center" vertical="center" wrapText="1"/>
    </xf>
    <xf numFmtId="176" fontId="7" fillId="0" borderId="57" xfId="0" applyNumberFormat="1" applyFont="1" applyBorder="1" applyAlignment="1">
      <alignment horizontal="center" vertical="center" wrapText="1"/>
    </xf>
    <xf numFmtId="176" fontId="7" fillId="0" borderId="34" xfId="0" applyNumberFormat="1" applyFont="1" applyBorder="1" applyAlignment="1">
      <alignment horizontal="center" vertical="center" wrapText="1"/>
    </xf>
    <xf numFmtId="176" fontId="7" fillId="0" borderId="58" xfId="0" applyNumberFormat="1" applyFont="1" applyBorder="1" applyAlignment="1">
      <alignment horizontal="center" vertical="center" wrapText="1"/>
    </xf>
    <xf numFmtId="176" fontId="7" fillId="0" borderId="45" xfId="0" applyNumberFormat="1" applyFont="1" applyBorder="1" applyAlignment="1">
      <alignment horizontal="center" vertical="center" wrapText="1"/>
    </xf>
    <xf numFmtId="176" fontId="7" fillId="0" borderId="36" xfId="0" applyNumberFormat="1" applyFont="1" applyBorder="1" applyAlignment="1">
      <alignment horizontal="center" vertical="center" wrapText="1"/>
    </xf>
    <xf numFmtId="176" fontId="9" fillId="3" borderId="3" xfId="0" applyNumberFormat="1" applyFont="1" applyFill="1" applyBorder="1" applyAlignment="1">
      <alignment horizontal="center" vertical="center" wrapText="1"/>
    </xf>
    <xf numFmtId="176" fontId="9" fillId="3" borderId="47" xfId="0" applyNumberFormat="1" applyFont="1" applyFill="1" applyBorder="1" applyAlignment="1">
      <alignment horizontal="center" vertical="center" wrapText="1"/>
    </xf>
    <xf numFmtId="176" fontId="9" fillId="3" borderId="12" xfId="0" applyNumberFormat="1" applyFont="1" applyFill="1" applyBorder="1" applyAlignment="1">
      <alignment horizontal="center" vertical="center" wrapText="1" shrinkToFit="1"/>
    </xf>
    <xf numFmtId="176" fontId="9" fillId="3" borderId="6" xfId="0" applyNumberFormat="1" applyFont="1" applyFill="1" applyBorder="1" applyAlignment="1">
      <alignment horizontal="center" vertical="center" wrapText="1" shrinkToFit="1"/>
    </xf>
    <xf numFmtId="176" fontId="9" fillId="0" borderId="12" xfId="0" applyNumberFormat="1" applyFont="1" applyFill="1" applyBorder="1" applyAlignment="1">
      <alignment horizontal="center" vertical="center" wrapText="1" shrinkToFit="1"/>
    </xf>
    <xf numFmtId="176" fontId="9" fillId="0" borderId="10" xfId="0" applyNumberFormat="1" applyFont="1" applyFill="1" applyBorder="1" applyAlignment="1">
      <alignment horizontal="center" vertical="center" wrapText="1" shrinkToFit="1"/>
    </xf>
    <xf numFmtId="176" fontId="9" fillId="0" borderId="6" xfId="0" applyNumberFormat="1" applyFont="1" applyFill="1" applyBorder="1" applyAlignment="1">
      <alignment horizontal="center" vertical="center" wrapText="1" shrinkToFit="1"/>
    </xf>
    <xf numFmtId="176" fontId="9" fillId="0" borderId="28" xfId="0" applyNumberFormat="1" applyFont="1" applyFill="1" applyBorder="1" applyAlignment="1">
      <alignment horizontal="center" vertical="center" wrapText="1" shrinkToFit="1"/>
    </xf>
    <xf numFmtId="176" fontId="6" fillId="6" borderId="13" xfId="0" applyNumberFormat="1" applyFont="1" applyFill="1" applyBorder="1" applyAlignment="1">
      <alignment horizontal="center" vertical="center" wrapText="1"/>
    </xf>
    <xf numFmtId="176" fontId="6" fillId="6" borderId="3" xfId="0" applyNumberFormat="1" applyFont="1" applyFill="1" applyBorder="1" applyAlignment="1">
      <alignment horizontal="center" vertical="center" wrapText="1"/>
    </xf>
    <xf numFmtId="176" fontId="6" fillId="6" borderId="5" xfId="0" applyNumberFormat="1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176" fontId="6" fillId="3" borderId="13" xfId="0" applyNumberFormat="1" applyFont="1" applyFill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wrapText="1"/>
    </xf>
    <xf numFmtId="176" fontId="6" fillId="3" borderId="5" xfId="0" applyNumberFormat="1" applyFont="1" applyFill="1" applyBorder="1" applyAlignment="1">
      <alignment horizontal="center" vertical="center" wrapText="1"/>
    </xf>
    <xf numFmtId="176" fontId="6" fillId="0" borderId="8" xfId="0" applyNumberFormat="1" applyFont="1" applyFill="1" applyBorder="1" applyAlignment="1">
      <alignment horizontal="center" vertical="center" wrapText="1"/>
    </xf>
    <xf numFmtId="176" fontId="9" fillId="0" borderId="39" xfId="0" applyNumberFormat="1" applyFont="1" applyFill="1" applyBorder="1" applyAlignment="1">
      <alignment horizontal="center" vertical="center" wrapText="1"/>
    </xf>
    <xf numFmtId="176" fontId="9" fillId="0" borderId="13" xfId="0" applyNumberFormat="1" applyFont="1" applyFill="1" applyBorder="1" applyAlignment="1">
      <alignment horizontal="center" vertical="center" wrapText="1"/>
    </xf>
    <xf numFmtId="176" fontId="9" fillId="0" borderId="3" xfId="0" applyNumberFormat="1" applyFont="1" applyFill="1" applyBorder="1" applyAlignment="1">
      <alignment horizontal="center" vertical="center" wrapText="1"/>
    </xf>
    <xf numFmtId="176" fontId="9" fillId="0" borderId="5" xfId="0" applyNumberFormat="1" applyFont="1" applyFill="1" applyBorder="1" applyAlignment="1">
      <alignment horizontal="center" vertical="center" wrapText="1"/>
    </xf>
    <xf numFmtId="176" fontId="9" fillId="0" borderId="12" xfId="0" applyNumberFormat="1" applyFont="1" applyFill="1" applyBorder="1" applyAlignment="1">
      <alignment horizontal="center" vertical="center" shrinkToFit="1"/>
    </xf>
    <xf numFmtId="176" fontId="9" fillId="0" borderId="10" xfId="0" applyNumberFormat="1" applyFont="1" applyFill="1" applyBorder="1" applyAlignment="1">
      <alignment horizontal="center" vertical="center" shrinkToFit="1"/>
    </xf>
    <xf numFmtId="176" fontId="6" fillId="0" borderId="13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176" fontId="6" fillId="0" borderId="5" xfId="0" applyNumberFormat="1" applyFont="1" applyFill="1" applyBorder="1" applyAlignment="1">
      <alignment horizontal="center" vertical="center" wrapText="1"/>
    </xf>
    <xf numFmtId="176" fontId="6" fillId="0" borderId="22" xfId="0" applyNumberFormat="1" applyFont="1" applyFill="1" applyBorder="1" applyAlignment="1">
      <alignment horizontal="center" vertical="center" wrapText="1"/>
    </xf>
    <xf numFmtId="176" fontId="9" fillId="0" borderId="22" xfId="0" applyNumberFormat="1" applyFont="1" applyFill="1" applyBorder="1" applyAlignment="1">
      <alignment horizontal="center" vertical="center" wrapText="1"/>
    </xf>
    <xf numFmtId="176" fontId="6" fillId="9" borderId="13" xfId="0" applyNumberFormat="1" applyFont="1" applyFill="1" applyBorder="1" applyAlignment="1">
      <alignment horizontal="center" vertical="center" wrapText="1"/>
    </xf>
    <xf numFmtId="176" fontId="6" fillId="9" borderId="3" xfId="0" applyNumberFormat="1" applyFont="1" applyFill="1" applyBorder="1" applyAlignment="1">
      <alignment horizontal="center" vertical="center" wrapText="1"/>
    </xf>
    <xf numFmtId="176" fontId="6" fillId="9" borderId="5" xfId="0" applyNumberFormat="1" applyFont="1" applyFill="1" applyBorder="1" applyAlignment="1">
      <alignment horizontal="center" vertical="center" wrapText="1"/>
    </xf>
    <xf numFmtId="176" fontId="9" fillId="0" borderId="23" xfId="0" applyNumberFormat="1" applyFont="1" applyFill="1" applyBorder="1" applyAlignment="1">
      <alignment horizontal="center" vertical="center" shrinkToFit="1"/>
    </xf>
    <xf numFmtId="176" fontId="9" fillId="6" borderId="23" xfId="0" applyNumberFormat="1" applyFont="1" applyFill="1" applyBorder="1" applyAlignment="1">
      <alignment horizontal="center" vertical="center" wrapText="1"/>
    </xf>
    <xf numFmtId="176" fontId="9" fillId="6" borderId="10" xfId="0" applyNumberFormat="1" applyFont="1" applyFill="1" applyBorder="1" applyAlignment="1">
      <alignment horizontal="center" vertical="center" wrapText="1"/>
    </xf>
    <xf numFmtId="176" fontId="9" fillId="0" borderId="19" xfId="0" applyNumberFormat="1" applyFont="1" applyBorder="1" applyAlignment="1">
      <alignment horizontal="center" vertical="center" wrapText="1"/>
    </xf>
    <xf numFmtId="176" fontId="9" fillId="0" borderId="39" xfId="0" applyNumberFormat="1" applyFont="1" applyBorder="1" applyAlignment="1">
      <alignment horizontal="center" vertical="center" wrapText="1"/>
    </xf>
    <xf numFmtId="176" fontId="9" fillId="0" borderId="32" xfId="0" applyNumberFormat="1" applyFont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176" fontId="9" fillId="0" borderId="12" xfId="0" applyNumberFormat="1" applyFont="1" applyBorder="1" applyAlignment="1">
      <alignment horizontal="center" vertical="center" wrapText="1"/>
    </xf>
    <xf numFmtId="176" fontId="9" fillId="0" borderId="10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right" vertical="center" wrapText="1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176" fontId="7" fillId="2" borderId="21" xfId="0" applyNumberFormat="1" applyFont="1" applyFill="1" applyBorder="1" applyAlignment="1">
      <alignment horizontal="center" vertical="center" wrapText="1"/>
    </xf>
    <xf numFmtId="176" fontId="7" fillId="2" borderId="19" xfId="0" applyNumberFormat="1" applyFont="1" applyFill="1" applyBorder="1" applyAlignment="1">
      <alignment horizontal="center" vertical="center" wrapText="1"/>
    </xf>
    <xf numFmtId="176" fontId="7" fillId="2" borderId="54" xfId="0" applyNumberFormat="1" applyFont="1" applyFill="1" applyBorder="1" applyAlignment="1">
      <alignment horizontal="center" vertical="center" wrapText="1"/>
    </xf>
    <xf numFmtId="176" fontId="7" fillId="2" borderId="33" xfId="0" applyNumberFormat="1" applyFont="1" applyFill="1" applyBorder="1" applyAlignment="1">
      <alignment horizontal="center" vertical="center" wrapText="1"/>
    </xf>
    <xf numFmtId="176" fontId="7" fillId="2" borderId="49" xfId="0" applyNumberFormat="1" applyFont="1" applyFill="1" applyBorder="1" applyAlignment="1">
      <alignment horizontal="center" vertical="center" wrapText="1"/>
    </xf>
    <xf numFmtId="176" fontId="7" fillId="2" borderId="41" xfId="0" applyNumberFormat="1" applyFont="1" applyFill="1" applyBorder="1" applyAlignment="1">
      <alignment horizontal="center" vertical="center" wrapText="1"/>
    </xf>
    <xf numFmtId="176" fontId="7" fillId="2" borderId="15" xfId="0" applyNumberFormat="1" applyFont="1" applyFill="1" applyBorder="1" applyAlignment="1">
      <alignment horizontal="center" vertical="center" wrapText="1"/>
    </xf>
    <xf numFmtId="176" fontId="7" fillId="2" borderId="11" xfId="0" applyNumberFormat="1" applyFont="1" applyFill="1" applyBorder="1" applyAlignment="1">
      <alignment horizontal="center" vertical="center" wrapText="1"/>
    </xf>
    <xf numFmtId="176" fontId="7" fillId="2" borderId="20" xfId="0" applyNumberFormat="1" applyFont="1" applyFill="1" applyBorder="1" applyAlignment="1">
      <alignment horizontal="center" vertical="center" wrapText="1"/>
    </xf>
    <xf numFmtId="176" fontId="7" fillId="2" borderId="18" xfId="0" applyNumberFormat="1" applyFont="1" applyFill="1" applyBorder="1" applyAlignment="1">
      <alignment horizontal="center" vertical="center" wrapText="1"/>
    </xf>
    <xf numFmtId="176" fontId="7" fillId="2" borderId="16" xfId="0" applyNumberFormat="1" applyFont="1" applyFill="1" applyBorder="1" applyAlignment="1">
      <alignment horizontal="center" vertical="center" wrapText="1"/>
    </xf>
    <xf numFmtId="176" fontId="7" fillId="2" borderId="17" xfId="0" applyNumberFormat="1" applyFont="1" applyFill="1" applyBorder="1" applyAlignment="1">
      <alignment horizontal="center" vertical="center" wrapText="1"/>
    </xf>
    <xf numFmtId="176" fontId="7" fillId="2" borderId="13" xfId="0" applyNumberFormat="1" applyFont="1" applyFill="1" applyBorder="1" applyAlignment="1">
      <alignment horizontal="center" vertical="center" wrapText="1"/>
    </xf>
    <xf numFmtId="176" fontId="7" fillId="2" borderId="12" xfId="0" applyNumberFormat="1" applyFont="1" applyFill="1" applyBorder="1" applyAlignment="1">
      <alignment horizontal="center" vertical="center" wrapText="1"/>
    </xf>
    <xf numFmtId="176" fontId="7" fillId="2" borderId="52" xfId="0" applyNumberFormat="1" applyFont="1" applyFill="1" applyBorder="1" applyAlignment="1">
      <alignment horizontal="center" vertical="center" wrapText="1"/>
    </xf>
    <xf numFmtId="176" fontId="7" fillId="2" borderId="48" xfId="0" applyNumberFormat="1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176" fontId="6" fillId="3" borderId="16" xfId="0" applyNumberFormat="1" applyFont="1" applyFill="1" applyBorder="1" applyAlignment="1">
      <alignment horizontal="center" vertical="center" wrapText="1"/>
    </xf>
    <xf numFmtId="176" fontId="6" fillId="3" borderId="8" xfId="0" applyNumberFormat="1" applyFont="1" applyFill="1" applyBorder="1" applyAlignment="1">
      <alignment horizontal="center" vertical="center" wrapText="1"/>
    </xf>
    <xf numFmtId="176" fontId="9" fillId="0" borderId="19" xfId="0" applyNumberFormat="1" applyFont="1" applyFill="1" applyBorder="1" applyAlignment="1">
      <alignment horizontal="center" vertical="center" wrapText="1"/>
    </xf>
    <xf numFmtId="176" fontId="6" fillId="0" borderId="12" xfId="0" applyNumberFormat="1" applyFont="1" applyFill="1" applyBorder="1" applyAlignment="1">
      <alignment horizontal="center" vertical="center" wrapText="1"/>
    </xf>
    <xf numFmtId="176" fontId="6" fillId="0" borderId="10" xfId="0" applyNumberFormat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76" fontId="9" fillId="0" borderId="33" xfId="0" applyNumberFormat="1" applyFont="1" applyBorder="1" applyAlignment="1">
      <alignment horizontal="center" vertical="center" wrapText="1"/>
    </xf>
    <xf numFmtId="176" fontId="6" fillId="0" borderId="23" xfId="0" applyNumberFormat="1" applyFont="1" applyBorder="1" applyAlignment="1">
      <alignment horizontal="center" vertical="center" wrapText="1"/>
    </xf>
    <xf numFmtId="176" fontId="9" fillId="0" borderId="13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6" fontId="7" fillId="0" borderId="62" xfId="0" applyNumberFormat="1" applyFont="1" applyBorder="1" applyAlignment="1">
      <alignment horizontal="center" vertical="center" wrapText="1"/>
    </xf>
    <xf numFmtId="176" fontId="7" fillId="0" borderId="46" xfId="0" applyNumberFormat="1" applyFont="1" applyBorder="1" applyAlignment="1">
      <alignment horizontal="center" vertical="center" wrapText="1"/>
    </xf>
    <xf numFmtId="176" fontId="7" fillId="0" borderId="38" xfId="0" applyNumberFormat="1" applyFont="1" applyBorder="1" applyAlignment="1">
      <alignment horizontal="center" vertical="center" wrapText="1"/>
    </xf>
    <xf numFmtId="176" fontId="9" fillId="0" borderId="47" xfId="0" applyNumberFormat="1" applyFont="1" applyBorder="1" applyAlignment="1">
      <alignment horizontal="center" vertical="center" wrapText="1"/>
    </xf>
    <xf numFmtId="176" fontId="6" fillId="0" borderId="28" xfId="0" applyNumberFormat="1" applyFont="1" applyBorder="1" applyAlignment="1">
      <alignment horizontal="center" vertical="center" wrapText="1"/>
    </xf>
    <xf numFmtId="176" fontId="9" fillId="6" borderId="12" xfId="0" applyNumberFormat="1" applyFont="1" applyFill="1" applyBorder="1" applyAlignment="1">
      <alignment horizontal="center" vertical="center" wrapText="1"/>
    </xf>
    <xf numFmtId="176" fontId="9" fillId="6" borderId="6" xfId="0" applyNumberFormat="1" applyFont="1" applyFill="1" applyBorder="1" applyAlignment="1">
      <alignment horizontal="center" vertical="center" wrapText="1"/>
    </xf>
    <xf numFmtId="176" fontId="9" fillId="6" borderId="3" xfId="0" applyNumberFormat="1" applyFont="1" applyFill="1" applyBorder="1" applyAlignment="1">
      <alignment horizontal="center" vertical="center" wrapText="1"/>
    </xf>
    <xf numFmtId="176" fontId="9" fillId="6" borderId="59" xfId="0" applyNumberFormat="1" applyFont="1" applyFill="1" applyBorder="1" applyAlignment="1">
      <alignment horizontal="center" vertical="center" wrapText="1"/>
    </xf>
    <xf numFmtId="176" fontId="9" fillId="6" borderId="60" xfId="0" applyNumberFormat="1" applyFont="1" applyFill="1" applyBorder="1" applyAlignment="1">
      <alignment horizontal="center" vertical="center" wrapText="1"/>
    </xf>
    <xf numFmtId="0" fontId="9" fillId="3" borderId="55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176" fontId="9" fillId="9" borderId="12" xfId="0" applyNumberFormat="1" applyFont="1" applyFill="1" applyBorder="1" applyAlignment="1">
      <alignment horizontal="center" vertical="center" wrapText="1"/>
    </xf>
    <xf numFmtId="176" fontId="9" fillId="9" borderId="6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6" fillId="0" borderId="16" xfId="0" applyNumberFormat="1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176" fontId="9" fillId="7" borderId="23" xfId="0" applyNumberFormat="1" applyFont="1" applyFill="1" applyBorder="1" applyAlignment="1">
      <alignment horizontal="center" vertical="center" wrapText="1"/>
    </xf>
    <xf numFmtId="176" fontId="9" fillId="7" borderId="10" xfId="0" applyNumberFormat="1" applyFont="1" applyFill="1" applyBorder="1" applyAlignment="1">
      <alignment horizontal="center" vertical="center" wrapText="1"/>
    </xf>
    <xf numFmtId="176" fontId="9" fillId="0" borderId="22" xfId="0" applyNumberFormat="1" applyFont="1" applyBorder="1" applyAlignment="1">
      <alignment horizontal="center" vertical="center" wrapText="1"/>
    </xf>
    <xf numFmtId="176" fontId="6" fillId="3" borderId="22" xfId="0" applyNumberFormat="1" applyFont="1" applyFill="1" applyBorder="1" applyAlignment="1">
      <alignment horizontal="center" vertical="center" wrapText="1"/>
    </xf>
    <xf numFmtId="176" fontId="6" fillId="3" borderId="47" xfId="0" applyNumberFormat="1" applyFont="1" applyFill="1" applyBorder="1" applyAlignment="1">
      <alignment horizontal="center" vertical="center" wrapText="1"/>
    </xf>
    <xf numFmtId="176" fontId="7" fillId="2" borderId="23" xfId="0" applyNumberFormat="1" applyFont="1" applyFill="1" applyBorder="1" applyAlignment="1">
      <alignment horizontal="center" vertical="center" wrapText="1"/>
    </xf>
    <xf numFmtId="176" fontId="7" fillId="2" borderId="2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7FCF-6DB4-4F9E-A80E-A5BABFB5AE53}">
  <sheetPr>
    <tabColor rgb="FFFFC000"/>
    <pageSetUpPr fitToPage="1"/>
  </sheetPr>
  <dimension ref="A1:O77"/>
  <sheetViews>
    <sheetView zoomScale="120" zoomScaleNormal="120" workbookViewId="0">
      <selection activeCell="Q38" sqref="Q38"/>
    </sheetView>
  </sheetViews>
  <sheetFormatPr defaultColWidth="9" defaultRowHeight="13.8" x14ac:dyDescent="0.4"/>
  <cols>
    <col min="1" max="1" width="6" style="2" customWidth="1"/>
    <col min="2" max="2" width="12.296875" style="3" customWidth="1"/>
    <col min="3" max="3" width="9.3984375" style="2" customWidth="1"/>
    <col min="4" max="4" width="18.8984375" style="200" customWidth="1"/>
    <col min="5" max="6" width="5.5" style="2" customWidth="1"/>
    <col min="7" max="7" width="5.5" style="3" customWidth="1"/>
    <col min="8" max="9" width="5.5" style="2" customWidth="1"/>
    <col min="10" max="11" width="5.5" style="3" customWidth="1"/>
    <col min="12" max="13" width="5.5" style="2" customWidth="1"/>
    <col min="14" max="15" width="5.5" style="3" customWidth="1"/>
    <col min="16" max="16" width="15.19921875" style="1" customWidth="1"/>
    <col min="17" max="16384" width="9" style="1"/>
  </cols>
  <sheetData>
    <row r="1" spans="1:15" ht="31.95" customHeight="1" x14ac:dyDescent="0.4">
      <c r="A1" s="261" t="s">
        <v>121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</row>
    <row r="2" spans="1:15" ht="22.2" customHeight="1" thickBot="1" x14ac:dyDescent="0.45">
      <c r="A2" s="262" t="s">
        <v>57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</row>
    <row r="3" spans="1:15" ht="15" customHeight="1" x14ac:dyDescent="0.4">
      <c r="A3" s="263" t="s">
        <v>0</v>
      </c>
      <c r="B3" s="265" t="s">
        <v>1</v>
      </c>
      <c r="C3" s="267" t="s">
        <v>2</v>
      </c>
      <c r="D3" s="268"/>
      <c r="E3" s="271" t="s">
        <v>46</v>
      </c>
      <c r="F3" s="273" t="s">
        <v>47</v>
      </c>
      <c r="G3" s="279" t="s">
        <v>101</v>
      </c>
      <c r="H3" s="275" t="s">
        <v>3</v>
      </c>
      <c r="I3" s="276"/>
      <c r="J3" s="275" t="s">
        <v>4</v>
      </c>
      <c r="K3" s="276"/>
      <c r="L3" s="275" t="s">
        <v>5</v>
      </c>
      <c r="M3" s="273"/>
      <c r="N3" s="275" t="s">
        <v>48</v>
      </c>
      <c r="O3" s="276" t="s">
        <v>49</v>
      </c>
    </row>
    <row r="4" spans="1:15" ht="15" customHeight="1" thickBot="1" x14ac:dyDescent="0.45">
      <c r="A4" s="264"/>
      <c r="B4" s="266"/>
      <c r="C4" s="269"/>
      <c r="D4" s="270"/>
      <c r="E4" s="272"/>
      <c r="F4" s="274"/>
      <c r="G4" s="280"/>
      <c r="H4" s="4" t="s">
        <v>6</v>
      </c>
      <c r="I4" s="5" t="s">
        <v>7</v>
      </c>
      <c r="J4" s="4" t="s">
        <v>6</v>
      </c>
      <c r="K4" s="5" t="s">
        <v>7</v>
      </c>
      <c r="L4" s="4" t="s">
        <v>6</v>
      </c>
      <c r="M4" s="32" t="s">
        <v>7</v>
      </c>
      <c r="N4" s="277"/>
      <c r="O4" s="278"/>
    </row>
    <row r="5" spans="1:15" ht="15" customHeight="1" x14ac:dyDescent="0.4">
      <c r="A5" s="281" t="s">
        <v>8</v>
      </c>
      <c r="B5" s="283" t="s">
        <v>9</v>
      </c>
      <c r="C5" s="7" t="s">
        <v>10</v>
      </c>
      <c r="D5" s="184" t="s">
        <v>24</v>
      </c>
      <c r="E5" s="8">
        <v>4</v>
      </c>
      <c r="F5" s="9">
        <v>3</v>
      </c>
      <c r="G5" s="7"/>
      <c r="H5" s="10">
        <v>3</v>
      </c>
      <c r="I5" s="11"/>
      <c r="J5" s="10"/>
      <c r="K5" s="33"/>
      <c r="L5" s="10"/>
      <c r="M5" s="11"/>
      <c r="N5" s="291">
        <f>SUM(H5:M10)</f>
        <v>18</v>
      </c>
      <c r="O5" s="292">
        <v>8</v>
      </c>
    </row>
    <row r="6" spans="1:15" ht="15" customHeight="1" x14ac:dyDescent="0.4">
      <c r="A6" s="282"/>
      <c r="B6" s="234"/>
      <c r="C6" s="12" t="s">
        <v>10</v>
      </c>
      <c r="D6" s="185" t="s">
        <v>63</v>
      </c>
      <c r="E6" s="44">
        <v>4</v>
      </c>
      <c r="F6" s="22">
        <v>3</v>
      </c>
      <c r="G6" s="42"/>
      <c r="H6" s="60"/>
      <c r="I6" s="54">
        <v>3</v>
      </c>
      <c r="J6" s="60"/>
      <c r="K6" s="40"/>
      <c r="L6" s="60"/>
      <c r="M6" s="54"/>
      <c r="N6" s="254"/>
      <c r="O6" s="257"/>
    </row>
    <row r="7" spans="1:15" ht="15" customHeight="1" x14ac:dyDescent="0.4">
      <c r="A7" s="282"/>
      <c r="B7" s="234"/>
      <c r="C7" s="42" t="s">
        <v>11</v>
      </c>
      <c r="D7" s="186" t="s">
        <v>55</v>
      </c>
      <c r="E7" s="44">
        <v>4</v>
      </c>
      <c r="F7" s="22">
        <v>3</v>
      </c>
      <c r="G7" s="42"/>
      <c r="H7" s="60"/>
      <c r="I7" s="54"/>
      <c r="J7" s="183">
        <v>3</v>
      </c>
      <c r="K7" s="116"/>
      <c r="L7" s="60"/>
      <c r="M7" s="54"/>
      <c r="N7" s="254"/>
      <c r="O7" s="257"/>
    </row>
    <row r="8" spans="1:15" ht="15" customHeight="1" x14ac:dyDescent="0.4">
      <c r="A8" s="282"/>
      <c r="B8" s="234"/>
      <c r="C8" s="12" t="s">
        <v>11</v>
      </c>
      <c r="D8" s="187" t="s">
        <v>108</v>
      </c>
      <c r="E8" s="13">
        <v>4</v>
      </c>
      <c r="F8" s="14">
        <v>3</v>
      </c>
      <c r="G8" s="12"/>
      <c r="H8" s="15"/>
      <c r="I8" s="16"/>
      <c r="J8" s="97"/>
      <c r="K8" s="110">
        <v>3</v>
      </c>
      <c r="L8" s="60"/>
      <c r="M8" s="54"/>
      <c r="N8" s="254"/>
      <c r="O8" s="257"/>
    </row>
    <row r="9" spans="1:15" ht="15" customHeight="1" x14ac:dyDescent="0.4">
      <c r="A9" s="282"/>
      <c r="B9" s="234"/>
      <c r="C9" s="12" t="s">
        <v>11</v>
      </c>
      <c r="D9" s="187" t="s">
        <v>39</v>
      </c>
      <c r="E9" s="13">
        <v>4</v>
      </c>
      <c r="F9" s="14">
        <v>3</v>
      </c>
      <c r="G9" s="12"/>
      <c r="H9" s="15"/>
      <c r="I9" s="16"/>
      <c r="J9" s="97"/>
      <c r="K9" s="110"/>
      <c r="L9" s="15">
        <v>3</v>
      </c>
      <c r="M9" s="54"/>
      <c r="N9" s="254"/>
      <c r="O9" s="257"/>
    </row>
    <row r="10" spans="1:15" ht="15" customHeight="1" x14ac:dyDescent="0.4">
      <c r="A10" s="282"/>
      <c r="B10" s="284"/>
      <c r="C10" s="12" t="s">
        <v>17</v>
      </c>
      <c r="D10" s="185" t="s">
        <v>62</v>
      </c>
      <c r="E10" s="13">
        <v>4</v>
      </c>
      <c r="F10" s="14">
        <v>3</v>
      </c>
      <c r="G10" s="12"/>
      <c r="H10" s="15"/>
      <c r="I10" s="16"/>
      <c r="J10" s="97"/>
      <c r="K10" s="110"/>
      <c r="L10" s="15"/>
      <c r="M10" s="96">
        <v>3</v>
      </c>
      <c r="N10" s="254"/>
      <c r="O10" s="257"/>
    </row>
    <row r="11" spans="1:15" ht="15" customHeight="1" x14ac:dyDescent="0.4">
      <c r="A11" s="282"/>
      <c r="B11" s="232" t="s">
        <v>12</v>
      </c>
      <c r="C11" s="12" t="s">
        <v>10</v>
      </c>
      <c r="D11" s="185" t="s">
        <v>25</v>
      </c>
      <c r="E11" s="13">
        <v>4</v>
      </c>
      <c r="F11" s="14">
        <v>3</v>
      </c>
      <c r="G11" s="12"/>
      <c r="H11" s="15">
        <v>3</v>
      </c>
      <c r="I11" s="16"/>
      <c r="J11" s="97"/>
      <c r="K11" s="110"/>
      <c r="L11" s="15"/>
      <c r="M11" s="16"/>
      <c r="N11" s="253">
        <f>SUM(H11:M16)</f>
        <v>21</v>
      </c>
      <c r="O11" s="256">
        <v>8</v>
      </c>
    </row>
    <row r="12" spans="1:15" ht="15" customHeight="1" x14ac:dyDescent="0.4">
      <c r="A12" s="282"/>
      <c r="B12" s="233"/>
      <c r="C12" s="12" t="s">
        <v>10</v>
      </c>
      <c r="D12" s="185" t="s">
        <v>26</v>
      </c>
      <c r="E12" s="13">
        <v>4</v>
      </c>
      <c r="F12" s="14">
        <v>3</v>
      </c>
      <c r="G12" s="12"/>
      <c r="H12" s="15"/>
      <c r="I12" s="16">
        <v>3</v>
      </c>
      <c r="J12" s="97"/>
      <c r="K12" s="110"/>
      <c r="L12" s="15"/>
      <c r="M12" s="16"/>
      <c r="N12" s="254"/>
      <c r="O12" s="257"/>
    </row>
    <row r="13" spans="1:15" ht="15" customHeight="1" x14ac:dyDescent="0.4">
      <c r="A13" s="282"/>
      <c r="B13" s="233"/>
      <c r="C13" s="12" t="s">
        <v>11</v>
      </c>
      <c r="D13" s="185" t="s">
        <v>40</v>
      </c>
      <c r="E13" s="13">
        <v>4</v>
      </c>
      <c r="F13" s="14">
        <v>4</v>
      </c>
      <c r="G13" s="12"/>
      <c r="H13" s="15"/>
      <c r="I13" s="16"/>
      <c r="J13" s="97">
        <v>4</v>
      </c>
      <c r="K13" s="110"/>
      <c r="L13" s="15"/>
      <c r="M13" s="16"/>
      <c r="N13" s="254"/>
      <c r="O13" s="257"/>
    </row>
    <row r="14" spans="1:15" ht="15" customHeight="1" x14ac:dyDescent="0.4">
      <c r="A14" s="282"/>
      <c r="B14" s="233"/>
      <c r="C14" s="12" t="s">
        <v>11</v>
      </c>
      <c r="D14" s="185" t="s">
        <v>45</v>
      </c>
      <c r="E14" s="13">
        <v>4</v>
      </c>
      <c r="F14" s="14">
        <v>4</v>
      </c>
      <c r="G14" s="12"/>
      <c r="H14" s="15"/>
      <c r="I14" s="16"/>
      <c r="J14" s="97"/>
      <c r="K14" s="110">
        <v>4</v>
      </c>
      <c r="L14" s="15"/>
      <c r="M14" s="16"/>
      <c r="N14" s="254"/>
      <c r="O14" s="257"/>
    </row>
    <row r="15" spans="1:15" ht="15" customHeight="1" x14ac:dyDescent="0.4">
      <c r="A15" s="282"/>
      <c r="B15" s="233"/>
      <c r="C15" s="12" t="s">
        <v>11</v>
      </c>
      <c r="D15" s="185" t="s">
        <v>22</v>
      </c>
      <c r="E15" s="13">
        <v>4</v>
      </c>
      <c r="F15" s="14">
        <v>4</v>
      </c>
      <c r="G15" s="12"/>
      <c r="H15" s="15"/>
      <c r="I15" s="16"/>
      <c r="J15" s="97"/>
      <c r="K15" s="110"/>
      <c r="L15" s="15">
        <v>4</v>
      </c>
      <c r="M15" s="16"/>
      <c r="N15" s="254"/>
      <c r="O15" s="257"/>
    </row>
    <row r="16" spans="1:15" ht="15" customHeight="1" x14ac:dyDescent="0.4">
      <c r="A16" s="282"/>
      <c r="B16" s="233"/>
      <c r="C16" s="12" t="s">
        <v>42</v>
      </c>
      <c r="D16" s="185" t="s">
        <v>140</v>
      </c>
      <c r="E16" s="13">
        <v>4</v>
      </c>
      <c r="F16" s="14">
        <v>3</v>
      </c>
      <c r="G16" s="12"/>
      <c r="H16" s="97"/>
      <c r="I16" s="16"/>
      <c r="J16" s="97"/>
      <c r="K16" s="110"/>
      <c r="L16" s="15"/>
      <c r="M16" s="96">
        <v>3</v>
      </c>
      <c r="N16" s="254"/>
      <c r="O16" s="257"/>
    </row>
    <row r="17" spans="1:15" s="77" customFormat="1" ht="15" customHeight="1" x14ac:dyDescent="0.4">
      <c r="A17" s="282"/>
      <c r="B17" s="242" t="s">
        <v>13</v>
      </c>
      <c r="C17" s="12" t="s">
        <v>10</v>
      </c>
      <c r="D17" s="185" t="s">
        <v>27</v>
      </c>
      <c r="E17" s="114">
        <v>4</v>
      </c>
      <c r="F17" s="117">
        <v>4</v>
      </c>
      <c r="G17" s="12"/>
      <c r="H17" s="97">
        <v>4</v>
      </c>
      <c r="I17" s="96"/>
      <c r="J17" s="97"/>
      <c r="K17" s="110"/>
      <c r="L17" s="97"/>
      <c r="M17" s="96"/>
      <c r="N17" s="285">
        <f>SUM(H17:M18)</f>
        <v>8</v>
      </c>
      <c r="O17" s="286">
        <v>8</v>
      </c>
    </row>
    <row r="18" spans="1:15" s="77" customFormat="1" ht="15" customHeight="1" x14ac:dyDescent="0.4">
      <c r="A18" s="282"/>
      <c r="B18" s="243"/>
      <c r="C18" s="12" t="s">
        <v>10</v>
      </c>
      <c r="D18" s="185" t="s">
        <v>28</v>
      </c>
      <c r="E18" s="114">
        <v>4</v>
      </c>
      <c r="F18" s="117">
        <v>4</v>
      </c>
      <c r="G18" s="12"/>
      <c r="H18" s="97"/>
      <c r="I18" s="96">
        <v>4</v>
      </c>
      <c r="J18" s="97"/>
      <c r="K18" s="110"/>
      <c r="L18" s="97"/>
      <c r="M18" s="96"/>
      <c r="N18" s="236"/>
      <c r="O18" s="287"/>
    </row>
    <row r="19" spans="1:15" ht="15" customHeight="1" x14ac:dyDescent="0.4">
      <c r="A19" s="282"/>
      <c r="B19" s="232" t="s">
        <v>14</v>
      </c>
      <c r="C19" s="12" t="s">
        <v>10</v>
      </c>
      <c r="D19" s="185" t="s">
        <v>31</v>
      </c>
      <c r="E19" s="13">
        <v>4</v>
      </c>
      <c r="F19" s="14">
        <v>3</v>
      </c>
      <c r="G19" s="12"/>
      <c r="H19" s="15">
        <v>3</v>
      </c>
      <c r="I19" s="16"/>
      <c r="J19" s="97"/>
      <c r="K19" s="110"/>
      <c r="L19" s="17"/>
      <c r="M19" s="18"/>
      <c r="N19" s="253">
        <f>SUM(H19:M20)</f>
        <v>6</v>
      </c>
      <c r="O19" s="288">
        <v>8</v>
      </c>
    </row>
    <row r="20" spans="1:15" ht="15" customHeight="1" x14ac:dyDescent="0.4">
      <c r="A20" s="282"/>
      <c r="B20" s="233"/>
      <c r="C20" s="12" t="s">
        <v>10</v>
      </c>
      <c r="D20" s="185" t="s">
        <v>32</v>
      </c>
      <c r="E20" s="13">
        <v>4</v>
      </c>
      <c r="F20" s="14">
        <v>3</v>
      </c>
      <c r="G20" s="12"/>
      <c r="H20" s="15"/>
      <c r="I20" s="16">
        <v>3</v>
      </c>
      <c r="J20" s="97"/>
      <c r="K20" s="110"/>
      <c r="L20" s="17"/>
      <c r="M20" s="18"/>
      <c r="N20" s="255"/>
      <c r="O20" s="289"/>
    </row>
    <row r="21" spans="1:15" ht="15" customHeight="1" x14ac:dyDescent="0.4">
      <c r="A21" s="282"/>
      <c r="B21" s="233"/>
      <c r="C21" s="12" t="s">
        <v>10</v>
      </c>
      <c r="D21" s="185" t="s">
        <v>29</v>
      </c>
      <c r="E21" s="13">
        <v>3</v>
      </c>
      <c r="F21" s="14">
        <v>3</v>
      </c>
      <c r="G21" s="12"/>
      <c r="H21" s="15">
        <v>3</v>
      </c>
      <c r="I21" s="16"/>
      <c r="J21" s="97"/>
      <c r="K21" s="110"/>
      <c r="L21" s="17"/>
      <c r="M21" s="18"/>
      <c r="N21" s="253">
        <f>SUM(H21:M22)</f>
        <v>6</v>
      </c>
      <c r="O21" s="288">
        <v>6</v>
      </c>
    </row>
    <row r="22" spans="1:15" ht="15" customHeight="1" x14ac:dyDescent="0.4">
      <c r="A22" s="282"/>
      <c r="B22" s="234"/>
      <c r="C22" s="12" t="s">
        <v>10</v>
      </c>
      <c r="D22" s="185" t="s">
        <v>30</v>
      </c>
      <c r="E22" s="13">
        <v>3</v>
      </c>
      <c r="F22" s="14">
        <v>3</v>
      </c>
      <c r="G22" s="12"/>
      <c r="H22" s="15"/>
      <c r="I22" s="16">
        <v>3</v>
      </c>
      <c r="J22" s="97"/>
      <c r="K22" s="110"/>
      <c r="L22" s="17"/>
      <c r="M22" s="18"/>
      <c r="N22" s="255"/>
      <c r="O22" s="289"/>
    </row>
    <row r="23" spans="1:15" ht="15" customHeight="1" x14ac:dyDescent="0.4">
      <c r="A23" s="282"/>
      <c r="B23" s="232" t="s">
        <v>15</v>
      </c>
      <c r="C23" s="12" t="s">
        <v>10</v>
      </c>
      <c r="D23" s="189" t="s">
        <v>33</v>
      </c>
      <c r="E23" s="13">
        <v>4</v>
      </c>
      <c r="F23" s="14">
        <v>3</v>
      </c>
      <c r="G23" s="19"/>
      <c r="H23" s="15">
        <v>3</v>
      </c>
      <c r="I23" s="16"/>
      <c r="J23" s="97"/>
      <c r="K23" s="110"/>
      <c r="L23" s="17"/>
      <c r="M23" s="18"/>
      <c r="N23" s="253">
        <f>SUM(H23:M27)</f>
        <v>11</v>
      </c>
      <c r="O23" s="256">
        <v>10</v>
      </c>
    </row>
    <row r="24" spans="1:15" ht="15" customHeight="1" x14ac:dyDescent="0.4">
      <c r="A24" s="282"/>
      <c r="B24" s="233"/>
      <c r="C24" s="12" t="s">
        <v>10</v>
      </c>
      <c r="D24" s="189" t="s">
        <v>34</v>
      </c>
      <c r="E24" s="13">
        <v>4</v>
      </c>
      <c r="F24" s="14">
        <v>3</v>
      </c>
      <c r="G24" s="19"/>
      <c r="H24" s="15"/>
      <c r="I24" s="16">
        <v>3</v>
      </c>
      <c r="J24" s="97"/>
      <c r="K24" s="110"/>
      <c r="L24" s="17"/>
      <c r="M24" s="18"/>
      <c r="N24" s="254"/>
      <c r="O24" s="257"/>
    </row>
    <row r="25" spans="1:15" ht="15" customHeight="1" x14ac:dyDescent="0.4">
      <c r="A25" s="282"/>
      <c r="B25" s="233"/>
      <c r="C25" s="12" t="s">
        <v>10</v>
      </c>
      <c r="D25" s="189" t="s">
        <v>35</v>
      </c>
      <c r="E25" s="13">
        <v>1</v>
      </c>
      <c r="F25" s="14">
        <v>1</v>
      </c>
      <c r="G25" s="19"/>
      <c r="H25" s="15">
        <v>1</v>
      </c>
      <c r="I25" s="16"/>
      <c r="J25" s="97"/>
      <c r="K25" s="110"/>
      <c r="L25" s="17"/>
      <c r="M25" s="18"/>
      <c r="N25" s="254"/>
      <c r="O25" s="257"/>
    </row>
    <row r="26" spans="1:15" ht="15" customHeight="1" x14ac:dyDescent="0.4">
      <c r="A26" s="282"/>
      <c r="B26" s="233"/>
      <c r="C26" s="12" t="s">
        <v>10</v>
      </c>
      <c r="D26" s="189" t="s">
        <v>51</v>
      </c>
      <c r="E26" s="13">
        <v>1</v>
      </c>
      <c r="F26" s="14">
        <v>1</v>
      </c>
      <c r="G26" s="19"/>
      <c r="H26" s="15"/>
      <c r="I26" s="16">
        <v>1</v>
      </c>
      <c r="J26" s="97"/>
      <c r="K26" s="110"/>
      <c r="L26" s="17"/>
      <c r="M26" s="18"/>
      <c r="N26" s="254"/>
      <c r="O26" s="257"/>
    </row>
    <row r="27" spans="1:15" ht="15" customHeight="1" x14ac:dyDescent="0.4">
      <c r="A27" s="282"/>
      <c r="B27" s="233"/>
      <c r="C27" s="12" t="s">
        <v>42</v>
      </c>
      <c r="D27" s="189" t="s">
        <v>74</v>
      </c>
      <c r="E27" s="13">
        <v>4</v>
      </c>
      <c r="F27" s="14">
        <v>3</v>
      </c>
      <c r="G27" s="19"/>
      <c r="H27" s="15"/>
      <c r="I27" s="16"/>
      <c r="J27" s="97"/>
      <c r="K27" s="110"/>
      <c r="L27" s="97"/>
      <c r="M27" s="177">
        <v>3</v>
      </c>
      <c r="N27" s="254"/>
      <c r="O27" s="257"/>
    </row>
    <row r="28" spans="1:15" ht="15" customHeight="1" x14ac:dyDescent="0.4">
      <c r="A28" s="282"/>
      <c r="B28" s="232" t="s">
        <v>16</v>
      </c>
      <c r="C28" s="12" t="s">
        <v>17</v>
      </c>
      <c r="D28" s="189" t="s">
        <v>43</v>
      </c>
      <c r="E28" s="20">
        <v>2</v>
      </c>
      <c r="F28" s="21">
        <v>1</v>
      </c>
      <c r="G28" s="19"/>
      <c r="H28" s="17">
        <v>1</v>
      </c>
      <c r="I28" s="18"/>
      <c r="J28" s="97"/>
      <c r="K28" s="110"/>
      <c r="L28" s="17"/>
      <c r="M28" s="18"/>
      <c r="N28" s="253">
        <f>SUM(H28:M33)</f>
        <v>10</v>
      </c>
      <c r="O28" s="256">
        <v>10</v>
      </c>
    </row>
    <row r="29" spans="1:15" ht="15" customHeight="1" x14ac:dyDescent="0.4">
      <c r="A29" s="282"/>
      <c r="B29" s="233"/>
      <c r="C29" s="12" t="s">
        <v>17</v>
      </c>
      <c r="D29" s="189" t="s">
        <v>44</v>
      </c>
      <c r="E29" s="20">
        <v>2</v>
      </c>
      <c r="F29" s="21">
        <v>1</v>
      </c>
      <c r="G29" s="19"/>
      <c r="H29" s="15"/>
      <c r="I29" s="16">
        <v>1</v>
      </c>
      <c r="J29" s="97"/>
      <c r="K29" s="110"/>
      <c r="L29" s="15"/>
      <c r="M29" s="16"/>
      <c r="N29" s="254"/>
      <c r="O29" s="257"/>
    </row>
    <row r="30" spans="1:15" ht="15" customHeight="1" x14ac:dyDescent="0.4">
      <c r="A30" s="282"/>
      <c r="B30" s="233"/>
      <c r="C30" s="12" t="s">
        <v>11</v>
      </c>
      <c r="D30" s="189" t="s">
        <v>36</v>
      </c>
      <c r="E30" s="20">
        <v>2</v>
      </c>
      <c r="F30" s="21">
        <v>2</v>
      </c>
      <c r="G30" s="19"/>
      <c r="H30" s="15"/>
      <c r="I30" s="16"/>
      <c r="J30" s="97">
        <v>2</v>
      </c>
      <c r="K30" s="110"/>
      <c r="L30" s="15"/>
      <c r="M30" s="16"/>
      <c r="N30" s="254"/>
      <c r="O30" s="257"/>
    </row>
    <row r="31" spans="1:15" ht="15" customHeight="1" x14ac:dyDescent="0.4">
      <c r="A31" s="282"/>
      <c r="B31" s="233"/>
      <c r="C31" s="12" t="s">
        <v>11</v>
      </c>
      <c r="D31" s="189" t="s">
        <v>37</v>
      </c>
      <c r="E31" s="20">
        <v>2</v>
      </c>
      <c r="F31" s="21">
        <v>2</v>
      </c>
      <c r="G31" s="19"/>
      <c r="H31" s="15"/>
      <c r="I31" s="16"/>
      <c r="J31" s="97"/>
      <c r="K31" s="110">
        <v>2</v>
      </c>
      <c r="L31" s="15"/>
      <c r="M31" s="16"/>
      <c r="N31" s="254"/>
      <c r="O31" s="257"/>
    </row>
    <row r="32" spans="1:15" ht="15" customHeight="1" x14ac:dyDescent="0.4">
      <c r="A32" s="282"/>
      <c r="B32" s="233"/>
      <c r="C32" s="12" t="s">
        <v>42</v>
      </c>
      <c r="D32" s="189" t="s">
        <v>41</v>
      </c>
      <c r="E32" s="20">
        <v>3</v>
      </c>
      <c r="F32" s="21">
        <v>2</v>
      </c>
      <c r="G32" s="19"/>
      <c r="H32" s="15"/>
      <c r="I32" s="16"/>
      <c r="J32" s="15"/>
      <c r="K32" s="34"/>
      <c r="L32" s="15">
        <v>2</v>
      </c>
      <c r="M32" s="16"/>
      <c r="N32" s="254"/>
      <c r="O32" s="257"/>
    </row>
    <row r="33" spans="1:15" ht="15" customHeight="1" x14ac:dyDescent="0.4">
      <c r="A33" s="282"/>
      <c r="B33" s="234"/>
      <c r="C33" s="12" t="s">
        <v>42</v>
      </c>
      <c r="D33" s="189" t="s">
        <v>56</v>
      </c>
      <c r="E33" s="20">
        <v>3</v>
      </c>
      <c r="F33" s="21">
        <v>2</v>
      </c>
      <c r="G33" s="19"/>
      <c r="H33" s="15"/>
      <c r="I33" s="16"/>
      <c r="J33" s="15"/>
      <c r="K33" s="34"/>
      <c r="L33" s="15"/>
      <c r="M33" s="16">
        <v>2</v>
      </c>
      <c r="N33" s="255"/>
      <c r="O33" s="258"/>
    </row>
    <row r="34" spans="1:15" ht="15" customHeight="1" x14ac:dyDescent="0.4">
      <c r="A34" s="282"/>
      <c r="B34" s="232" t="s">
        <v>18</v>
      </c>
      <c r="C34" s="12" t="s">
        <v>11</v>
      </c>
      <c r="D34" s="189" t="s">
        <v>141</v>
      </c>
      <c r="E34" s="13">
        <v>3</v>
      </c>
      <c r="F34" s="14">
        <v>2</v>
      </c>
      <c r="G34" s="19"/>
      <c r="H34" s="72">
        <v>2</v>
      </c>
      <c r="I34" s="24"/>
      <c r="J34" s="17"/>
      <c r="K34" s="35"/>
      <c r="L34" s="17"/>
      <c r="M34" s="18"/>
      <c r="N34" s="253">
        <f>SUM(H34:M35)</f>
        <v>5</v>
      </c>
      <c r="O34" s="259">
        <v>5</v>
      </c>
    </row>
    <row r="35" spans="1:15" ht="15" customHeight="1" x14ac:dyDescent="0.4">
      <c r="A35" s="282"/>
      <c r="B35" s="233"/>
      <c r="C35" s="12" t="s">
        <v>17</v>
      </c>
      <c r="D35" s="189" t="s">
        <v>19</v>
      </c>
      <c r="E35" s="13">
        <v>3</v>
      </c>
      <c r="F35" s="14">
        <v>3</v>
      </c>
      <c r="G35" s="19"/>
      <c r="H35" s="25"/>
      <c r="I35" s="26"/>
      <c r="J35" s="75">
        <v>3</v>
      </c>
      <c r="K35" s="36"/>
      <c r="L35" s="17"/>
      <c r="M35" s="18"/>
      <c r="N35" s="255"/>
      <c r="O35" s="260"/>
    </row>
    <row r="36" spans="1:15" ht="15" customHeight="1" x14ac:dyDescent="0.4">
      <c r="A36" s="282"/>
      <c r="B36" s="232" t="s">
        <v>143</v>
      </c>
      <c r="C36" s="12" t="s">
        <v>11</v>
      </c>
      <c r="D36" s="189" t="s">
        <v>38</v>
      </c>
      <c r="E36" s="13">
        <v>3</v>
      </c>
      <c r="F36" s="14">
        <v>2</v>
      </c>
      <c r="G36" s="19"/>
      <c r="H36" s="17"/>
      <c r="I36" s="73">
        <v>2</v>
      </c>
      <c r="J36" s="17"/>
      <c r="K36" s="35"/>
      <c r="L36" s="17"/>
      <c r="M36" s="18"/>
      <c r="N36" s="293">
        <f>SUM(H36:M39)</f>
        <v>10</v>
      </c>
      <c r="O36" s="259">
        <v>12</v>
      </c>
    </row>
    <row r="37" spans="1:15" ht="15" customHeight="1" x14ac:dyDescent="0.4">
      <c r="A37" s="282"/>
      <c r="B37" s="233"/>
      <c r="C37" s="41" t="s">
        <v>17</v>
      </c>
      <c r="D37" s="190" t="s">
        <v>87</v>
      </c>
      <c r="E37" s="43">
        <v>3</v>
      </c>
      <c r="F37" s="27">
        <v>3</v>
      </c>
      <c r="G37" s="69"/>
      <c r="H37" s="59"/>
      <c r="I37" s="28"/>
      <c r="J37" s="90"/>
      <c r="K37" s="76">
        <v>3</v>
      </c>
      <c r="L37" s="59"/>
      <c r="M37" s="28"/>
      <c r="N37" s="294"/>
      <c r="O37" s="260"/>
    </row>
    <row r="38" spans="1:15" ht="15" customHeight="1" x14ac:dyDescent="0.4">
      <c r="A38" s="282"/>
      <c r="B38" s="233"/>
      <c r="C38" s="41" t="s">
        <v>114</v>
      </c>
      <c r="D38" s="190" t="s">
        <v>115</v>
      </c>
      <c r="E38" s="89">
        <v>3</v>
      </c>
      <c r="F38" s="148">
        <v>3</v>
      </c>
      <c r="G38" s="149"/>
      <c r="H38" s="147"/>
      <c r="I38" s="28"/>
      <c r="J38" s="90"/>
      <c r="K38" s="113"/>
      <c r="L38" s="178">
        <v>3</v>
      </c>
      <c r="M38" s="28"/>
      <c r="N38" s="294"/>
      <c r="O38" s="260"/>
    </row>
    <row r="39" spans="1:15" ht="15" customHeight="1" x14ac:dyDescent="0.4">
      <c r="A39" s="282"/>
      <c r="B39" s="234"/>
      <c r="C39" s="12" t="s">
        <v>17</v>
      </c>
      <c r="D39" s="201" t="s">
        <v>71</v>
      </c>
      <c r="E39" s="13">
        <v>3</v>
      </c>
      <c r="F39" s="13">
        <v>2</v>
      </c>
      <c r="G39" s="26"/>
      <c r="H39" s="17"/>
      <c r="I39" s="18"/>
      <c r="J39" s="59"/>
      <c r="K39" s="18"/>
      <c r="L39" s="17">
        <v>2</v>
      </c>
      <c r="M39" s="18"/>
      <c r="N39" s="295"/>
      <c r="O39" s="296"/>
    </row>
    <row r="40" spans="1:15" s="77" customFormat="1" ht="15" customHeight="1" x14ac:dyDescent="0.4">
      <c r="A40" s="282"/>
      <c r="B40" s="235" t="s">
        <v>59</v>
      </c>
      <c r="C40" s="42" t="s">
        <v>17</v>
      </c>
      <c r="D40" s="191" t="s">
        <v>68</v>
      </c>
      <c r="E40" s="102">
        <v>4</v>
      </c>
      <c r="F40" s="134">
        <v>6</v>
      </c>
      <c r="G40" s="51"/>
      <c r="H40" s="133">
        <v>6</v>
      </c>
      <c r="I40" s="107"/>
      <c r="J40" s="97"/>
      <c r="K40" s="116"/>
      <c r="L40" s="106"/>
      <c r="M40" s="107"/>
      <c r="N40" s="236">
        <f>SUM(H40:M46)</f>
        <v>41</v>
      </c>
      <c r="O40" s="259">
        <v>68</v>
      </c>
    </row>
    <row r="41" spans="1:15" s="77" customFormat="1" ht="15" customHeight="1" x14ac:dyDescent="0.4">
      <c r="A41" s="282"/>
      <c r="B41" s="235"/>
      <c r="C41" s="12" t="s">
        <v>17</v>
      </c>
      <c r="D41" s="189" t="s">
        <v>64</v>
      </c>
      <c r="E41" s="114">
        <v>4</v>
      </c>
      <c r="F41" s="117">
        <v>6</v>
      </c>
      <c r="G41" s="19"/>
      <c r="H41" s="97"/>
      <c r="I41" s="96">
        <v>6</v>
      </c>
      <c r="J41" s="97"/>
      <c r="K41" s="110"/>
      <c r="L41" s="109"/>
      <c r="M41" s="96"/>
      <c r="N41" s="236"/>
      <c r="O41" s="260"/>
    </row>
    <row r="42" spans="1:15" s="77" customFormat="1" ht="15" customHeight="1" x14ac:dyDescent="0.4">
      <c r="A42" s="282"/>
      <c r="B42" s="235"/>
      <c r="C42" s="12" t="s">
        <v>17</v>
      </c>
      <c r="D42" s="191" t="s">
        <v>67</v>
      </c>
      <c r="E42" s="114">
        <v>4</v>
      </c>
      <c r="F42" s="117">
        <v>6</v>
      </c>
      <c r="G42" s="51"/>
      <c r="H42" s="97"/>
      <c r="I42" s="96"/>
      <c r="J42" s="97">
        <v>6</v>
      </c>
      <c r="K42" s="110"/>
      <c r="L42" s="109"/>
      <c r="M42" s="96"/>
      <c r="N42" s="236"/>
      <c r="O42" s="260"/>
    </row>
    <row r="43" spans="1:15" s="77" customFormat="1" ht="15" customHeight="1" x14ac:dyDescent="0.4">
      <c r="A43" s="282"/>
      <c r="B43" s="235"/>
      <c r="C43" s="12" t="s">
        <v>17</v>
      </c>
      <c r="D43" s="189" t="s">
        <v>66</v>
      </c>
      <c r="E43" s="114">
        <v>4</v>
      </c>
      <c r="F43" s="117">
        <v>6</v>
      </c>
      <c r="G43" s="19"/>
      <c r="H43" s="97"/>
      <c r="I43" s="96"/>
      <c r="J43" s="97"/>
      <c r="K43" s="110">
        <v>6</v>
      </c>
      <c r="L43" s="109"/>
      <c r="M43" s="96"/>
      <c r="N43" s="236"/>
      <c r="O43" s="260"/>
    </row>
    <row r="44" spans="1:15" s="77" customFormat="1" ht="15" customHeight="1" x14ac:dyDescent="0.4">
      <c r="A44" s="282"/>
      <c r="B44" s="235"/>
      <c r="C44" s="12" t="s">
        <v>17</v>
      </c>
      <c r="D44" s="189" t="s">
        <v>69</v>
      </c>
      <c r="E44" s="114">
        <v>4</v>
      </c>
      <c r="F44" s="117">
        <v>6</v>
      </c>
      <c r="G44" s="19"/>
      <c r="H44" s="97"/>
      <c r="I44" s="96"/>
      <c r="J44" s="97"/>
      <c r="K44" s="110"/>
      <c r="L44" s="109">
        <v>6</v>
      </c>
      <c r="M44" s="96"/>
      <c r="N44" s="236"/>
      <c r="O44" s="260"/>
    </row>
    <row r="45" spans="1:15" s="77" customFormat="1" ht="15" customHeight="1" x14ac:dyDescent="0.4">
      <c r="A45" s="282"/>
      <c r="B45" s="235"/>
      <c r="C45" s="12" t="s">
        <v>17</v>
      </c>
      <c r="D45" s="189" t="s">
        <v>82</v>
      </c>
      <c r="E45" s="114">
        <v>4</v>
      </c>
      <c r="F45" s="117">
        <v>6</v>
      </c>
      <c r="G45" s="19"/>
      <c r="H45" s="97"/>
      <c r="I45" s="96"/>
      <c r="J45" s="97"/>
      <c r="K45" s="110"/>
      <c r="L45" s="109"/>
      <c r="M45" s="96">
        <v>6</v>
      </c>
      <c r="N45" s="236"/>
      <c r="O45" s="260"/>
    </row>
    <row r="46" spans="1:15" s="77" customFormat="1" ht="15" customHeight="1" x14ac:dyDescent="0.4">
      <c r="A46" s="282"/>
      <c r="B46" s="235"/>
      <c r="C46" s="12" t="s">
        <v>17</v>
      </c>
      <c r="D46" s="189" t="s">
        <v>65</v>
      </c>
      <c r="E46" s="127">
        <v>4</v>
      </c>
      <c r="F46" s="114">
        <v>5</v>
      </c>
      <c r="G46" s="99"/>
      <c r="H46" s="97"/>
      <c r="I46" s="96"/>
      <c r="J46" s="132"/>
      <c r="K46" s="96"/>
      <c r="L46" s="135"/>
      <c r="M46" s="82">
        <v>5</v>
      </c>
      <c r="N46" s="236"/>
      <c r="O46" s="260"/>
    </row>
    <row r="47" spans="1:15" ht="15" customHeight="1" x14ac:dyDescent="0.4">
      <c r="A47" s="282"/>
      <c r="B47" s="242" t="s">
        <v>60</v>
      </c>
      <c r="C47" s="42" t="s">
        <v>17</v>
      </c>
      <c r="D47" s="191" t="s">
        <v>116</v>
      </c>
      <c r="E47" s="114">
        <v>4</v>
      </c>
      <c r="F47" s="130">
        <v>6</v>
      </c>
      <c r="G47" s="51"/>
      <c r="H47" s="129"/>
      <c r="I47" s="107"/>
      <c r="J47" s="97">
        <v>6</v>
      </c>
      <c r="K47" s="116"/>
      <c r="L47" s="97"/>
      <c r="M47" s="96"/>
      <c r="N47" s="237">
        <f>SUM(H47:M49)</f>
        <v>15</v>
      </c>
      <c r="O47" s="260"/>
    </row>
    <row r="48" spans="1:15" ht="15" customHeight="1" x14ac:dyDescent="0.4">
      <c r="A48" s="282"/>
      <c r="B48" s="243"/>
      <c r="C48" s="12" t="s">
        <v>17</v>
      </c>
      <c r="D48" s="202" t="s">
        <v>79</v>
      </c>
      <c r="E48" s="114">
        <v>4</v>
      </c>
      <c r="F48" s="114">
        <v>6</v>
      </c>
      <c r="G48" s="99"/>
      <c r="H48" s="136"/>
      <c r="I48" s="96"/>
      <c r="J48" s="97"/>
      <c r="K48" s="96">
        <v>6</v>
      </c>
      <c r="L48" s="97"/>
      <c r="M48" s="96"/>
      <c r="N48" s="238"/>
      <c r="O48" s="260"/>
    </row>
    <row r="49" spans="1:15" ht="15" customHeight="1" x14ac:dyDescent="0.4">
      <c r="A49" s="282"/>
      <c r="B49" s="244"/>
      <c r="C49" s="91" t="s">
        <v>123</v>
      </c>
      <c r="D49" s="189" t="s">
        <v>124</v>
      </c>
      <c r="E49" s="160">
        <v>4</v>
      </c>
      <c r="F49" s="156">
        <v>3</v>
      </c>
      <c r="G49" s="157"/>
      <c r="H49" s="161"/>
      <c r="I49" s="158"/>
      <c r="J49" s="161"/>
      <c r="K49" s="159"/>
      <c r="L49" s="97">
        <v>3</v>
      </c>
      <c r="M49" s="96"/>
      <c r="N49" s="239"/>
      <c r="O49" s="260"/>
    </row>
    <row r="50" spans="1:15" ht="15" customHeight="1" thickBot="1" x14ac:dyDescent="0.45">
      <c r="A50" s="141"/>
      <c r="B50" s="140" t="s">
        <v>111</v>
      </c>
      <c r="C50" s="29" t="s">
        <v>112</v>
      </c>
      <c r="D50" s="193" t="s">
        <v>113</v>
      </c>
      <c r="E50" s="146">
        <v>4</v>
      </c>
      <c r="F50" s="118">
        <v>3</v>
      </c>
      <c r="G50" s="139"/>
      <c r="H50" s="120"/>
      <c r="I50" s="121"/>
      <c r="J50" s="120"/>
      <c r="K50" s="121"/>
      <c r="L50" s="138"/>
      <c r="M50" s="150">
        <v>3</v>
      </c>
      <c r="N50" s="137">
        <v>3</v>
      </c>
      <c r="O50" s="260"/>
    </row>
    <row r="51" spans="1:15" ht="15" customHeight="1" x14ac:dyDescent="0.4">
      <c r="A51" s="229" t="s">
        <v>52</v>
      </c>
      <c r="B51" s="245" t="s">
        <v>58</v>
      </c>
      <c r="C51" s="42" t="s">
        <v>17</v>
      </c>
      <c r="D51" s="191" t="s">
        <v>134</v>
      </c>
      <c r="E51" s="102">
        <v>4</v>
      </c>
      <c r="F51" s="145">
        <v>3</v>
      </c>
      <c r="G51" s="250" t="s">
        <v>99</v>
      </c>
      <c r="H51" s="104"/>
      <c r="I51" s="105"/>
      <c r="J51" s="124"/>
      <c r="K51" s="251">
        <v>3</v>
      </c>
      <c r="L51" s="124"/>
      <c r="M51" s="125"/>
      <c r="N51" s="246">
        <f>SUM(H51:M58)</f>
        <v>9</v>
      </c>
      <c r="O51" s="260"/>
    </row>
    <row r="52" spans="1:15" ht="15" customHeight="1" x14ac:dyDescent="0.4">
      <c r="A52" s="230"/>
      <c r="B52" s="243"/>
      <c r="C52" s="42" t="s">
        <v>17</v>
      </c>
      <c r="D52" s="191" t="s">
        <v>135</v>
      </c>
      <c r="E52" s="102">
        <v>4</v>
      </c>
      <c r="F52" s="103">
        <v>3</v>
      </c>
      <c r="G52" s="241"/>
      <c r="H52" s="104"/>
      <c r="I52" s="105"/>
      <c r="J52" s="104"/>
      <c r="K52" s="252"/>
      <c r="L52" s="106"/>
      <c r="M52" s="107"/>
      <c r="N52" s="238"/>
      <c r="O52" s="260"/>
    </row>
    <row r="53" spans="1:15" ht="15" customHeight="1" x14ac:dyDescent="0.4">
      <c r="A53" s="230"/>
      <c r="B53" s="243"/>
      <c r="C53" s="42" t="s">
        <v>17</v>
      </c>
      <c r="D53" s="191" t="s">
        <v>136</v>
      </c>
      <c r="E53" s="102">
        <v>4</v>
      </c>
      <c r="F53" s="103">
        <v>3</v>
      </c>
      <c r="G53" s="241"/>
      <c r="H53" s="104"/>
      <c r="I53" s="105"/>
      <c r="J53" s="104"/>
      <c r="K53" s="252"/>
      <c r="L53" s="106"/>
      <c r="M53" s="107"/>
      <c r="N53" s="238"/>
      <c r="O53" s="260"/>
    </row>
    <row r="54" spans="1:15" ht="15" customHeight="1" x14ac:dyDescent="0.4">
      <c r="A54" s="230"/>
      <c r="B54" s="243"/>
      <c r="C54" s="12" t="s">
        <v>17</v>
      </c>
      <c r="D54" s="191" t="s">
        <v>151</v>
      </c>
      <c r="E54" s="102">
        <v>4</v>
      </c>
      <c r="F54" s="103">
        <v>3</v>
      </c>
      <c r="G54" s="240" t="s">
        <v>100</v>
      </c>
      <c r="H54" s="97"/>
      <c r="I54" s="108"/>
      <c r="J54" s="97"/>
      <c r="K54" s="110"/>
      <c r="L54" s="247">
        <v>6</v>
      </c>
      <c r="M54" s="96"/>
      <c r="N54" s="238"/>
      <c r="O54" s="260"/>
    </row>
    <row r="55" spans="1:15" ht="15" customHeight="1" x14ac:dyDescent="0.4">
      <c r="A55" s="230"/>
      <c r="B55" s="243"/>
      <c r="C55" s="42" t="s">
        <v>17</v>
      </c>
      <c r="D55" s="191" t="s">
        <v>137</v>
      </c>
      <c r="E55" s="102">
        <v>4</v>
      </c>
      <c r="F55" s="103">
        <v>3</v>
      </c>
      <c r="G55" s="241"/>
      <c r="H55" s="111"/>
      <c r="I55" s="112"/>
      <c r="J55" s="111"/>
      <c r="K55" s="113"/>
      <c r="L55" s="248"/>
      <c r="M55" s="82"/>
      <c r="N55" s="238"/>
      <c r="O55" s="260"/>
    </row>
    <row r="56" spans="1:15" ht="15" customHeight="1" x14ac:dyDescent="0.4">
      <c r="A56" s="230"/>
      <c r="B56" s="243"/>
      <c r="C56" s="91" t="s">
        <v>119</v>
      </c>
      <c r="D56" s="191" t="s">
        <v>118</v>
      </c>
      <c r="E56" s="102">
        <v>4</v>
      </c>
      <c r="F56" s="114">
        <v>3</v>
      </c>
      <c r="G56" s="241"/>
      <c r="H56" s="151"/>
      <c r="I56" s="112"/>
      <c r="J56" s="151"/>
      <c r="K56" s="113"/>
      <c r="L56" s="248"/>
      <c r="M56" s="82"/>
      <c r="N56" s="238"/>
      <c r="O56" s="260"/>
    </row>
    <row r="57" spans="1:15" ht="15" customHeight="1" x14ac:dyDescent="0.4">
      <c r="A57" s="230"/>
      <c r="B57" s="243"/>
      <c r="C57" s="12" t="s">
        <v>119</v>
      </c>
      <c r="D57" s="191" t="s">
        <v>138</v>
      </c>
      <c r="E57" s="102">
        <v>4</v>
      </c>
      <c r="F57" s="114">
        <v>3</v>
      </c>
      <c r="G57" s="241"/>
      <c r="H57" s="151"/>
      <c r="I57" s="112"/>
      <c r="J57" s="151"/>
      <c r="K57" s="113"/>
      <c r="L57" s="248"/>
      <c r="M57" s="82"/>
      <c r="N57" s="238"/>
      <c r="O57" s="260"/>
    </row>
    <row r="58" spans="1:15" ht="15" customHeight="1" x14ac:dyDescent="0.4">
      <c r="A58" s="230"/>
      <c r="B58" s="243"/>
      <c r="C58" s="91" t="s">
        <v>119</v>
      </c>
      <c r="D58" s="191" t="s">
        <v>139</v>
      </c>
      <c r="E58" s="102">
        <v>4</v>
      </c>
      <c r="F58" s="152">
        <v>3</v>
      </c>
      <c r="G58" s="241"/>
      <c r="H58" s="97"/>
      <c r="I58" s="96"/>
      <c r="J58" s="97"/>
      <c r="K58" s="113"/>
      <c r="L58" s="249"/>
      <c r="M58" s="82"/>
      <c r="N58" s="238"/>
      <c r="O58" s="260"/>
    </row>
    <row r="59" spans="1:15" ht="15" customHeight="1" x14ac:dyDescent="0.4">
      <c r="A59" s="230"/>
      <c r="B59" s="206" t="s">
        <v>144</v>
      </c>
      <c r="C59" s="12" t="s">
        <v>11</v>
      </c>
      <c r="D59" s="194" t="s">
        <v>61</v>
      </c>
      <c r="E59" s="88">
        <v>3</v>
      </c>
      <c r="F59" s="13">
        <v>2</v>
      </c>
      <c r="G59" s="220" t="s">
        <v>99</v>
      </c>
      <c r="H59" s="60"/>
      <c r="I59" s="64"/>
      <c r="J59" s="84"/>
      <c r="K59" s="16"/>
      <c r="L59" s="100"/>
      <c r="M59" s="302">
        <v>2</v>
      </c>
      <c r="N59" s="293">
        <f>SUM(H59:M60)</f>
        <v>2</v>
      </c>
      <c r="O59" s="256">
        <v>12</v>
      </c>
    </row>
    <row r="60" spans="1:15" ht="15" customHeight="1" x14ac:dyDescent="0.4">
      <c r="A60" s="230"/>
      <c r="B60" s="207"/>
      <c r="C60" s="42" t="s">
        <v>17</v>
      </c>
      <c r="D60" s="194" t="s">
        <v>72</v>
      </c>
      <c r="E60" s="44">
        <v>3</v>
      </c>
      <c r="F60" s="22">
        <v>2</v>
      </c>
      <c r="G60" s="221"/>
      <c r="H60" s="60"/>
      <c r="I60" s="64"/>
      <c r="J60" s="60"/>
      <c r="K60" s="40"/>
      <c r="L60" s="1"/>
      <c r="M60" s="303"/>
      <c r="N60" s="294"/>
      <c r="O60" s="257"/>
    </row>
    <row r="61" spans="1:15" ht="15" customHeight="1" x14ac:dyDescent="0.4">
      <c r="A61" s="230"/>
      <c r="B61" s="206" t="s">
        <v>23</v>
      </c>
      <c r="C61" s="12" t="s">
        <v>50</v>
      </c>
      <c r="D61" s="196" t="s">
        <v>73</v>
      </c>
      <c r="E61" s="88">
        <v>4</v>
      </c>
      <c r="F61" s="13">
        <v>3</v>
      </c>
      <c r="G61" s="222" t="s">
        <v>99</v>
      </c>
      <c r="H61" s="15"/>
      <c r="I61" s="16"/>
      <c r="J61" s="226">
        <v>3</v>
      </c>
      <c r="K61" s="54"/>
      <c r="L61" s="143"/>
      <c r="M61" s="54"/>
      <c r="N61" s="293">
        <f>SUM(H61:M64)</f>
        <v>3</v>
      </c>
      <c r="O61" s="256">
        <v>8</v>
      </c>
    </row>
    <row r="62" spans="1:15" ht="15" customHeight="1" x14ac:dyDescent="0.4">
      <c r="A62" s="230"/>
      <c r="B62" s="218"/>
      <c r="C62" s="42" t="s">
        <v>11</v>
      </c>
      <c r="D62" s="196" t="s">
        <v>75</v>
      </c>
      <c r="E62" s="13">
        <v>4</v>
      </c>
      <c r="F62" s="14">
        <v>3</v>
      </c>
      <c r="G62" s="223"/>
      <c r="H62" s="84"/>
      <c r="I62" s="54"/>
      <c r="J62" s="227"/>
      <c r="K62" s="16"/>
      <c r="L62" s="142"/>
      <c r="M62" s="54"/>
      <c r="N62" s="294"/>
      <c r="O62" s="257"/>
    </row>
    <row r="63" spans="1:15" ht="15" customHeight="1" x14ac:dyDescent="0.4">
      <c r="A63" s="230"/>
      <c r="B63" s="218"/>
      <c r="C63" s="42" t="s">
        <v>11</v>
      </c>
      <c r="D63" s="196" t="s">
        <v>120</v>
      </c>
      <c r="E63" s="13">
        <v>4</v>
      </c>
      <c r="F63" s="14">
        <v>3</v>
      </c>
      <c r="G63" s="223"/>
      <c r="H63" s="84"/>
      <c r="I63" s="54"/>
      <c r="J63" s="227"/>
      <c r="K63" s="16"/>
      <c r="L63" s="142"/>
      <c r="M63" s="54"/>
      <c r="N63" s="294"/>
      <c r="O63" s="257"/>
    </row>
    <row r="64" spans="1:15" ht="15" customHeight="1" x14ac:dyDescent="0.4">
      <c r="A64" s="230"/>
      <c r="B64" s="207"/>
      <c r="C64" s="154" t="s">
        <v>17</v>
      </c>
      <c r="D64" s="203" t="s">
        <v>117</v>
      </c>
      <c r="E64" s="89">
        <v>4</v>
      </c>
      <c r="F64" s="13">
        <v>3</v>
      </c>
      <c r="G64" s="224"/>
      <c r="H64" s="83"/>
      <c r="I64" s="16"/>
      <c r="J64" s="228"/>
      <c r="K64" s="87"/>
      <c r="L64" s="143"/>
      <c r="M64" s="87"/>
      <c r="N64" s="295"/>
      <c r="O64" s="258"/>
    </row>
    <row r="65" spans="1:15" ht="15" customHeight="1" x14ac:dyDescent="0.4">
      <c r="A65" s="230"/>
      <c r="B65" s="218" t="s">
        <v>15</v>
      </c>
      <c r="C65" s="12" t="s">
        <v>11</v>
      </c>
      <c r="D65" s="196" t="s">
        <v>85</v>
      </c>
      <c r="E65" s="13">
        <v>4</v>
      </c>
      <c r="F65" s="22">
        <v>3</v>
      </c>
      <c r="G65" s="223" t="s">
        <v>100</v>
      </c>
      <c r="H65" s="6"/>
      <c r="I65" s="92"/>
      <c r="J65" s="210">
        <v>3</v>
      </c>
      <c r="K65" s="170"/>
      <c r="L65" s="6"/>
      <c r="M65" s="18"/>
      <c r="N65" s="294">
        <f>SUM(H65:M68)</f>
        <v>6</v>
      </c>
      <c r="O65" s="256">
        <v>10</v>
      </c>
    </row>
    <row r="66" spans="1:15" ht="15" customHeight="1" x14ac:dyDescent="0.4">
      <c r="A66" s="230"/>
      <c r="B66" s="218"/>
      <c r="C66" s="42" t="s">
        <v>11</v>
      </c>
      <c r="D66" s="196" t="s">
        <v>86</v>
      </c>
      <c r="E66" s="13">
        <v>4</v>
      </c>
      <c r="F66" s="14">
        <v>3</v>
      </c>
      <c r="G66" s="223"/>
      <c r="H66" s="6"/>
      <c r="I66" s="65"/>
      <c r="J66" s="211"/>
      <c r="K66" s="168"/>
      <c r="L66" s="67"/>
      <c r="M66" s="18"/>
      <c r="N66" s="294"/>
      <c r="O66" s="257"/>
    </row>
    <row r="67" spans="1:15" ht="15" customHeight="1" x14ac:dyDescent="0.4">
      <c r="A67" s="230"/>
      <c r="B67" s="218"/>
      <c r="C67" s="42" t="s">
        <v>11</v>
      </c>
      <c r="D67" s="196" t="s">
        <v>83</v>
      </c>
      <c r="E67" s="13">
        <v>4</v>
      </c>
      <c r="F67" s="14">
        <v>3</v>
      </c>
      <c r="G67" s="223"/>
      <c r="H67" s="6"/>
      <c r="I67" s="65"/>
      <c r="J67" s="171"/>
      <c r="K67" s="208">
        <v>3</v>
      </c>
      <c r="L67" s="67"/>
      <c r="M67" s="18"/>
      <c r="N67" s="294"/>
      <c r="O67" s="257"/>
    </row>
    <row r="68" spans="1:15" ht="15" customHeight="1" thickBot="1" x14ac:dyDescent="0.45">
      <c r="A68" s="231"/>
      <c r="B68" s="219"/>
      <c r="C68" s="61" t="s">
        <v>11</v>
      </c>
      <c r="D68" s="204" t="s">
        <v>84</v>
      </c>
      <c r="E68" s="30">
        <v>4</v>
      </c>
      <c r="F68" s="31">
        <v>3</v>
      </c>
      <c r="G68" s="225"/>
      <c r="H68" s="62"/>
      <c r="I68" s="66"/>
      <c r="J68" s="169"/>
      <c r="K68" s="209"/>
      <c r="L68" s="68"/>
      <c r="M68" s="63"/>
      <c r="N68" s="300"/>
      <c r="O68" s="301"/>
    </row>
    <row r="69" spans="1:15" ht="15" customHeight="1" x14ac:dyDescent="0.4">
      <c r="A69" s="212" t="s">
        <v>53</v>
      </c>
      <c r="B69" s="213"/>
      <c r="C69" s="213"/>
      <c r="D69" s="213"/>
      <c r="E69" s="213"/>
      <c r="F69" s="213"/>
      <c r="G69" s="214"/>
      <c r="H69" s="38">
        <f t="shared" ref="H69:N69" si="0">SUM(H5:H68)</f>
        <v>29</v>
      </c>
      <c r="I69" s="39">
        <f t="shared" si="0"/>
        <v>29</v>
      </c>
      <c r="J69" s="38">
        <f t="shared" si="0"/>
        <v>30</v>
      </c>
      <c r="K69" s="52">
        <f t="shared" si="0"/>
        <v>30</v>
      </c>
      <c r="L69" s="53">
        <f t="shared" si="0"/>
        <v>29</v>
      </c>
      <c r="M69" s="39">
        <f t="shared" si="0"/>
        <v>27</v>
      </c>
      <c r="N69" s="52">
        <f t="shared" si="0"/>
        <v>174</v>
      </c>
      <c r="O69" s="39"/>
    </row>
    <row r="70" spans="1:15" ht="15" customHeight="1" x14ac:dyDescent="0.4">
      <c r="A70" s="215" t="s">
        <v>21</v>
      </c>
      <c r="B70" s="216"/>
      <c r="C70" s="216"/>
      <c r="D70" s="216"/>
      <c r="E70" s="216"/>
      <c r="F70" s="216"/>
      <c r="G70" s="217"/>
      <c r="H70" s="15">
        <v>3</v>
      </c>
      <c r="I70" s="16">
        <v>3</v>
      </c>
      <c r="J70" s="15">
        <v>3</v>
      </c>
      <c r="K70" s="45">
        <v>3</v>
      </c>
      <c r="L70" s="46">
        <v>3</v>
      </c>
      <c r="M70" s="16">
        <v>3</v>
      </c>
      <c r="N70" s="45">
        <f>SUM(H70:M70)</f>
        <v>18</v>
      </c>
      <c r="O70" s="16">
        <v>18</v>
      </c>
    </row>
    <row r="71" spans="1:15" ht="15" customHeight="1" thickBot="1" x14ac:dyDescent="0.45">
      <c r="A71" s="297" t="s">
        <v>54</v>
      </c>
      <c r="B71" s="298"/>
      <c r="C71" s="298"/>
      <c r="D71" s="298"/>
      <c r="E71" s="298"/>
      <c r="F71" s="298"/>
      <c r="G71" s="299"/>
      <c r="H71" s="47">
        <f t="shared" ref="H71:M71" si="1">H69+H70</f>
        <v>32</v>
      </c>
      <c r="I71" s="48">
        <f t="shared" si="1"/>
        <v>32</v>
      </c>
      <c r="J71" s="47">
        <f t="shared" si="1"/>
        <v>33</v>
      </c>
      <c r="K71" s="49">
        <f t="shared" si="1"/>
        <v>33</v>
      </c>
      <c r="L71" s="50">
        <f t="shared" si="1"/>
        <v>32</v>
      </c>
      <c r="M71" s="48">
        <f t="shared" si="1"/>
        <v>30</v>
      </c>
      <c r="N71" s="49">
        <f>SUM(H71:M71)</f>
        <v>192</v>
      </c>
      <c r="O71" s="48"/>
    </row>
    <row r="72" spans="1:15" x14ac:dyDescent="0.4">
      <c r="A72" s="78" t="s">
        <v>88</v>
      </c>
      <c r="B72" s="79"/>
      <c r="C72" s="78"/>
      <c r="D72" s="199"/>
      <c r="E72" s="78" t="s">
        <v>98</v>
      </c>
      <c r="F72" s="78"/>
      <c r="G72" s="79"/>
      <c r="H72" s="78"/>
      <c r="I72" s="78"/>
      <c r="J72" s="79"/>
      <c r="K72" s="79"/>
      <c r="L72" s="78"/>
      <c r="M72" s="78"/>
      <c r="N72" s="79"/>
      <c r="O72" s="79"/>
    </row>
    <row r="73" spans="1:15" x14ac:dyDescent="0.4">
      <c r="A73" s="78" t="s">
        <v>89</v>
      </c>
      <c r="B73" s="79"/>
      <c r="C73" s="78"/>
      <c r="D73" s="199"/>
      <c r="E73" s="80"/>
      <c r="F73" s="290" t="s">
        <v>146</v>
      </c>
      <c r="G73" s="290"/>
      <c r="H73" s="290"/>
      <c r="I73" s="290"/>
      <c r="J73" s="79"/>
      <c r="K73" s="79"/>
      <c r="L73" s="78"/>
      <c r="M73" s="78"/>
      <c r="N73" s="79"/>
      <c r="O73" s="79"/>
    </row>
    <row r="74" spans="1:15" x14ac:dyDescent="0.4">
      <c r="A74" s="78" t="s">
        <v>93</v>
      </c>
      <c r="B74" s="79"/>
      <c r="C74" s="78"/>
      <c r="D74" s="205"/>
      <c r="E74" s="81"/>
      <c r="F74" s="290" t="s">
        <v>148</v>
      </c>
      <c r="G74" s="290"/>
      <c r="H74" s="290"/>
      <c r="I74" s="78"/>
      <c r="J74" s="79"/>
      <c r="K74" s="79"/>
      <c r="L74" s="78"/>
      <c r="M74" s="78"/>
      <c r="N74" s="79"/>
      <c r="O74" s="79"/>
    </row>
    <row r="75" spans="1:15" x14ac:dyDescent="0.4">
      <c r="A75" s="78" t="s">
        <v>90</v>
      </c>
      <c r="B75" s="79"/>
      <c r="C75" s="78"/>
      <c r="D75" s="205"/>
      <c r="E75" s="180"/>
      <c r="F75" s="290" t="s">
        <v>147</v>
      </c>
      <c r="G75" s="290"/>
      <c r="H75" s="290"/>
      <c r="I75" s="78"/>
      <c r="J75" s="79"/>
      <c r="K75" s="79"/>
      <c r="L75" s="78"/>
      <c r="M75" s="78"/>
      <c r="N75" s="79"/>
      <c r="O75" s="79"/>
    </row>
    <row r="76" spans="1:15" x14ac:dyDescent="0.4">
      <c r="A76" s="78" t="s">
        <v>91</v>
      </c>
      <c r="B76" s="79"/>
      <c r="C76" s="78"/>
      <c r="D76" s="199"/>
      <c r="E76" s="78" t="s">
        <v>145</v>
      </c>
      <c r="F76" s="78"/>
      <c r="G76" s="79"/>
      <c r="H76" s="78"/>
      <c r="I76" s="78"/>
      <c r="J76" s="79"/>
      <c r="K76" s="79"/>
      <c r="L76" s="78"/>
      <c r="M76" s="78"/>
      <c r="N76" s="79"/>
      <c r="O76" s="79"/>
    </row>
    <row r="77" spans="1:15" x14ac:dyDescent="0.4">
      <c r="A77" s="78" t="s">
        <v>92</v>
      </c>
      <c r="B77" s="79"/>
      <c r="C77" s="78"/>
      <c r="D77" s="199"/>
      <c r="E77" s="182"/>
      <c r="F77" s="78" t="s">
        <v>149</v>
      </c>
      <c r="G77" s="79"/>
      <c r="H77" s="78"/>
      <c r="I77" s="78"/>
      <c r="J77" s="79"/>
      <c r="K77" s="79"/>
      <c r="L77" s="78"/>
      <c r="M77" s="78"/>
      <c r="N77" s="79"/>
      <c r="O77" s="79"/>
    </row>
  </sheetData>
  <mergeCells count="74">
    <mergeCell ref="F75:H75"/>
    <mergeCell ref="F74:H74"/>
    <mergeCell ref="F73:I73"/>
    <mergeCell ref="N5:N10"/>
    <mergeCell ref="O5:O10"/>
    <mergeCell ref="N36:N39"/>
    <mergeCell ref="O36:O39"/>
    <mergeCell ref="A71:G71"/>
    <mergeCell ref="O40:O58"/>
    <mergeCell ref="N59:N60"/>
    <mergeCell ref="O59:O60"/>
    <mergeCell ref="N61:N64"/>
    <mergeCell ref="O61:O64"/>
    <mergeCell ref="N65:N68"/>
    <mergeCell ref="O65:O68"/>
    <mergeCell ref="M59:M60"/>
    <mergeCell ref="B11:B16"/>
    <mergeCell ref="N11:N16"/>
    <mergeCell ref="A5:A49"/>
    <mergeCell ref="B5:B10"/>
    <mergeCell ref="O11:O16"/>
    <mergeCell ref="B17:B18"/>
    <mergeCell ref="N17:N18"/>
    <mergeCell ref="O17:O18"/>
    <mergeCell ref="B19:B22"/>
    <mergeCell ref="N19:N20"/>
    <mergeCell ref="O19:O20"/>
    <mergeCell ref="N21:N22"/>
    <mergeCell ref="O21:O22"/>
    <mergeCell ref="B23:B27"/>
    <mergeCell ref="N23:N27"/>
    <mergeCell ref="O23:O27"/>
    <mergeCell ref="A1:O1"/>
    <mergeCell ref="A2:O2"/>
    <mergeCell ref="A3:A4"/>
    <mergeCell ref="B3:B4"/>
    <mergeCell ref="C3:D4"/>
    <mergeCell ref="E3:E4"/>
    <mergeCell ref="F3:F4"/>
    <mergeCell ref="H3:I3"/>
    <mergeCell ref="J3:K3"/>
    <mergeCell ref="L3:M3"/>
    <mergeCell ref="N3:N4"/>
    <mergeCell ref="O3:O4"/>
    <mergeCell ref="G3:G4"/>
    <mergeCell ref="B28:B33"/>
    <mergeCell ref="N28:N33"/>
    <mergeCell ref="O28:O33"/>
    <mergeCell ref="B34:B35"/>
    <mergeCell ref="N34:N35"/>
    <mergeCell ref="O34:O35"/>
    <mergeCell ref="B36:B39"/>
    <mergeCell ref="B40:B46"/>
    <mergeCell ref="N40:N46"/>
    <mergeCell ref="N47:N49"/>
    <mergeCell ref="G54:G58"/>
    <mergeCell ref="B47:B49"/>
    <mergeCell ref="B51:B58"/>
    <mergeCell ref="N51:N58"/>
    <mergeCell ref="L54:L58"/>
    <mergeCell ref="G51:G53"/>
    <mergeCell ref="K51:K53"/>
    <mergeCell ref="B59:B60"/>
    <mergeCell ref="K67:K68"/>
    <mergeCell ref="J65:J66"/>
    <mergeCell ref="A69:G69"/>
    <mergeCell ref="A70:G70"/>
    <mergeCell ref="B65:B68"/>
    <mergeCell ref="B61:B64"/>
    <mergeCell ref="G59:G60"/>
    <mergeCell ref="G61:G64"/>
    <mergeCell ref="G65:G68"/>
    <mergeCell ref="J61:J64"/>
    <mergeCell ref="A51:A68"/>
  </mergeCells>
  <phoneticPr fontId="2" type="noConversion"/>
  <printOptions horizontalCentered="1"/>
  <pageMargins left="0.25" right="0.25" top="0.65" bottom="0.53" header="0.3" footer="0.3"/>
  <pageSetup paperSize="12" scale="84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88F5-9C84-4371-894C-04339B93E084}">
  <sheetPr>
    <tabColor rgb="FFFFC000"/>
    <pageSetUpPr fitToPage="1"/>
  </sheetPr>
  <dimension ref="A1:O79"/>
  <sheetViews>
    <sheetView tabSelected="1" zoomScale="120" zoomScaleNormal="120" workbookViewId="0">
      <selection activeCell="P63" sqref="P63"/>
    </sheetView>
  </sheetViews>
  <sheetFormatPr defaultColWidth="9" defaultRowHeight="13.8" x14ac:dyDescent="0.4"/>
  <cols>
    <col min="1" max="1" width="6" style="2" customWidth="1"/>
    <col min="2" max="2" width="11.8984375" style="3" customWidth="1"/>
    <col min="3" max="3" width="9.3984375" style="2" customWidth="1"/>
    <col min="4" max="4" width="19.19921875" style="200" customWidth="1"/>
    <col min="5" max="9" width="5.5" style="2" customWidth="1"/>
    <col min="10" max="11" width="5.5" style="3" customWidth="1"/>
    <col min="12" max="13" width="5.5" style="2" customWidth="1"/>
    <col min="14" max="15" width="5.5" style="3" customWidth="1"/>
    <col min="16" max="16" width="15.19921875" style="1" customWidth="1"/>
    <col min="17" max="16384" width="9" style="1"/>
  </cols>
  <sheetData>
    <row r="1" spans="1:15" ht="31.95" customHeight="1" x14ac:dyDescent="0.4">
      <c r="A1" s="261" t="s">
        <v>122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</row>
    <row r="2" spans="1:15" ht="22.2" customHeight="1" thickBot="1" x14ac:dyDescent="0.45">
      <c r="A2" s="262" t="s">
        <v>57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</row>
    <row r="3" spans="1:15" ht="15" customHeight="1" x14ac:dyDescent="0.4">
      <c r="A3" s="263" t="s">
        <v>0</v>
      </c>
      <c r="B3" s="265" t="s">
        <v>1</v>
      </c>
      <c r="C3" s="271" t="s">
        <v>2</v>
      </c>
      <c r="D3" s="271"/>
      <c r="E3" s="271" t="s">
        <v>46</v>
      </c>
      <c r="F3" s="273" t="s">
        <v>47</v>
      </c>
      <c r="G3" s="326" t="s">
        <v>102</v>
      </c>
      <c r="H3" s="275" t="s">
        <v>3</v>
      </c>
      <c r="I3" s="276"/>
      <c r="J3" s="275" t="s">
        <v>4</v>
      </c>
      <c r="K3" s="276"/>
      <c r="L3" s="275" t="s">
        <v>5</v>
      </c>
      <c r="M3" s="273"/>
      <c r="N3" s="275" t="s">
        <v>48</v>
      </c>
      <c r="O3" s="276" t="s">
        <v>49</v>
      </c>
    </row>
    <row r="4" spans="1:15" ht="15" customHeight="1" thickBot="1" x14ac:dyDescent="0.45">
      <c r="A4" s="264"/>
      <c r="B4" s="266"/>
      <c r="C4" s="272"/>
      <c r="D4" s="272"/>
      <c r="E4" s="272"/>
      <c r="F4" s="274"/>
      <c r="G4" s="327"/>
      <c r="H4" s="4" t="s">
        <v>6</v>
      </c>
      <c r="I4" s="5" t="s">
        <v>7</v>
      </c>
      <c r="J4" s="4" t="s">
        <v>6</v>
      </c>
      <c r="K4" s="5" t="s">
        <v>7</v>
      </c>
      <c r="L4" s="4" t="s">
        <v>6</v>
      </c>
      <c r="M4" s="32" t="s">
        <v>7</v>
      </c>
      <c r="N4" s="277"/>
      <c r="O4" s="278"/>
    </row>
    <row r="5" spans="1:15" ht="15" customHeight="1" x14ac:dyDescent="0.4">
      <c r="A5" s="229" t="s">
        <v>8</v>
      </c>
      <c r="B5" s="324" t="s">
        <v>9</v>
      </c>
      <c r="C5" s="7" t="s">
        <v>10</v>
      </c>
      <c r="D5" s="184" t="s">
        <v>24</v>
      </c>
      <c r="E5" s="8">
        <v>4</v>
      </c>
      <c r="F5" s="9">
        <v>3</v>
      </c>
      <c r="G5" s="9"/>
      <c r="H5" s="10">
        <v>3</v>
      </c>
      <c r="I5" s="11"/>
      <c r="J5" s="10"/>
      <c r="K5" s="33"/>
      <c r="L5" s="10"/>
      <c r="M5" s="11"/>
      <c r="N5" s="323">
        <f>SUM(H5:M10)</f>
        <v>18</v>
      </c>
      <c r="O5" s="292">
        <v>8</v>
      </c>
    </row>
    <row r="6" spans="1:15" ht="15" customHeight="1" x14ac:dyDescent="0.4">
      <c r="A6" s="230"/>
      <c r="B6" s="233"/>
      <c r="C6" s="12" t="s">
        <v>10</v>
      </c>
      <c r="D6" s="185" t="s">
        <v>63</v>
      </c>
      <c r="E6" s="88">
        <v>4</v>
      </c>
      <c r="F6" s="22">
        <v>3</v>
      </c>
      <c r="G6" s="22"/>
      <c r="H6" s="84"/>
      <c r="I6" s="54">
        <v>3</v>
      </c>
      <c r="J6" s="84"/>
      <c r="K6" s="40"/>
      <c r="L6" s="84"/>
      <c r="M6" s="54"/>
      <c r="N6" s="294"/>
      <c r="O6" s="257"/>
    </row>
    <row r="7" spans="1:15" ht="15" customHeight="1" x14ac:dyDescent="0.4">
      <c r="A7" s="230"/>
      <c r="B7" s="233"/>
      <c r="C7" s="42" t="s">
        <v>11</v>
      </c>
      <c r="D7" s="186" t="s">
        <v>55</v>
      </c>
      <c r="E7" s="88">
        <v>4</v>
      </c>
      <c r="F7" s="22">
        <v>3</v>
      </c>
      <c r="G7" s="22"/>
      <c r="H7" s="84"/>
      <c r="I7" s="54"/>
      <c r="J7" s="84">
        <v>3</v>
      </c>
      <c r="K7" s="40"/>
      <c r="L7" s="84"/>
      <c r="M7" s="54"/>
      <c r="N7" s="294"/>
      <c r="O7" s="257"/>
    </row>
    <row r="8" spans="1:15" ht="15" customHeight="1" x14ac:dyDescent="0.4">
      <c r="A8" s="230"/>
      <c r="B8" s="233"/>
      <c r="C8" s="12" t="s">
        <v>11</v>
      </c>
      <c r="D8" s="187" t="s">
        <v>103</v>
      </c>
      <c r="E8" s="13">
        <v>4</v>
      </c>
      <c r="F8" s="14">
        <v>3</v>
      </c>
      <c r="G8" s="14"/>
      <c r="H8" s="15"/>
      <c r="I8" s="16"/>
      <c r="J8" s="15"/>
      <c r="K8" s="34">
        <v>3</v>
      </c>
      <c r="L8" s="84"/>
      <c r="M8" s="54"/>
      <c r="N8" s="294"/>
      <c r="O8" s="257"/>
    </row>
    <row r="9" spans="1:15" ht="15" customHeight="1" x14ac:dyDescent="0.4">
      <c r="A9" s="230"/>
      <c r="B9" s="233"/>
      <c r="C9" s="12" t="s">
        <v>11</v>
      </c>
      <c r="D9" s="187" t="s">
        <v>107</v>
      </c>
      <c r="E9" s="13">
        <v>4</v>
      </c>
      <c r="F9" s="14">
        <v>3</v>
      </c>
      <c r="G9" s="14"/>
      <c r="H9" s="15"/>
      <c r="I9" s="16"/>
      <c r="J9" s="15"/>
      <c r="K9" s="34"/>
      <c r="L9" s="15">
        <v>3</v>
      </c>
      <c r="M9" s="16"/>
      <c r="N9" s="294"/>
      <c r="O9" s="257"/>
    </row>
    <row r="10" spans="1:15" ht="15" customHeight="1" thickBot="1" x14ac:dyDescent="0.45">
      <c r="A10" s="230"/>
      <c r="B10" s="325"/>
      <c r="C10" s="29" t="s">
        <v>105</v>
      </c>
      <c r="D10" s="188" t="s">
        <v>62</v>
      </c>
      <c r="E10" s="30">
        <v>4</v>
      </c>
      <c r="F10" s="31">
        <v>3</v>
      </c>
      <c r="G10" s="31"/>
      <c r="H10" s="47"/>
      <c r="I10" s="48"/>
      <c r="J10" s="47"/>
      <c r="K10" s="93"/>
      <c r="L10" s="47"/>
      <c r="M10" s="48">
        <v>3</v>
      </c>
      <c r="N10" s="300"/>
      <c r="O10" s="301"/>
    </row>
    <row r="11" spans="1:15" ht="15" customHeight="1" x14ac:dyDescent="0.4">
      <c r="A11" s="230"/>
      <c r="B11" s="324" t="s">
        <v>12</v>
      </c>
      <c r="C11" s="42" t="s">
        <v>10</v>
      </c>
      <c r="D11" s="186" t="s">
        <v>25</v>
      </c>
      <c r="E11" s="88">
        <v>4</v>
      </c>
      <c r="F11" s="22">
        <v>3</v>
      </c>
      <c r="G11" s="22"/>
      <c r="H11" s="84">
        <v>3</v>
      </c>
      <c r="I11" s="54"/>
      <c r="J11" s="84"/>
      <c r="K11" s="40"/>
      <c r="L11" s="84"/>
      <c r="M11" s="54"/>
      <c r="N11" s="323">
        <f>SUM(H11:M16)</f>
        <v>21</v>
      </c>
      <c r="O11" s="292">
        <v>8</v>
      </c>
    </row>
    <row r="12" spans="1:15" ht="15" customHeight="1" x14ac:dyDescent="0.4">
      <c r="A12" s="230"/>
      <c r="B12" s="233"/>
      <c r="C12" s="12" t="s">
        <v>10</v>
      </c>
      <c r="D12" s="185" t="s">
        <v>26</v>
      </c>
      <c r="E12" s="13">
        <v>4</v>
      </c>
      <c r="F12" s="14">
        <v>3</v>
      </c>
      <c r="G12" s="14"/>
      <c r="H12" s="15"/>
      <c r="I12" s="16">
        <v>3</v>
      </c>
      <c r="J12" s="15"/>
      <c r="K12" s="34"/>
      <c r="L12" s="15"/>
      <c r="M12" s="16"/>
      <c r="N12" s="294"/>
      <c r="O12" s="257"/>
    </row>
    <row r="13" spans="1:15" ht="15" customHeight="1" x14ac:dyDescent="0.4">
      <c r="A13" s="230"/>
      <c r="B13" s="233"/>
      <c r="C13" s="12" t="s">
        <v>11</v>
      </c>
      <c r="D13" s="185" t="s">
        <v>40</v>
      </c>
      <c r="E13" s="13">
        <v>4</v>
      </c>
      <c r="F13" s="14">
        <v>3</v>
      </c>
      <c r="G13" s="14"/>
      <c r="H13" s="15"/>
      <c r="I13" s="16"/>
      <c r="J13" s="15">
        <v>4</v>
      </c>
      <c r="K13" s="34"/>
      <c r="L13" s="15"/>
      <c r="M13" s="16"/>
      <c r="N13" s="294"/>
      <c r="O13" s="257"/>
    </row>
    <row r="14" spans="1:15" ht="15" customHeight="1" x14ac:dyDescent="0.4">
      <c r="A14" s="230"/>
      <c r="B14" s="233"/>
      <c r="C14" s="12" t="s">
        <v>11</v>
      </c>
      <c r="D14" s="185" t="s">
        <v>45</v>
      </c>
      <c r="E14" s="13">
        <v>4</v>
      </c>
      <c r="F14" s="14">
        <v>3</v>
      </c>
      <c r="G14" s="14"/>
      <c r="H14" s="15"/>
      <c r="I14" s="16"/>
      <c r="J14" s="15"/>
      <c r="K14" s="34">
        <v>4</v>
      </c>
      <c r="L14" s="15"/>
      <c r="M14" s="16"/>
      <c r="N14" s="294"/>
      <c r="O14" s="257"/>
    </row>
    <row r="15" spans="1:15" ht="15" customHeight="1" x14ac:dyDescent="0.4">
      <c r="A15" s="230"/>
      <c r="B15" s="233"/>
      <c r="C15" s="12" t="s">
        <v>11</v>
      </c>
      <c r="D15" s="185" t="s">
        <v>22</v>
      </c>
      <c r="E15" s="13">
        <v>4</v>
      </c>
      <c r="F15" s="14">
        <v>3</v>
      </c>
      <c r="G15" s="14"/>
      <c r="H15" s="15"/>
      <c r="I15" s="16"/>
      <c r="J15" s="15"/>
      <c r="K15" s="34"/>
      <c r="L15" s="15">
        <v>4</v>
      </c>
      <c r="M15" s="16"/>
      <c r="N15" s="294"/>
      <c r="O15" s="257"/>
    </row>
    <row r="16" spans="1:15" ht="15" customHeight="1" x14ac:dyDescent="0.4">
      <c r="A16" s="230"/>
      <c r="B16" s="234"/>
      <c r="C16" s="12" t="s">
        <v>104</v>
      </c>
      <c r="D16" s="185" t="s">
        <v>140</v>
      </c>
      <c r="E16" s="13">
        <v>4</v>
      </c>
      <c r="F16" s="14">
        <v>3</v>
      </c>
      <c r="G16" s="14"/>
      <c r="H16" s="15"/>
      <c r="I16" s="16"/>
      <c r="J16" s="15"/>
      <c r="K16" s="34"/>
      <c r="L16" s="15"/>
      <c r="M16" s="16">
        <v>3</v>
      </c>
      <c r="N16" s="295"/>
      <c r="O16" s="258"/>
    </row>
    <row r="17" spans="1:15" s="77" customFormat="1" ht="15" customHeight="1" x14ac:dyDescent="0.4">
      <c r="A17" s="230"/>
      <c r="B17" s="242" t="s">
        <v>13</v>
      </c>
      <c r="C17" s="12" t="s">
        <v>10</v>
      </c>
      <c r="D17" s="185" t="s">
        <v>27</v>
      </c>
      <c r="E17" s="114">
        <v>4</v>
      </c>
      <c r="F17" s="117">
        <v>4</v>
      </c>
      <c r="G17" s="117"/>
      <c r="H17" s="97">
        <v>4</v>
      </c>
      <c r="I17" s="96"/>
      <c r="J17" s="97"/>
      <c r="K17" s="110"/>
      <c r="L17" s="97"/>
      <c r="M17" s="96"/>
      <c r="N17" s="285">
        <f>SUM(H17:M18)</f>
        <v>8</v>
      </c>
      <c r="O17" s="286">
        <v>8</v>
      </c>
    </row>
    <row r="18" spans="1:15" s="77" customFormat="1" ht="15" customHeight="1" x14ac:dyDescent="0.4">
      <c r="A18" s="230"/>
      <c r="B18" s="244"/>
      <c r="C18" s="12" t="s">
        <v>10</v>
      </c>
      <c r="D18" s="185" t="s">
        <v>28</v>
      </c>
      <c r="E18" s="114">
        <v>4</v>
      </c>
      <c r="F18" s="117">
        <v>4</v>
      </c>
      <c r="G18" s="117"/>
      <c r="H18" s="97"/>
      <c r="I18" s="96">
        <v>4</v>
      </c>
      <c r="J18" s="97"/>
      <c r="K18" s="110"/>
      <c r="L18" s="97"/>
      <c r="M18" s="96"/>
      <c r="N18" s="236"/>
      <c r="O18" s="287"/>
    </row>
    <row r="19" spans="1:15" ht="15" customHeight="1" x14ac:dyDescent="0.4">
      <c r="A19" s="230"/>
      <c r="B19" s="232" t="s">
        <v>14</v>
      </c>
      <c r="C19" s="12" t="s">
        <v>10</v>
      </c>
      <c r="D19" s="185" t="s">
        <v>31</v>
      </c>
      <c r="E19" s="13">
        <v>4</v>
      </c>
      <c r="F19" s="14">
        <v>3</v>
      </c>
      <c r="G19" s="14"/>
      <c r="H19" s="15">
        <v>3</v>
      </c>
      <c r="I19" s="16"/>
      <c r="J19" s="17"/>
      <c r="K19" s="35"/>
      <c r="L19" s="17"/>
      <c r="M19" s="18"/>
      <c r="N19" s="253">
        <f>SUM(H19:M20)</f>
        <v>6</v>
      </c>
      <c r="O19" s="288">
        <v>8</v>
      </c>
    </row>
    <row r="20" spans="1:15" ht="15" customHeight="1" x14ac:dyDescent="0.4">
      <c r="A20" s="230"/>
      <c r="B20" s="233"/>
      <c r="C20" s="12" t="s">
        <v>10</v>
      </c>
      <c r="D20" s="185" t="s">
        <v>32</v>
      </c>
      <c r="E20" s="13">
        <v>4</v>
      </c>
      <c r="F20" s="14">
        <v>3</v>
      </c>
      <c r="G20" s="14"/>
      <c r="H20" s="15"/>
      <c r="I20" s="16">
        <v>3</v>
      </c>
      <c r="J20" s="17"/>
      <c r="K20" s="35"/>
      <c r="L20" s="17"/>
      <c r="M20" s="18"/>
      <c r="N20" s="255"/>
      <c r="O20" s="289"/>
    </row>
    <row r="21" spans="1:15" ht="15" customHeight="1" x14ac:dyDescent="0.4">
      <c r="A21" s="230"/>
      <c r="B21" s="233"/>
      <c r="C21" s="12" t="s">
        <v>10</v>
      </c>
      <c r="D21" s="185" t="s">
        <v>29</v>
      </c>
      <c r="E21" s="13">
        <v>3</v>
      </c>
      <c r="F21" s="14">
        <v>3</v>
      </c>
      <c r="G21" s="14"/>
      <c r="H21" s="15">
        <v>3</v>
      </c>
      <c r="I21" s="16"/>
      <c r="J21" s="17"/>
      <c r="K21" s="35"/>
      <c r="L21" s="17"/>
      <c r="M21" s="18"/>
      <c r="N21" s="253">
        <f>SUM(H21:M22)</f>
        <v>6</v>
      </c>
      <c r="O21" s="288">
        <v>6</v>
      </c>
    </row>
    <row r="22" spans="1:15" ht="15" customHeight="1" x14ac:dyDescent="0.4">
      <c r="A22" s="230"/>
      <c r="B22" s="234"/>
      <c r="C22" s="12" t="s">
        <v>10</v>
      </c>
      <c r="D22" s="185" t="s">
        <v>30</v>
      </c>
      <c r="E22" s="13">
        <v>3</v>
      </c>
      <c r="F22" s="14">
        <v>3</v>
      </c>
      <c r="G22" s="14"/>
      <c r="H22" s="15"/>
      <c r="I22" s="16">
        <v>3</v>
      </c>
      <c r="J22" s="17"/>
      <c r="K22" s="35"/>
      <c r="L22" s="17"/>
      <c r="M22" s="18"/>
      <c r="N22" s="255"/>
      <c r="O22" s="289"/>
    </row>
    <row r="23" spans="1:15" ht="15" customHeight="1" x14ac:dyDescent="0.4">
      <c r="A23" s="230"/>
      <c r="B23" s="232" t="s">
        <v>15</v>
      </c>
      <c r="C23" s="12" t="s">
        <v>10</v>
      </c>
      <c r="D23" s="189" t="s">
        <v>33</v>
      </c>
      <c r="E23" s="13">
        <v>4</v>
      </c>
      <c r="F23" s="14">
        <v>3</v>
      </c>
      <c r="G23" s="14"/>
      <c r="H23" s="15">
        <v>3</v>
      </c>
      <c r="I23" s="16"/>
      <c r="J23" s="17"/>
      <c r="K23" s="35"/>
      <c r="L23" s="17"/>
      <c r="M23" s="18"/>
      <c r="N23" s="253">
        <f>SUM(H23:M27)</f>
        <v>11</v>
      </c>
      <c r="O23" s="256">
        <v>10</v>
      </c>
    </row>
    <row r="24" spans="1:15" ht="15" customHeight="1" x14ac:dyDescent="0.4">
      <c r="A24" s="230"/>
      <c r="B24" s="233"/>
      <c r="C24" s="12" t="s">
        <v>10</v>
      </c>
      <c r="D24" s="189" t="s">
        <v>34</v>
      </c>
      <c r="E24" s="13">
        <v>4</v>
      </c>
      <c r="F24" s="14">
        <v>3</v>
      </c>
      <c r="G24" s="14"/>
      <c r="H24" s="15"/>
      <c r="I24" s="16">
        <v>3</v>
      </c>
      <c r="J24" s="17"/>
      <c r="K24" s="35"/>
      <c r="L24" s="17"/>
      <c r="M24" s="18"/>
      <c r="N24" s="254"/>
      <c r="O24" s="257"/>
    </row>
    <row r="25" spans="1:15" ht="15" customHeight="1" x14ac:dyDescent="0.4">
      <c r="A25" s="230"/>
      <c r="B25" s="233"/>
      <c r="C25" s="12" t="s">
        <v>10</v>
      </c>
      <c r="D25" s="189" t="s">
        <v>35</v>
      </c>
      <c r="E25" s="13">
        <v>1</v>
      </c>
      <c r="F25" s="14">
        <v>1</v>
      </c>
      <c r="G25" s="14"/>
      <c r="H25" s="15">
        <v>1</v>
      </c>
      <c r="I25" s="16"/>
      <c r="J25" s="17"/>
      <c r="K25" s="35"/>
      <c r="L25" s="17"/>
      <c r="M25" s="18"/>
      <c r="N25" s="254"/>
      <c r="O25" s="257"/>
    </row>
    <row r="26" spans="1:15" ht="15" customHeight="1" x14ac:dyDescent="0.4">
      <c r="A26" s="230"/>
      <c r="B26" s="233"/>
      <c r="C26" s="12" t="s">
        <v>10</v>
      </c>
      <c r="D26" s="189" t="s">
        <v>51</v>
      </c>
      <c r="E26" s="13">
        <v>1</v>
      </c>
      <c r="F26" s="14">
        <v>1</v>
      </c>
      <c r="G26" s="14"/>
      <c r="H26" s="15"/>
      <c r="I26" s="16">
        <v>1</v>
      </c>
      <c r="J26" s="17"/>
      <c r="K26" s="35"/>
      <c r="L26" s="17"/>
      <c r="M26" s="18"/>
      <c r="N26" s="254"/>
      <c r="O26" s="257"/>
    </row>
    <row r="27" spans="1:15" ht="15" customHeight="1" x14ac:dyDescent="0.4">
      <c r="A27" s="230"/>
      <c r="B27" s="233"/>
      <c r="C27" s="12" t="s">
        <v>42</v>
      </c>
      <c r="D27" s="189" t="s">
        <v>74</v>
      </c>
      <c r="E27" s="13">
        <v>4</v>
      </c>
      <c r="F27" s="14">
        <v>3</v>
      </c>
      <c r="G27" s="14"/>
      <c r="H27" s="15"/>
      <c r="I27" s="16"/>
      <c r="J27" s="17"/>
      <c r="K27" s="35"/>
      <c r="L27" s="179">
        <v>3</v>
      </c>
      <c r="M27" s="96"/>
      <c r="N27" s="254"/>
      <c r="O27" s="257"/>
    </row>
    <row r="28" spans="1:15" ht="15" customHeight="1" x14ac:dyDescent="0.4">
      <c r="A28" s="230"/>
      <c r="B28" s="232" t="s">
        <v>16</v>
      </c>
      <c r="C28" s="12" t="s">
        <v>17</v>
      </c>
      <c r="D28" s="189" t="s">
        <v>43</v>
      </c>
      <c r="E28" s="20">
        <v>2</v>
      </c>
      <c r="F28" s="21">
        <v>1</v>
      </c>
      <c r="G28" s="21"/>
      <c r="H28" s="17">
        <v>1</v>
      </c>
      <c r="I28" s="18"/>
      <c r="J28" s="17"/>
      <c r="K28" s="35"/>
      <c r="L28" s="17"/>
      <c r="M28" s="18"/>
      <c r="N28" s="253">
        <f>SUM(H28:M33)</f>
        <v>10</v>
      </c>
      <c r="O28" s="256">
        <v>10</v>
      </c>
    </row>
    <row r="29" spans="1:15" ht="15" customHeight="1" x14ac:dyDescent="0.4">
      <c r="A29" s="230"/>
      <c r="B29" s="233"/>
      <c r="C29" s="12" t="s">
        <v>17</v>
      </c>
      <c r="D29" s="189" t="s">
        <v>44</v>
      </c>
      <c r="E29" s="20">
        <v>2</v>
      </c>
      <c r="F29" s="21">
        <v>1</v>
      </c>
      <c r="G29" s="21"/>
      <c r="H29" s="15"/>
      <c r="I29" s="16">
        <v>1</v>
      </c>
      <c r="J29" s="15"/>
      <c r="K29" s="34"/>
      <c r="L29" s="15"/>
      <c r="M29" s="16"/>
      <c r="N29" s="254"/>
      <c r="O29" s="257"/>
    </row>
    <row r="30" spans="1:15" ht="15" customHeight="1" x14ac:dyDescent="0.4">
      <c r="A30" s="230"/>
      <c r="B30" s="233"/>
      <c r="C30" s="12" t="s">
        <v>11</v>
      </c>
      <c r="D30" s="189" t="s">
        <v>36</v>
      </c>
      <c r="E30" s="20">
        <v>3</v>
      </c>
      <c r="F30" s="21">
        <v>2</v>
      </c>
      <c r="G30" s="21"/>
      <c r="H30" s="15"/>
      <c r="I30" s="16"/>
      <c r="J30" s="15">
        <v>2</v>
      </c>
      <c r="K30" s="34"/>
      <c r="L30" s="15"/>
      <c r="M30" s="16"/>
      <c r="N30" s="254"/>
      <c r="O30" s="257"/>
    </row>
    <row r="31" spans="1:15" ht="15" customHeight="1" x14ac:dyDescent="0.4">
      <c r="A31" s="230"/>
      <c r="B31" s="233"/>
      <c r="C31" s="12" t="s">
        <v>11</v>
      </c>
      <c r="D31" s="189" t="s">
        <v>37</v>
      </c>
      <c r="E31" s="20">
        <v>3</v>
      </c>
      <c r="F31" s="21">
        <v>2</v>
      </c>
      <c r="G31" s="21"/>
      <c r="H31" s="15"/>
      <c r="I31" s="16"/>
      <c r="J31" s="15"/>
      <c r="K31" s="34">
        <v>2</v>
      </c>
      <c r="L31" s="15"/>
      <c r="M31" s="16"/>
      <c r="N31" s="254"/>
      <c r="O31" s="257"/>
    </row>
    <row r="32" spans="1:15" ht="15" customHeight="1" x14ac:dyDescent="0.4">
      <c r="A32" s="230"/>
      <c r="B32" s="233"/>
      <c r="C32" s="12" t="s">
        <v>42</v>
      </c>
      <c r="D32" s="189" t="s">
        <v>41</v>
      </c>
      <c r="E32" s="20">
        <v>3</v>
      </c>
      <c r="F32" s="21">
        <v>2</v>
      </c>
      <c r="G32" s="21"/>
      <c r="H32" s="15"/>
      <c r="I32" s="16"/>
      <c r="J32" s="15"/>
      <c r="K32" s="34"/>
      <c r="L32" s="15">
        <v>2</v>
      </c>
      <c r="M32" s="16"/>
      <c r="N32" s="254"/>
      <c r="O32" s="257"/>
    </row>
    <row r="33" spans="1:15" ht="15" customHeight="1" x14ac:dyDescent="0.4">
      <c r="A33" s="230"/>
      <c r="B33" s="234"/>
      <c r="C33" s="12" t="s">
        <v>42</v>
      </c>
      <c r="D33" s="189" t="s">
        <v>56</v>
      </c>
      <c r="E33" s="20">
        <v>3</v>
      </c>
      <c r="F33" s="21">
        <v>2</v>
      </c>
      <c r="G33" s="21"/>
      <c r="H33" s="15"/>
      <c r="I33" s="16"/>
      <c r="J33" s="15"/>
      <c r="K33" s="34"/>
      <c r="L33" s="15"/>
      <c r="M33" s="16">
        <v>2</v>
      </c>
      <c r="N33" s="255"/>
      <c r="O33" s="258"/>
    </row>
    <row r="34" spans="1:15" ht="15" customHeight="1" x14ac:dyDescent="0.4">
      <c r="A34" s="230"/>
      <c r="B34" s="232" t="s">
        <v>18</v>
      </c>
      <c r="C34" s="12" t="s">
        <v>11</v>
      </c>
      <c r="D34" s="189" t="s">
        <v>141</v>
      </c>
      <c r="E34" s="13">
        <v>3</v>
      </c>
      <c r="F34" s="14">
        <v>2</v>
      </c>
      <c r="G34" s="14"/>
      <c r="H34" s="23"/>
      <c r="I34" s="70">
        <v>2</v>
      </c>
      <c r="J34" s="17"/>
      <c r="K34" s="35"/>
      <c r="L34" s="17"/>
      <c r="M34" s="18"/>
      <c r="N34" s="253">
        <f>SUM(H34:M35)</f>
        <v>5</v>
      </c>
      <c r="O34" s="259">
        <v>5</v>
      </c>
    </row>
    <row r="35" spans="1:15" ht="15" customHeight="1" x14ac:dyDescent="0.4">
      <c r="A35" s="230"/>
      <c r="B35" s="233"/>
      <c r="C35" s="12" t="s">
        <v>17</v>
      </c>
      <c r="D35" s="189" t="s">
        <v>19</v>
      </c>
      <c r="E35" s="13">
        <v>3</v>
      </c>
      <c r="F35" s="14">
        <v>3</v>
      </c>
      <c r="G35" s="14"/>
      <c r="H35" s="25"/>
      <c r="I35" s="26"/>
      <c r="J35" s="95"/>
      <c r="K35" s="94">
        <v>3</v>
      </c>
      <c r="L35" s="17"/>
      <c r="M35" s="18"/>
      <c r="N35" s="255"/>
      <c r="O35" s="260"/>
    </row>
    <row r="36" spans="1:15" ht="15" customHeight="1" x14ac:dyDescent="0.4">
      <c r="A36" s="230"/>
      <c r="B36" s="232" t="s">
        <v>20</v>
      </c>
      <c r="C36" s="12" t="s">
        <v>11</v>
      </c>
      <c r="D36" s="189" t="s">
        <v>38</v>
      </c>
      <c r="E36" s="13">
        <v>3</v>
      </c>
      <c r="F36" s="14">
        <v>2</v>
      </c>
      <c r="G36" s="14"/>
      <c r="H36" s="71">
        <v>2</v>
      </c>
      <c r="I36" s="18"/>
      <c r="J36" s="17"/>
      <c r="K36" s="35"/>
      <c r="L36" s="17"/>
      <c r="M36" s="18"/>
      <c r="N36" s="253">
        <f>SUM(H36:M39)</f>
        <v>10</v>
      </c>
      <c r="O36" s="259">
        <v>12</v>
      </c>
    </row>
    <row r="37" spans="1:15" ht="15" customHeight="1" x14ac:dyDescent="0.4">
      <c r="A37" s="230"/>
      <c r="B37" s="233"/>
      <c r="C37" s="41" t="s">
        <v>17</v>
      </c>
      <c r="D37" s="190" t="s">
        <v>87</v>
      </c>
      <c r="E37" s="89">
        <v>3</v>
      </c>
      <c r="F37" s="27">
        <v>3</v>
      </c>
      <c r="G37" s="27"/>
      <c r="H37" s="86"/>
      <c r="I37" s="28"/>
      <c r="J37" s="74">
        <v>3</v>
      </c>
      <c r="K37" s="98"/>
      <c r="L37" s="86"/>
      <c r="M37" s="28"/>
      <c r="N37" s="254"/>
      <c r="O37" s="260"/>
    </row>
    <row r="38" spans="1:15" ht="15" customHeight="1" x14ac:dyDescent="0.4">
      <c r="A38" s="230"/>
      <c r="B38" s="233"/>
      <c r="C38" s="41" t="s">
        <v>17</v>
      </c>
      <c r="D38" s="190" t="s">
        <v>71</v>
      </c>
      <c r="E38" s="89">
        <v>3</v>
      </c>
      <c r="F38" s="27">
        <v>2</v>
      </c>
      <c r="G38" s="27"/>
      <c r="H38" s="86"/>
      <c r="I38" s="28"/>
      <c r="J38" s="17"/>
      <c r="K38" s="37"/>
      <c r="L38" s="86">
        <v>2</v>
      </c>
      <c r="M38" s="28"/>
      <c r="N38" s="254"/>
      <c r="O38" s="260"/>
    </row>
    <row r="39" spans="1:15" ht="15" customHeight="1" x14ac:dyDescent="0.4">
      <c r="A39" s="230"/>
      <c r="B39" s="234"/>
      <c r="C39" s="12" t="s">
        <v>42</v>
      </c>
      <c r="D39" s="190" t="s">
        <v>70</v>
      </c>
      <c r="E39" s="13">
        <v>3</v>
      </c>
      <c r="F39" s="27">
        <v>3</v>
      </c>
      <c r="G39" s="27"/>
      <c r="H39" s="86"/>
      <c r="I39" s="18"/>
      <c r="J39" s="17"/>
      <c r="K39" s="37"/>
      <c r="L39" s="97"/>
      <c r="M39" s="177">
        <v>3</v>
      </c>
      <c r="N39" s="254"/>
      <c r="O39" s="296"/>
    </row>
    <row r="40" spans="1:15" ht="15" customHeight="1" x14ac:dyDescent="0.4">
      <c r="A40" s="230"/>
      <c r="B40" s="235" t="s">
        <v>59</v>
      </c>
      <c r="C40" s="42" t="s">
        <v>17</v>
      </c>
      <c r="D40" s="189" t="s">
        <v>76</v>
      </c>
      <c r="E40" s="102">
        <v>4</v>
      </c>
      <c r="F40" s="114">
        <v>6</v>
      </c>
      <c r="G40" s="131"/>
      <c r="H40" s="97">
        <v>6</v>
      </c>
      <c r="I40" s="107"/>
      <c r="J40" s="129"/>
      <c r="K40" s="96"/>
      <c r="L40" s="106"/>
      <c r="M40" s="107"/>
      <c r="N40" s="237">
        <f>SUM(H40:M46)</f>
        <v>41</v>
      </c>
      <c r="O40" s="260">
        <v>68</v>
      </c>
    </row>
    <row r="41" spans="1:15" ht="15" customHeight="1" x14ac:dyDescent="0.4">
      <c r="A41" s="230"/>
      <c r="B41" s="235"/>
      <c r="C41" s="12" t="s">
        <v>17</v>
      </c>
      <c r="D41" s="189" t="s">
        <v>78</v>
      </c>
      <c r="E41" s="114">
        <v>4</v>
      </c>
      <c r="F41" s="117">
        <v>6</v>
      </c>
      <c r="G41" s="117"/>
      <c r="H41" s="97"/>
      <c r="I41" s="96">
        <v>6</v>
      </c>
      <c r="J41" s="97"/>
      <c r="K41" s="110"/>
      <c r="L41" s="109"/>
      <c r="M41" s="96"/>
      <c r="N41" s="238"/>
      <c r="O41" s="260"/>
    </row>
    <row r="42" spans="1:15" ht="15" customHeight="1" x14ac:dyDescent="0.4">
      <c r="A42" s="230"/>
      <c r="B42" s="235"/>
      <c r="C42" s="12" t="s">
        <v>17</v>
      </c>
      <c r="D42" s="191" t="s">
        <v>77</v>
      </c>
      <c r="E42" s="114">
        <v>4</v>
      </c>
      <c r="F42" s="117">
        <v>6</v>
      </c>
      <c r="G42" s="117"/>
      <c r="H42" s="97"/>
      <c r="I42" s="96"/>
      <c r="J42" s="97">
        <v>6</v>
      </c>
      <c r="K42" s="110"/>
      <c r="L42" s="109"/>
      <c r="M42" s="96"/>
      <c r="N42" s="238"/>
      <c r="O42" s="260"/>
    </row>
    <row r="43" spans="1:15" ht="15" customHeight="1" x14ac:dyDescent="0.4">
      <c r="A43" s="230"/>
      <c r="B43" s="235"/>
      <c r="C43" s="12" t="s">
        <v>42</v>
      </c>
      <c r="D43" s="192" t="s">
        <v>106</v>
      </c>
      <c r="E43" s="114">
        <v>4</v>
      </c>
      <c r="F43" s="117">
        <v>6</v>
      </c>
      <c r="G43" s="117"/>
      <c r="H43" s="97"/>
      <c r="I43" s="96"/>
      <c r="J43" s="97"/>
      <c r="K43" s="110">
        <v>6</v>
      </c>
      <c r="L43" s="109"/>
      <c r="M43" s="96"/>
      <c r="N43" s="238"/>
      <c r="O43" s="260"/>
    </row>
    <row r="44" spans="1:15" ht="15" customHeight="1" x14ac:dyDescent="0.4">
      <c r="A44" s="230"/>
      <c r="B44" s="235"/>
      <c r="C44" s="12" t="s">
        <v>17</v>
      </c>
      <c r="D44" s="192" t="s">
        <v>79</v>
      </c>
      <c r="E44" s="114">
        <v>4</v>
      </c>
      <c r="F44" s="117">
        <v>6</v>
      </c>
      <c r="G44" s="117"/>
      <c r="H44" s="97"/>
      <c r="I44" s="96"/>
      <c r="J44" s="97"/>
      <c r="K44" s="110"/>
      <c r="L44" s="109">
        <v>6</v>
      </c>
      <c r="M44" s="96"/>
      <c r="N44" s="238"/>
      <c r="O44" s="260"/>
    </row>
    <row r="45" spans="1:15" ht="15" customHeight="1" x14ac:dyDescent="0.4">
      <c r="A45" s="230"/>
      <c r="B45" s="235"/>
      <c r="C45" s="12" t="s">
        <v>17</v>
      </c>
      <c r="D45" s="189" t="s">
        <v>80</v>
      </c>
      <c r="E45" s="114">
        <v>4</v>
      </c>
      <c r="F45" s="117">
        <v>6</v>
      </c>
      <c r="G45" s="117"/>
      <c r="H45" s="97"/>
      <c r="I45" s="96"/>
      <c r="J45" s="97"/>
      <c r="K45" s="110"/>
      <c r="L45" s="109"/>
      <c r="M45" s="96">
        <v>6</v>
      </c>
      <c r="N45" s="238"/>
      <c r="O45" s="260"/>
    </row>
    <row r="46" spans="1:15" ht="15" customHeight="1" x14ac:dyDescent="0.4">
      <c r="A46" s="230"/>
      <c r="B46" s="235"/>
      <c r="C46" s="41" t="s">
        <v>17</v>
      </c>
      <c r="D46" s="189" t="s">
        <v>81</v>
      </c>
      <c r="E46" s="127">
        <v>4</v>
      </c>
      <c r="F46" s="115">
        <v>5</v>
      </c>
      <c r="G46" s="131"/>
      <c r="H46" s="97"/>
      <c r="I46" s="82"/>
      <c r="J46" s="128"/>
      <c r="K46" s="96"/>
      <c r="L46" s="97"/>
      <c r="M46" s="82">
        <v>5</v>
      </c>
      <c r="N46" s="239"/>
      <c r="O46" s="260"/>
    </row>
    <row r="47" spans="1:15" s="77" customFormat="1" ht="15" customHeight="1" x14ac:dyDescent="0.4">
      <c r="A47" s="230"/>
      <c r="B47" s="244" t="s">
        <v>60</v>
      </c>
      <c r="C47" s="12" t="s">
        <v>17</v>
      </c>
      <c r="D47" s="191" t="s">
        <v>109</v>
      </c>
      <c r="E47" s="114">
        <v>4</v>
      </c>
      <c r="F47" s="114">
        <v>5</v>
      </c>
      <c r="G47" s="134"/>
      <c r="H47" s="133"/>
      <c r="I47" s="96"/>
      <c r="J47" s="97">
        <v>6</v>
      </c>
      <c r="K47" s="116"/>
      <c r="L47" s="106"/>
      <c r="M47" s="96"/>
      <c r="N47" s="237">
        <f>SUM(H47:M50)</f>
        <v>21</v>
      </c>
      <c r="O47" s="260"/>
    </row>
    <row r="48" spans="1:15" s="77" customFormat="1" ht="15" customHeight="1" x14ac:dyDescent="0.4">
      <c r="A48" s="230"/>
      <c r="B48" s="235"/>
      <c r="C48" s="12" t="s">
        <v>17</v>
      </c>
      <c r="D48" s="189" t="s">
        <v>110</v>
      </c>
      <c r="E48" s="114">
        <v>4</v>
      </c>
      <c r="F48" s="117">
        <v>5</v>
      </c>
      <c r="G48" s="117"/>
      <c r="H48" s="97"/>
      <c r="I48" s="96"/>
      <c r="J48" s="97"/>
      <c r="K48" s="110">
        <v>6</v>
      </c>
      <c r="L48" s="109"/>
      <c r="M48" s="96"/>
      <c r="N48" s="238"/>
      <c r="O48" s="260"/>
    </row>
    <row r="49" spans="1:15" s="77" customFormat="1" ht="15" customHeight="1" x14ac:dyDescent="0.4">
      <c r="A49" s="230"/>
      <c r="B49" s="235"/>
      <c r="C49" s="12" t="s">
        <v>17</v>
      </c>
      <c r="D49" s="189" t="s">
        <v>67</v>
      </c>
      <c r="E49" s="114">
        <v>4</v>
      </c>
      <c r="F49" s="117">
        <v>3</v>
      </c>
      <c r="G49" s="117"/>
      <c r="H49" s="97"/>
      <c r="I49" s="96"/>
      <c r="J49" s="97"/>
      <c r="K49" s="110"/>
      <c r="L49" s="109">
        <v>6</v>
      </c>
      <c r="M49" s="96"/>
      <c r="N49" s="238"/>
      <c r="O49" s="260"/>
    </row>
    <row r="50" spans="1:15" s="77" customFormat="1" ht="15" customHeight="1" thickBot="1" x14ac:dyDescent="0.45">
      <c r="A50" s="231"/>
      <c r="B50" s="315"/>
      <c r="C50" s="29" t="s">
        <v>17</v>
      </c>
      <c r="D50" s="193" t="s">
        <v>66</v>
      </c>
      <c r="E50" s="118">
        <v>4</v>
      </c>
      <c r="F50" s="119">
        <v>3</v>
      </c>
      <c r="G50" s="119"/>
      <c r="H50" s="120"/>
      <c r="I50" s="121"/>
      <c r="J50" s="120"/>
      <c r="K50" s="122"/>
      <c r="L50" s="123"/>
      <c r="M50" s="121">
        <v>3</v>
      </c>
      <c r="N50" s="238"/>
      <c r="O50" s="260"/>
    </row>
    <row r="51" spans="1:15" ht="15" customHeight="1" x14ac:dyDescent="0.4">
      <c r="A51" s="230" t="s">
        <v>52</v>
      </c>
      <c r="B51" s="316" t="s">
        <v>58</v>
      </c>
      <c r="C51" s="42" t="s">
        <v>17</v>
      </c>
      <c r="D51" s="191" t="s">
        <v>134</v>
      </c>
      <c r="E51" s="102">
        <v>4</v>
      </c>
      <c r="F51" s="103">
        <v>3</v>
      </c>
      <c r="G51" s="320" t="s">
        <v>99</v>
      </c>
      <c r="H51" s="124"/>
      <c r="I51" s="125"/>
      <c r="J51" s="126"/>
      <c r="K51" s="321">
        <v>3</v>
      </c>
      <c r="L51" s="106"/>
      <c r="M51" s="107"/>
      <c r="N51" s="246">
        <f>SUM(H51:M58)</f>
        <v>6</v>
      </c>
      <c r="O51" s="260"/>
    </row>
    <row r="52" spans="1:15" ht="15" customHeight="1" x14ac:dyDescent="0.4">
      <c r="A52" s="230"/>
      <c r="B52" s="244"/>
      <c r="C52" s="42" t="s">
        <v>17</v>
      </c>
      <c r="D52" s="191" t="s">
        <v>135</v>
      </c>
      <c r="E52" s="102">
        <v>4</v>
      </c>
      <c r="F52" s="103">
        <v>3</v>
      </c>
      <c r="G52" s="318"/>
      <c r="H52" s="104"/>
      <c r="I52" s="107"/>
      <c r="J52" s="104"/>
      <c r="K52" s="322"/>
      <c r="L52" s="106"/>
      <c r="M52" s="107"/>
      <c r="N52" s="238"/>
      <c r="O52" s="260"/>
    </row>
    <row r="53" spans="1:15" ht="15" customHeight="1" x14ac:dyDescent="0.4">
      <c r="A53" s="230"/>
      <c r="B53" s="244"/>
      <c r="C53" s="42" t="s">
        <v>17</v>
      </c>
      <c r="D53" s="191" t="s">
        <v>136</v>
      </c>
      <c r="E53" s="102">
        <v>4</v>
      </c>
      <c r="F53" s="103">
        <v>3</v>
      </c>
      <c r="G53" s="318"/>
      <c r="H53" s="104"/>
      <c r="I53" s="107"/>
      <c r="J53" s="104"/>
      <c r="K53" s="322"/>
      <c r="L53" s="106"/>
      <c r="M53" s="107"/>
      <c r="N53" s="238"/>
      <c r="O53" s="260"/>
    </row>
    <row r="54" spans="1:15" ht="15" customHeight="1" x14ac:dyDescent="0.4">
      <c r="A54" s="230"/>
      <c r="B54" s="235"/>
      <c r="C54" s="12" t="s">
        <v>17</v>
      </c>
      <c r="D54" s="191" t="s">
        <v>151</v>
      </c>
      <c r="E54" s="102">
        <v>4</v>
      </c>
      <c r="F54" s="103">
        <v>3</v>
      </c>
      <c r="G54" s="317" t="s">
        <v>99</v>
      </c>
      <c r="H54" s="97"/>
      <c r="I54" s="96"/>
      <c r="J54" s="97"/>
      <c r="K54" s="110"/>
      <c r="L54" s="247">
        <v>3</v>
      </c>
      <c r="M54" s="96"/>
      <c r="N54" s="238"/>
      <c r="O54" s="260"/>
    </row>
    <row r="55" spans="1:15" ht="15" customHeight="1" x14ac:dyDescent="0.4">
      <c r="A55" s="230"/>
      <c r="B55" s="242"/>
      <c r="C55" s="42" t="s">
        <v>119</v>
      </c>
      <c r="D55" s="191" t="s">
        <v>137</v>
      </c>
      <c r="E55" s="102">
        <v>4</v>
      </c>
      <c r="F55" s="153">
        <v>3</v>
      </c>
      <c r="G55" s="318"/>
      <c r="H55" s="151"/>
      <c r="I55" s="82"/>
      <c r="J55" s="151"/>
      <c r="K55" s="113"/>
      <c r="L55" s="248"/>
      <c r="M55" s="82"/>
      <c r="N55" s="238"/>
      <c r="O55" s="260"/>
    </row>
    <row r="56" spans="1:15" ht="15" customHeight="1" x14ac:dyDescent="0.4">
      <c r="A56" s="230"/>
      <c r="B56" s="242"/>
      <c r="C56" s="42" t="s">
        <v>119</v>
      </c>
      <c r="D56" s="191" t="s">
        <v>118</v>
      </c>
      <c r="E56" s="102">
        <v>4</v>
      </c>
      <c r="F56" s="153">
        <v>3</v>
      </c>
      <c r="G56" s="318"/>
      <c r="H56" s="151"/>
      <c r="I56" s="82"/>
      <c r="J56" s="151"/>
      <c r="K56" s="113"/>
      <c r="L56" s="248"/>
      <c r="M56" s="82"/>
      <c r="N56" s="238"/>
      <c r="O56" s="260"/>
    </row>
    <row r="57" spans="1:15" ht="15" customHeight="1" x14ac:dyDescent="0.4">
      <c r="A57" s="230"/>
      <c r="B57" s="242"/>
      <c r="C57" s="42" t="s">
        <v>17</v>
      </c>
      <c r="D57" s="191" t="s">
        <v>138</v>
      </c>
      <c r="E57" s="102">
        <v>4</v>
      </c>
      <c r="F57" s="103">
        <v>3</v>
      </c>
      <c r="G57" s="318"/>
      <c r="H57" s="111"/>
      <c r="I57" s="82"/>
      <c r="J57" s="111"/>
      <c r="K57" s="113"/>
      <c r="L57" s="248"/>
      <c r="M57" s="82"/>
      <c r="N57" s="238"/>
      <c r="O57" s="260"/>
    </row>
    <row r="58" spans="1:15" ht="15" customHeight="1" x14ac:dyDescent="0.4">
      <c r="A58" s="230"/>
      <c r="B58" s="235"/>
      <c r="C58" s="12" t="s">
        <v>17</v>
      </c>
      <c r="D58" s="189" t="s">
        <v>139</v>
      </c>
      <c r="E58" s="127">
        <v>4</v>
      </c>
      <c r="F58" s="114">
        <v>3</v>
      </c>
      <c r="G58" s="319"/>
      <c r="H58" s="97"/>
      <c r="I58" s="96"/>
      <c r="J58" s="97"/>
      <c r="K58" s="96"/>
      <c r="L58" s="249"/>
      <c r="M58" s="82"/>
      <c r="N58" s="239"/>
      <c r="O58" s="260"/>
    </row>
    <row r="59" spans="1:15" ht="15" customHeight="1" x14ac:dyDescent="0.4">
      <c r="A59" s="230"/>
      <c r="B59" s="218" t="s">
        <v>144</v>
      </c>
      <c r="C59" s="42" t="s">
        <v>11</v>
      </c>
      <c r="D59" s="194" t="s">
        <v>61</v>
      </c>
      <c r="E59" s="13">
        <v>3</v>
      </c>
      <c r="F59" s="22">
        <v>2</v>
      </c>
      <c r="G59" s="307" t="s">
        <v>99</v>
      </c>
      <c r="H59" s="84"/>
      <c r="I59" s="54"/>
      <c r="J59" s="85"/>
      <c r="K59" s="55"/>
      <c r="L59" s="101"/>
      <c r="M59" s="302">
        <v>2</v>
      </c>
      <c r="N59" s="293">
        <f>SUM(H59:M60)</f>
        <v>2</v>
      </c>
      <c r="O59" s="256">
        <v>12</v>
      </c>
    </row>
    <row r="60" spans="1:15" ht="15" customHeight="1" x14ac:dyDescent="0.4">
      <c r="A60" s="230"/>
      <c r="B60" s="218"/>
      <c r="C60" s="42" t="s">
        <v>17</v>
      </c>
      <c r="D60" s="194" t="s">
        <v>72</v>
      </c>
      <c r="E60" s="88">
        <v>3</v>
      </c>
      <c r="F60" s="22">
        <v>2</v>
      </c>
      <c r="G60" s="308"/>
      <c r="H60" s="84"/>
      <c r="I60" s="54"/>
      <c r="J60" s="17"/>
      <c r="K60" s="16"/>
      <c r="L60" s="143"/>
      <c r="M60" s="303"/>
      <c r="N60" s="295"/>
      <c r="O60" s="258"/>
    </row>
    <row r="61" spans="1:15" ht="15" customHeight="1" x14ac:dyDescent="0.4">
      <c r="A61" s="230"/>
      <c r="B61" s="206" t="s">
        <v>23</v>
      </c>
      <c r="C61" s="12" t="s">
        <v>50</v>
      </c>
      <c r="D61" s="195" t="s">
        <v>73</v>
      </c>
      <c r="E61" s="13">
        <v>4</v>
      </c>
      <c r="F61" s="14">
        <v>3</v>
      </c>
      <c r="G61" s="309" t="s">
        <v>99</v>
      </c>
      <c r="H61" s="15"/>
      <c r="I61" s="16"/>
      <c r="J61" s="210">
        <v>3</v>
      </c>
      <c r="K61" s="56"/>
      <c r="L61" s="143"/>
      <c r="M61" s="16"/>
      <c r="N61" s="293">
        <f>SUM(H61:M68)</f>
        <v>6</v>
      </c>
      <c r="O61" s="256">
        <v>8</v>
      </c>
    </row>
    <row r="62" spans="1:15" ht="15" customHeight="1" x14ac:dyDescent="0.4">
      <c r="A62" s="230"/>
      <c r="B62" s="218"/>
      <c r="C62" s="42" t="s">
        <v>11</v>
      </c>
      <c r="D62" s="196" t="s">
        <v>75</v>
      </c>
      <c r="E62" s="13">
        <v>4</v>
      </c>
      <c r="F62" s="14">
        <v>3</v>
      </c>
      <c r="G62" s="307"/>
      <c r="H62" s="84"/>
      <c r="I62" s="54"/>
      <c r="J62" s="304"/>
      <c r="K62" s="16"/>
      <c r="L62" s="144"/>
      <c r="M62" s="54"/>
      <c r="N62" s="294"/>
      <c r="O62" s="257"/>
    </row>
    <row r="63" spans="1:15" ht="15" customHeight="1" x14ac:dyDescent="0.4">
      <c r="A63" s="230"/>
      <c r="B63" s="218"/>
      <c r="C63" s="42" t="s">
        <v>11</v>
      </c>
      <c r="D63" s="196" t="s">
        <v>120</v>
      </c>
      <c r="E63" s="13">
        <v>4</v>
      </c>
      <c r="F63" s="14">
        <v>3</v>
      </c>
      <c r="G63" s="307"/>
      <c r="H63" s="84"/>
      <c r="I63" s="54"/>
      <c r="J63" s="304"/>
      <c r="K63" s="16"/>
      <c r="L63" s="143"/>
      <c r="M63" s="54"/>
      <c r="N63" s="294"/>
      <c r="O63" s="257"/>
    </row>
    <row r="64" spans="1:15" ht="14.4" customHeight="1" x14ac:dyDescent="0.4">
      <c r="A64" s="230"/>
      <c r="B64" s="218"/>
      <c r="C64" s="155" t="s">
        <v>17</v>
      </c>
      <c r="D64" s="197" t="s">
        <v>117</v>
      </c>
      <c r="E64" s="13">
        <v>4</v>
      </c>
      <c r="F64" s="14">
        <v>3</v>
      </c>
      <c r="G64" s="308"/>
      <c r="H64" s="84"/>
      <c r="I64" s="54"/>
      <c r="J64" s="211"/>
      <c r="K64" s="16"/>
      <c r="L64" s="143"/>
      <c r="M64" s="54"/>
      <c r="N64" s="294"/>
      <c r="O64" s="257"/>
    </row>
    <row r="65" spans="1:15" ht="14.4" customHeight="1" x14ac:dyDescent="0.4">
      <c r="A65" s="230"/>
      <c r="B65" s="218"/>
      <c r="C65" s="155" t="s">
        <v>133</v>
      </c>
      <c r="D65" s="197" t="s">
        <v>128</v>
      </c>
      <c r="E65" s="88">
        <v>4</v>
      </c>
      <c r="F65" s="166">
        <v>3</v>
      </c>
      <c r="G65" s="310" t="s">
        <v>127</v>
      </c>
      <c r="H65" s="164"/>
      <c r="I65" s="165"/>
      <c r="J65" s="1"/>
      <c r="K65" s="313">
        <v>3</v>
      </c>
      <c r="L65" s="101"/>
      <c r="M65" s="165"/>
      <c r="N65" s="294"/>
      <c r="O65" s="257"/>
    </row>
    <row r="66" spans="1:15" ht="14.4" customHeight="1" x14ac:dyDescent="0.4">
      <c r="A66" s="230"/>
      <c r="B66" s="218"/>
      <c r="C66" s="155" t="s">
        <v>132</v>
      </c>
      <c r="D66" s="197" t="s">
        <v>129</v>
      </c>
      <c r="E66" s="88">
        <v>4</v>
      </c>
      <c r="F66" s="166">
        <v>3</v>
      </c>
      <c r="G66" s="311"/>
      <c r="H66" s="164"/>
      <c r="I66" s="165"/>
      <c r="J66" s="174"/>
      <c r="K66" s="208"/>
      <c r="L66" s="101"/>
      <c r="M66" s="165"/>
      <c r="N66" s="294"/>
      <c r="O66" s="257"/>
    </row>
    <row r="67" spans="1:15" ht="14.4" customHeight="1" x14ac:dyDescent="0.4">
      <c r="A67" s="230"/>
      <c r="B67" s="218"/>
      <c r="C67" s="155" t="s">
        <v>132</v>
      </c>
      <c r="D67" s="197" t="s">
        <v>130</v>
      </c>
      <c r="E67" s="88">
        <v>4</v>
      </c>
      <c r="F67" s="166">
        <v>3</v>
      </c>
      <c r="G67" s="311"/>
      <c r="H67" s="164"/>
      <c r="I67" s="165"/>
      <c r="J67" s="1"/>
      <c r="K67" s="208"/>
      <c r="L67" s="101"/>
      <c r="M67" s="165"/>
      <c r="N67" s="294"/>
      <c r="O67" s="257"/>
    </row>
    <row r="68" spans="1:15" ht="14.4" customHeight="1" x14ac:dyDescent="0.4">
      <c r="A68" s="230"/>
      <c r="B68" s="207"/>
      <c r="C68" s="155" t="s">
        <v>132</v>
      </c>
      <c r="D68" s="197" t="s">
        <v>131</v>
      </c>
      <c r="E68" s="88">
        <v>4</v>
      </c>
      <c r="F68" s="166">
        <v>3</v>
      </c>
      <c r="G68" s="312"/>
      <c r="H68" s="164"/>
      <c r="I68" s="165"/>
      <c r="J68" s="175"/>
      <c r="K68" s="314"/>
      <c r="L68" s="101"/>
      <c r="M68" s="165"/>
      <c r="N68" s="295"/>
      <c r="O68" s="258"/>
    </row>
    <row r="69" spans="1:15" ht="15" customHeight="1" x14ac:dyDescent="0.4">
      <c r="A69" s="230"/>
      <c r="B69" s="206" t="s">
        <v>15</v>
      </c>
      <c r="C69" s="42" t="s">
        <v>11</v>
      </c>
      <c r="D69" s="196" t="s">
        <v>125</v>
      </c>
      <c r="E69" s="88">
        <v>4</v>
      </c>
      <c r="F69" s="22">
        <v>3</v>
      </c>
      <c r="G69" s="309" t="s">
        <v>99</v>
      </c>
      <c r="H69" s="84"/>
      <c r="I69" s="54"/>
      <c r="J69" s="305">
        <v>3</v>
      </c>
      <c r="K69" s="168"/>
      <c r="L69" s="84"/>
      <c r="M69" s="54"/>
      <c r="N69" s="293">
        <f>SUM(H69:M70)</f>
        <v>3</v>
      </c>
      <c r="O69" s="256">
        <v>10</v>
      </c>
    </row>
    <row r="70" spans="1:15" ht="15" customHeight="1" thickBot="1" x14ac:dyDescent="0.45">
      <c r="A70" s="230"/>
      <c r="B70" s="218"/>
      <c r="C70" s="91" t="s">
        <v>11</v>
      </c>
      <c r="D70" s="198" t="s">
        <v>126</v>
      </c>
      <c r="E70" s="89">
        <v>4</v>
      </c>
      <c r="F70" s="167">
        <v>3</v>
      </c>
      <c r="G70" s="307"/>
      <c r="H70" s="163"/>
      <c r="I70" s="162"/>
      <c r="J70" s="306"/>
      <c r="K70" s="176"/>
      <c r="L70" s="163"/>
      <c r="M70" s="162"/>
      <c r="N70" s="294"/>
      <c r="O70" s="257"/>
    </row>
    <row r="71" spans="1:15" ht="15" customHeight="1" x14ac:dyDescent="0.4">
      <c r="A71" s="212" t="s">
        <v>53</v>
      </c>
      <c r="B71" s="213"/>
      <c r="C71" s="213"/>
      <c r="D71" s="213"/>
      <c r="E71" s="213"/>
      <c r="F71" s="213"/>
      <c r="G71" s="214"/>
      <c r="H71" s="10">
        <f t="shared" ref="H71:N71" si="0">SUM(H5:H70)</f>
        <v>29</v>
      </c>
      <c r="I71" s="11">
        <f t="shared" si="0"/>
        <v>29</v>
      </c>
      <c r="J71" s="10">
        <f t="shared" si="0"/>
        <v>30</v>
      </c>
      <c r="K71" s="172">
        <f t="shared" si="0"/>
        <v>30</v>
      </c>
      <c r="L71" s="10">
        <f t="shared" si="0"/>
        <v>29</v>
      </c>
      <c r="M71" s="11">
        <f t="shared" si="0"/>
        <v>27</v>
      </c>
      <c r="N71" s="173">
        <f t="shared" si="0"/>
        <v>174</v>
      </c>
      <c r="O71" s="11"/>
    </row>
    <row r="72" spans="1:15" ht="15" customHeight="1" x14ac:dyDescent="0.4">
      <c r="A72" s="215" t="s">
        <v>21</v>
      </c>
      <c r="B72" s="216"/>
      <c r="C72" s="216"/>
      <c r="D72" s="216"/>
      <c r="E72" s="216"/>
      <c r="F72" s="216"/>
      <c r="G72" s="217"/>
      <c r="H72" s="15">
        <v>3</v>
      </c>
      <c r="I72" s="16">
        <v>3</v>
      </c>
      <c r="J72" s="15">
        <v>3</v>
      </c>
      <c r="K72" s="57">
        <v>3</v>
      </c>
      <c r="L72" s="15">
        <v>3</v>
      </c>
      <c r="M72" s="16">
        <v>3</v>
      </c>
      <c r="N72" s="45">
        <f>SUM(H72:M72)</f>
        <v>18</v>
      </c>
      <c r="O72" s="16">
        <v>18</v>
      </c>
    </row>
    <row r="73" spans="1:15" ht="15" customHeight="1" thickBot="1" x14ac:dyDescent="0.45">
      <c r="A73" s="297" t="s">
        <v>54</v>
      </c>
      <c r="B73" s="298"/>
      <c r="C73" s="298"/>
      <c r="D73" s="298"/>
      <c r="E73" s="298"/>
      <c r="F73" s="298"/>
      <c r="G73" s="299"/>
      <c r="H73" s="47">
        <f t="shared" ref="H73:M73" si="1">H71+H72</f>
        <v>32</v>
      </c>
      <c r="I73" s="48">
        <f t="shared" si="1"/>
        <v>32</v>
      </c>
      <c r="J73" s="47">
        <f t="shared" si="1"/>
        <v>33</v>
      </c>
      <c r="K73" s="58">
        <f t="shared" si="1"/>
        <v>33</v>
      </c>
      <c r="L73" s="47">
        <f t="shared" si="1"/>
        <v>32</v>
      </c>
      <c r="M73" s="48">
        <f t="shared" si="1"/>
        <v>30</v>
      </c>
      <c r="N73" s="49">
        <f>SUM(H73:M73)</f>
        <v>192</v>
      </c>
      <c r="O73" s="48"/>
    </row>
    <row r="74" spans="1:15" x14ac:dyDescent="0.4">
      <c r="A74" s="78" t="s">
        <v>88</v>
      </c>
      <c r="B74" s="79"/>
      <c r="C74" s="78"/>
      <c r="D74" s="199"/>
      <c r="E74" s="78" t="s">
        <v>98</v>
      </c>
      <c r="F74" s="78"/>
      <c r="G74" s="78"/>
      <c r="H74" s="78"/>
      <c r="I74" s="78"/>
      <c r="J74" s="79"/>
      <c r="K74" s="79"/>
      <c r="L74" s="78"/>
      <c r="M74" s="78"/>
      <c r="N74" s="79"/>
      <c r="O74" s="79"/>
    </row>
    <row r="75" spans="1:15" x14ac:dyDescent="0.4">
      <c r="A75" s="78" t="s">
        <v>94</v>
      </c>
      <c r="B75" s="79"/>
      <c r="C75" s="78"/>
      <c r="D75" s="199"/>
      <c r="E75" s="80"/>
      <c r="F75" s="78" t="s">
        <v>96</v>
      </c>
      <c r="G75" s="78"/>
      <c r="H75" s="78"/>
      <c r="I75" s="78"/>
      <c r="J75" s="79"/>
      <c r="K75" s="79"/>
      <c r="L75" s="78"/>
      <c r="M75" s="78"/>
      <c r="N75" s="79"/>
      <c r="O75" s="79"/>
    </row>
    <row r="76" spans="1:15" x14ac:dyDescent="0.4">
      <c r="A76" s="78" t="s">
        <v>93</v>
      </c>
      <c r="B76" s="79"/>
      <c r="C76" s="78"/>
      <c r="D76" s="199"/>
      <c r="E76" s="81"/>
      <c r="F76" s="78" t="s">
        <v>97</v>
      </c>
      <c r="G76" s="78"/>
      <c r="H76" s="78"/>
      <c r="I76" s="78"/>
      <c r="J76" s="79"/>
      <c r="K76" s="79"/>
      <c r="L76" s="78"/>
      <c r="M76" s="78"/>
      <c r="N76" s="79"/>
      <c r="O76" s="79"/>
    </row>
    <row r="77" spans="1:15" x14ac:dyDescent="0.4">
      <c r="A77" s="78" t="s">
        <v>90</v>
      </c>
      <c r="B77" s="79"/>
      <c r="C77" s="78"/>
      <c r="D77" s="199"/>
      <c r="E77" s="180"/>
      <c r="F77" s="181" t="s">
        <v>142</v>
      </c>
      <c r="G77" s="181"/>
      <c r="H77" s="181"/>
      <c r="I77" s="78"/>
      <c r="J77" s="79"/>
      <c r="K77" s="79"/>
      <c r="L77" s="78"/>
      <c r="M77" s="78"/>
      <c r="N77" s="79"/>
      <c r="O77" s="79"/>
    </row>
    <row r="78" spans="1:15" x14ac:dyDescent="0.4">
      <c r="A78" s="78" t="s">
        <v>91</v>
      </c>
      <c r="B78" s="79"/>
      <c r="C78" s="78"/>
      <c r="D78" s="199"/>
      <c r="E78" s="78" t="s">
        <v>145</v>
      </c>
      <c r="F78" s="78"/>
      <c r="G78" s="78"/>
      <c r="H78" s="78"/>
      <c r="I78" s="78"/>
      <c r="J78" s="79"/>
      <c r="K78" s="79"/>
      <c r="L78" s="78"/>
      <c r="M78" s="78"/>
      <c r="N78" s="79"/>
      <c r="O78" s="79"/>
    </row>
    <row r="79" spans="1:15" x14ac:dyDescent="0.4">
      <c r="A79" s="78" t="s">
        <v>95</v>
      </c>
      <c r="B79" s="79"/>
      <c r="C79" s="78"/>
      <c r="D79" s="199"/>
      <c r="E79" s="182"/>
      <c r="F79" s="78" t="s">
        <v>150</v>
      </c>
      <c r="G79" s="78"/>
      <c r="H79" s="78"/>
      <c r="I79" s="78"/>
      <c r="J79" s="79"/>
      <c r="K79" s="79"/>
      <c r="L79" s="78"/>
      <c r="M79" s="78"/>
      <c r="N79" s="79"/>
      <c r="O79" s="79"/>
    </row>
  </sheetData>
  <mergeCells count="72">
    <mergeCell ref="A5:A50"/>
    <mergeCell ref="B69:B70"/>
    <mergeCell ref="B23:B27"/>
    <mergeCell ref="B34:B35"/>
    <mergeCell ref="B40:B46"/>
    <mergeCell ref="B61:B68"/>
    <mergeCell ref="A51:A70"/>
    <mergeCell ref="B59:B60"/>
    <mergeCell ref="A1:O1"/>
    <mergeCell ref="A2:O2"/>
    <mergeCell ref="A3:A4"/>
    <mergeCell ref="B3:B4"/>
    <mergeCell ref="C3:D4"/>
    <mergeCell ref="E3:E4"/>
    <mergeCell ref="F3:F4"/>
    <mergeCell ref="H3:I3"/>
    <mergeCell ref="J3:K3"/>
    <mergeCell ref="L3:M3"/>
    <mergeCell ref="N3:N4"/>
    <mergeCell ref="O3:O4"/>
    <mergeCell ref="G3:G4"/>
    <mergeCell ref="N5:N10"/>
    <mergeCell ref="O5:O10"/>
    <mergeCell ref="B5:B10"/>
    <mergeCell ref="N11:N16"/>
    <mergeCell ref="O11:O16"/>
    <mergeCell ref="B11:B16"/>
    <mergeCell ref="N17:N18"/>
    <mergeCell ref="O17:O18"/>
    <mergeCell ref="B19:B22"/>
    <mergeCell ref="N19:N20"/>
    <mergeCell ref="O19:O20"/>
    <mergeCell ref="N21:N22"/>
    <mergeCell ref="O21:O22"/>
    <mergeCell ref="B17:B18"/>
    <mergeCell ref="N23:N27"/>
    <mergeCell ref="O23:O27"/>
    <mergeCell ref="B28:B33"/>
    <mergeCell ref="N28:N33"/>
    <mergeCell ref="O28:O33"/>
    <mergeCell ref="K65:K68"/>
    <mergeCell ref="N34:N35"/>
    <mergeCell ref="O34:O35"/>
    <mergeCell ref="B36:B39"/>
    <mergeCell ref="N36:N39"/>
    <mergeCell ref="O36:O39"/>
    <mergeCell ref="N40:N46"/>
    <mergeCell ref="O40:O58"/>
    <mergeCell ref="B47:B50"/>
    <mergeCell ref="N47:N50"/>
    <mergeCell ref="B51:B58"/>
    <mergeCell ref="N51:N58"/>
    <mergeCell ref="G54:G58"/>
    <mergeCell ref="L54:L58"/>
    <mergeCell ref="G51:G53"/>
    <mergeCell ref="K51:K53"/>
    <mergeCell ref="A71:G71"/>
    <mergeCell ref="A72:G72"/>
    <mergeCell ref="A73:G73"/>
    <mergeCell ref="O59:O60"/>
    <mergeCell ref="N59:N60"/>
    <mergeCell ref="O69:O70"/>
    <mergeCell ref="N69:N70"/>
    <mergeCell ref="O61:O68"/>
    <mergeCell ref="N61:N68"/>
    <mergeCell ref="M59:M60"/>
    <mergeCell ref="J61:J64"/>
    <mergeCell ref="J69:J70"/>
    <mergeCell ref="G59:G60"/>
    <mergeCell ref="G61:G64"/>
    <mergeCell ref="G69:G70"/>
    <mergeCell ref="G65:G68"/>
  </mergeCells>
  <phoneticPr fontId="2" type="noConversion"/>
  <printOptions horizontalCentered="1"/>
  <pageMargins left="0.25" right="0.25" top="0.65" bottom="0.56000000000000005" header="0.3" footer="0.3"/>
  <pageSetup paperSize="12" scale="82" fitToWidth="0" orientation="portrait" r:id="rId1"/>
  <ignoredErrors>
    <ignoredError sqref="M7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2026학년도 신입생 3개년 편제표(영어과)</vt:lpstr>
      <vt:lpstr>2026학년도 신입생 3개년 편제표(중러일아)</vt:lpstr>
      <vt:lpstr>'2026학년도 신입생 3개년 편제표(영어과)'!Print_Area</vt:lpstr>
      <vt:lpstr>'2026학년도 신입생 3개년 편제표(중러일아)'!Print_Area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 chul koo</cp:lastModifiedBy>
  <cp:lastPrinted>2025-10-29T05:39:58Z</cp:lastPrinted>
  <dcterms:created xsi:type="dcterms:W3CDTF">2022-04-18T03:36:49Z</dcterms:created>
  <dcterms:modified xsi:type="dcterms:W3CDTF">2026-07-15T07:51:30Z</dcterms:modified>
</cp:coreProperties>
</file>