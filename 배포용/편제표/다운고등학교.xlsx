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2025 교육과정 업무\2025 입학생, 전교생 교육과정 편재표\자율적협의체 탑재\"/>
    </mc:Choice>
  </mc:AlternateContent>
  <xr:revisionPtr revIDLastSave="0" documentId="13_ncr:1_{EC3C096E-CE7B-459D-8B0E-552ABE99D429}" xr6:coauthVersionLast="36" xr6:coauthVersionMax="47" xr10:uidLastSave="{00000000-0000-0000-0000-000000000000}"/>
  <bookViews>
    <workbookView xWindow="-110" yWindow="-110" windowWidth="23260" windowHeight="12460" xr2:uid="{00000000-000D-0000-FFFF-FFFF00000000}"/>
  </bookViews>
  <sheets>
    <sheet name="2안" sheetId="5" r:id="rId1"/>
  </sheets>
  <definedNames>
    <definedName name="_xlnm.Print_Area" localSheetId="0">'2안'!$A$1:$N$83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5" l="1"/>
  <c r="M25" i="5"/>
  <c r="M21" i="5"/>
  <c r="M19" i="5"/>
  <c r="M17" i="5"/>
  <c r="M13" i="5"/>
  <c r="M9" i="5"/>
  <c r="M5" i="5"/>
  <c r="L83" i="5"/>
  <c r="K83" i="5"/>
  <c r="J83" i="5"/>
  <c r="I83" i="5"/>
  <c r="H83" i="5"/>
  <c r="G83" i="5"/>
  <c r="M82" i="5"/>
  <c r="N81" i="5"/>
  <c r="M81" i="5"/>
  <c r="M83" i="5" l="1"/>
</calcChain>
</file>

<file path=xl/sharedStrings.xml><?xml version="1.0" encoding="utf-8"?>
<sst xmlns="http://schemas.openxmlformats.org/spreadsheetml/2006/main" count="230" uniqueCount="134">
  <si>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</si>
  <si>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</si>
  <si>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</si>
  <si>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</si>
  <si>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</si>
  <si>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3학년</t>
  </si>
  <si>
    <t>1학기</t>
  </si>
  <si>
    <t>2학기</t>
  </si>
  <si>
    <t>학
교
지
정
교
육
과
정</t>
    <phoneticPr fontId="2" type="noConversion"/>
  </si>
  <si>
    <t>국어</t>
  </si>
  <si>
    <t>공통</t>
    <phoneticPr fontId="2" type="noConversion"/>
  </si>
  <si>
    <t>일반</t>
    <phoneticPr fontId="2" type="noConversion"/>
  </si>
  <si>
    <t>수학</t>
  </si>
  <si>
    <t>영어</t>
  </si>
  <si>
    <t>한국사</t>
    <phoneticPr fontId="2" type="noConversion"/>
  </si>
  <si>
    <t>음악</t>
    <phoneticPr fontId="2" type="noConversion"/>
  </si>
  <si>
    <t>미술</t>
    <phoneticPr fontId="2" type="noConversion"/>
  </si>
  <si>
    <t xml:space="preserve">학
생
선
택
교
육
과
정  </t>
    <phoneticPr fontId="2" type="noConversion"/>
  </si>
  <si>
    <t>진로</t>
  </si>
  <si>
    <t>창의적 체험활동</t>
  </si>
  <si>
    <t>일반</t>
  </si>
  <si>
    <t>택1</t>
    <phoneticPr fontId="2" type="noConversion"/>
  </si>
  <si>
    <t>미술 창작</t>
  </si>
  <si>
    <t>택5</t>
    <phoneticPr fontId="2" type="noConversion"/>
  </si>
  <si>
    <t>기준
학점</t>
    <phoneticPr fontId="2" type="noConversion"/>
  </si>
  <si>
    <t>운영학점</t>
    <phoneticPr fontId="2" type="noConversion"/>
  </si>
  <si>
    <t>이수학점 소계</t>
    <phoneticPr fontId="2" type="noConversion"/>
  </si>
  <si>
    <t>학기별 총 이수 학점</t>
    <phoneticPr fontId="2" type="noConversion"/>
  </si>
  <si>
    <t>이수 
학점</t>
    <phoneticPr fontId="2" type="noConversion"/>
  </si>
  <si>
    <t>진로</t>
    <phoneticPr fontId="2" type="noConversion"/>
  </si>
  <si>
    <t>공통국어1</t>
    <phoneticPr fontId="2" type="noConversion"/>
  </si>
  <si>
    <t>공통국어2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</si>
  <si>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</si>
  <si>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</si>
  <si>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</si>
  <si>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</si>
  <si>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</si>
  <si>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</si>
  <si>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</si>
  <si>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</si>
  <si>
    <t>통합과학1</t>
    <phoneticPr fontId="2" type="noConversion"/>
  </si>
  <si>
    <t>통합과학2</t>
  </si>
  <si>
    <t>체육2</t>
  </si>
  <si>
    <t>융합</t>
    <phoneticPr fontId="2" type="noConversion"/>
  </si>
  <si>
    <t>과학탐구실험1</t>
    <phoneticPr fontId="2" type="noConversion"/>
  </si>
  <si>
    <t>과학탐구실험2</t>
    <phoneticPr fontId="2" type="noConversion"/>
  </si>
  <si>
    <t>화법과 언어</t>
    <phoneticPr fontId="2" type="noConversion"/>
  </si>
  <si>
    <t>음악 연주와 창작</t>
    <phoneticPr fontId="2" type="noConversion"/>
  </si>
  <si>
    <t>스포츠 문화</t>
  </si>
  <si>
    <t>체육1</t>
  </si>
  <si>
    <t>스포츠 과학</t>
  </si>
  <si>
    <t>융합</t>
  </si>
  <si>
    <t>음악 감상과 비평</t>
    <phoneticPr fontId="2" type="noConversion"/>
  </si>
  <si>
    <t>융합</t>
    <phoneticPr fontId="2" type="noConversion"/>
  </si>
  <si>
    <t>진로</t>
    <phoneticPr fontId="2" type="noConversion"/>
  </si>
  <si>
    <t>문학과 영상</t>
    <phoneticPr fontId="2" type="noConversion"/>
  </si>
  <si>
    <t>스포츠 생활1</t>
    <phoneticPr fontId="2" type="noConversion"/>
  </si>
  <si>
    <t>스포츠 생활2</t>
  </si>
  <si>
    <t>제2외국어/한문</t>
    <phoneticPr fontId="2" type="noConversion"/>
  </si>
  <si>
    <t>택1</t>
    <phoneticPr fontId="2" type="noConversion"/>
  </si>
  <si>
    <t xml:space="preserve">4
4
4
4
4
</t>
    <phoneticPr fontId="2" type="noConversion"/>
  </si>
  <si>
    <t>진로</t>
    <phoneticPr fontId="2" type="noConversion"/>
  </si>
  <si>
    <t>독서와 작문</t>
    <phoneticPr fontId="2" type="noConversion"/>
  </si>
  <si>
    <t>문학</t>
    <phoneticPr fontId="2" type="noConversion"/>
  </si>
  <si>
    <t>미적분Ⅰ</t>
    <phoneticPr fontId="2" type="noConversion"/>
  </si>
  <si>
    <t>필수
학점</t>
    <phoneticPr fontId="2" type="noConversion"/>
  </si>
  <si>
    <t>소프트웨어와 생활</t>
    <phoneticPr fontId="2" type="noConversion"/>
  </si>
  <si>
    <t>데이터 과학</t>
    <phoneticPr fontId="2" type="noConversion"/>
  </si>
  <si>
    <t>교양</t>
    <phoneticPr fontId="2" type="noConversion"/>
  </si>
  <si>
    <t>대수</t>
    <phoneticPr fontId="2" type="noConversion"/>
  </si>
  <si>
    <t>확률과 통계</t>
    <phoneticPr fontId="2" type="noConversion"/>
  </si>
  <si>
    <t>다운고등학교</t>
    <phoneticPr fontId="2" type="noConversion"/>
  </si>
  <si>
    <t>진로와 직업</t>
    <phoneticPr fontId="2" type="noConversion"/>
  </si>
  <si>
    <t>생태와 환경</t>
    <phoneticPr fontId="2" type="noConversion"/>
  </si>
  <si>
    <t>일본어, 중국어, 한문</t>
    <phoneticPr fontId="2" type="noConversion"/>
  </si>
  <si>
    <t>주제 탐구 독서</t>
  </si>
  <si>
    <t>영미 문학 읽기</t>
    <phoneticPr fontId="2" type="noConversion"/>
  </si>
  <si>
    <t>택3</t>
    <phoneticPr fontId="2" type="noConversion"/>
  </si>
  <si>
    <t>4
4
4</t>
    <phoneticPr fontId="2" type="noConversion"/>
  </si>
  <si>
    <t>정보</t>
    <phoneticPr fontId="2" type="noConversion"/>
  </si>
  <si>
    <t>인공지능 기초</t>
    <phoneticPr fontId="2" type="noConversion"/>
  </si>
  <si>
    <t>세계시민과 지리, 세계사</t>
    <phoneticPr fontId="2" type="noConversion"/>
  </si>
  <si>
    <t>윤리와 사상, 법과 사회</t>
    <phoneticPr fontId="2" type="noConversion"/>
  </si>
  <si>
    <t>도시의 미래 탐구</t>
    <phoneticPr fontId="2" type="noConversion"/>
  </si>
  <si>
    <t>인문학과 윤리</t>
    <phoneticPr fontId="2" type="noConversion"/>
  </si>
  <si>
    <t>여행지리, 금융과 경제 생활</t>
    <phoneticPr fontId="2" type="noConversion"/>
  </si>
  <si>
    <t>매체 의사소통</t>
    <phoneticPr fontId="2" type="noConversion"/>
  </si>
  <si>
    <t>세계 문화와 영어</t>
    <phoneticPr fontId="2" type="noConversion"/>
  </si>
  <si>
    <t>과학</t>
    <phoneticPr fontId="2" type="noConversion"/>
  </si>
  <si>
    <t>한문 고전 읽기</t>
    <phoneticPr fontId="2" type="noConversion"/>
  </si>
  <si>
    <t>일본어 회화, 중국어 회화</t>
    <phoneticPr fontId="2" type="noConversion"/>
  </si>
  <si>
    <t>언어생활과 한자</t>
    <phoneticPr fontId="2" type="noConversion"/>
  </si>
  <si>
    <t>심화 일본어, 심화 중국어</t>
    <phoneticPr fontId="2" type="noConversion"/>
  </si>
  <si>
    <t>수학</t>
    <phoneticPr fontId="2" type="noConversion"/>
  </si>
  <si>
    <t>국어</t>
    <phoneticPr fontId="2" type="noConversion"/>
  </si>
  <si>
    <r>
      <t>영어</t>
    </r>
    <r>
      <rPr>
        <sz val="10"/>
        <color theme="1"/>
        <rFont val="나눔고딕"/>
        <family val="1"/>
        <charset val="129"/>
      </rPr>
      <t>Ⅰ</t>
    </r>
    <phoneticPr fontId="2" type="noConversion"/>
  </si>
  <si>
    <t>한국지리 탐구, 동아시아 역사 기행</t>
    <phoneticPr fontId="2" type="noConversion"/>
  </si>
  <si>
    <t>융합과학 탐구</t>
    <phoneticPr fontId="2" type="noConversion"/>
  </si>
  <si>
    <t>기후변화와 환경생태, 과학의 역사와 문화</t>
    <phoneticPr fontId="2" type="noConversion"/>
  </si>
  <si>
    <t>미술 감상과 비평</t>
    <phoneticPr fontId="2" type="noConversion"/>
  </si>
  <si>
    <t>보건</t>
    <phoneticPr fontId="2" type="noConversion"/>
  </si>
  <si>
    <r>
      <t>언어생활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탐구</t>
    </r>
    <phoneticPr fontId="2" type="noConversion"/>
  </si>
  <si>
    <t>융합</t>
    <phoneticPr fontId="2" type="noConversion"/>
  </si>
  <si>
    <t>물리학, 화학, 생명과학, 지구과학</t>
    <phoneticPr fontId="2" type="noConversion"/>
  </si>
  <si>
    <t>역학과 에너지, 화학 반응의 세계, 세포와 물질대사, 지구시스템과학</t>
    <phoneticPr fontId="2" type="noConversion"/>
  </si>
  <si>
    <t>과학</t>
    <phoneticPr fontId="2" type="noConversion"/>
  </si>
  <si>
    <t>사회</t>
    <phoneticPr fontId="2" type="noConversion"/>
  </si>
  <si>
    <t>체육</t>
    <phoneticPr fontId="2" type="noConversion"/>
  </si>
  <si>
    <t>예술</t>
    <phoneticPr fontId="2" type="noConversion"/>
  </si>
  <si>
    <t>국어</t>
    <phoneticPr fontId="2" type="noConversion"/>
  </si>
  <si>
    <t>영어</t>
    <phoneticPr fontId="2" type="noConversion"/>
  </si>
  <si>
    <t>사회</t>
    <phoneticPr fontId="2" type="noConversion"/>
  </si>
  <si>
    <t>영어</t>
    <phoneticPr fontId="2" type="noConversion"/>
  </si>
  <si>
    <t>인공지능 수학</t>
    <phoneticPr fontId="2" type="noConversion"/>
  </si>
  <si>
    <t>수학과 문화</t>
    <phoneticPr fontId="2" type="noConversion"/>
  </si>
  <si>
    <t>미디어 영어</t>
    <phoneticPr fontId="2" type="noConversion"/>
  </si>
  <si>
    <t>심화영어</t>
    <phoneticPr fontId="2" type="noConversion"/>
  </si>
  <si>
    <t>인간과 경제활동</t>
    <phoneticPr fontId="2" type="noConversion"/>
  </si>
  <si>
    <t>영어 발표와 토론</t>
    <phoneticPr fontId="2" type="noConversion"/>
  </si>
  <si>
    <t>영어Ⅱ</t>
    <phoneticPr fontId="2" type="noConversion"/>
  </si>
  <si>
    <t>기술·가정/정보</t>
    <phoneticPr fontId="2" type="noConversion"/>
  </si>
  <si>
    <t xml:space="preserve">전자기와 양자, 물질과 에너지, 생물의 유전, 행성우주과학  </t>
    <phoneticPr fontId="2" type="noConversion"/>
  </si>
  <si>
    <t>2026학년도 신입생 3개년 교육과정 편제표</t>
    <phoneticPr fontId="2" type="noConversion"/>
  </si>
  <si>
    <t>사회와 문화, 현대사회와 윤리</t>
    <phoneticPr fontId="2" type="noConversion"/>
  </si>
  <si>
    <t>사회문제 탐구, 윤리문제 탐구</t>
    <phoneticPr fontId="2" type="noConversion"/>
  </si>
  <si>
    <t>수학과제탐구</t>
    <phoneticPr fontId="2" type="noConversion"/>
  </si>
  <si>
    <t>4
4
4</t>
    <phoneticPr fontId="2" type="noConversion"/>
  </si>
  <si>
    <t>사회</t>
    <phoneticPr fontId="2" type="noConversion"/>
  </si>
  <si>
    <t>미적분Ⅱ, 기하</t>
    <phoneticPr fontId="2" type="noConversion"/>
  </si>
  <si>
    <t>경제 수학</t>
    <phoneticPr fontId="2" type="noConversion"/>
  </si>
  <si>
    <r>
      <t>일본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문화, 중국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문화</t>
    </r>
    <phoneticPr fontId="2" type="noConversion"/>
  </si>
  <si>
    <r>
      <t>영어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독해와 작문</t>
    </r>
    <phoneticPr fontId="2" type="noConversion"/>
  </si>
  <si>
    <t>교차집중(↔)</t>
    <phoneticPr fontId="2" type="noConversion"/>
  </si>
  <si>
    <t>소인수 교육과정 / 공동교육과정
이수시기별 2(3)학점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</si>
</sst>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1"/>
      <charset val="129"/>
    </font>
    <font>
      <sz val="8"/>
      <color theme="1"/>
      <name val="나눔고딕"/>
      <family val="3"/>
      <charset val="129"/>
    </font>
    <font>
      <sz val="10"/>
      <color theme="1"/>
      <name val="나눔고딕"/>
      <charset val="129"/>
    </font>
    <font>
      <sz val="10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b/>
      <sz val="9"/>
      <color theme="1"/>
      <name val="나눔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FFDE8"/>
        <bgColor indexed="64"/>
      </patternFill>
    </fill>
    <fill>
      <patternFill patternType="solid">
        <fgColor rgb="FFFAFEE8"/>
        <bgColor indexed="64"/>
      </patternFill>
    </fill>
    <fill>
      <patternFill patternType="solid">
        <fgColor rgb="FFE6E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shrinkToFit="1"/>
    </xf>
    <xf numFmtId="176" fontId="7" fillId="3" borderId="2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76" fontId="5" fillId="3" borderId="19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176" fontId="8" fillId="3" borderId="19" xfId="0" applyNumberFormat="1" applyFont="1" applyFill="1" applyBorder="1" applyAlignment="1">
      <alignment horizontal="center" vertical="center" shrinkToFi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176" fontId="5" fillId="3" borderId="34" xfId="0" applyNumberFormat="1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176" fontId="5" fillId="3" borderId="32" xfId="0" applyNumberFormat="1" applyFont="1" applyFill="1" applyBorder="1" applyAlignment="1">
      <alignment horizontal="center" vertical="center" wrapText="1"/>
    </xf>
    <xf numFmtId="176" fontId="5" fillId="3" borderId="33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shrinkToFit="1"/>
    </xf>
    <xf numFmtId="0" fontId="11" fillId="8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176" fontId="11" fillId="9" borderId="8" xfId="0" applyNumberFormat="1" applyFont="1" applyFill="1" applyBorder="1" applyAlignment="1">
      <alignment horizontal="center" vertical="center" wrapText="1"/>
    </xf>
    <xf numFmtId="176" fontId="5" fillId="9" borderId="9" xfId="0" applyNumberFormat="1" applyFont="1" applyFill="1" applyBorder="1" applyAlignment="1">
      <alignment horizontal="center" vertical="center" wrapText="1"/>
    </xf>
    <xf numFmtId="176" fontId="11" fillId="10" borderId="8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left" vertical="center" wrapText="1"/>
    </xf>
    <xf numFmtId="176" fontId="5" fillId="3" borderId="2" xfId="0" applyNumberFormat="1" applyFont="1" applyFill="1" applyBorder="1" applyAlignment="1">
      <alignment horizontal="left" vertical="center" wrapText="1"/>
    </xf>
    <xf numFmtId="176" fontId="5" fillId="3" borderId="2" xfId="0" applyNumberFormat="1" applyFont="1" applyFill="1" applyBorder="1" applyAlignment="1">
      <alignment horizontal="left" vertical="center" shrinkToFit="1"/>
    </xf>
    <xf numFmtId="176" fontId="5" fillId="5" borderId="2" xfId="0" applyNumberFormat="1" applyFont="1" applyFill="1" applyBorder="1" applyAlignment="1">
      <alignment horizontal="left" vertical="center" wrapText="1" shrinkToFit="1"/>
    </xf>
    <xf numFmtId="176" fontId="5" fillId="6" borderId="18" xfId="0" applyNumberFormat="1" applyFont="1" applyFill="1" applyBorder="1" applyAlignment="1">
      <alignment horizontal="left" vertical="center" shrinkToFit="1"/>
    </xf>
    <xf numFmtId="176" fontId="5" fillId="6" borderId="2" xfId="0" applyNumberFormat="1" applyFont="1" applyFill="1" applyBorder="1" applyAlignment="1">
      <alignment horizontal="left" vertical="center" shrinkToFit="1"/>
    </xf>
    <xf numFmtId="0" fontId="5" fillId="6" borderId="2" xfId="0" applyFont="1" applyFill="1" applyBorder="1" applyAlignment="1">
      <alignment horizontal="left" vertical="center" shrinkToFit="1"/>
    </xf>
    <xf numFmtId="0" fontId="5" fillId="6" borderId="2" xfId="0" applyFont="1" applyFill="1" applyBorder="1" applyAlignment="1">
      <alignment horizontal="left" vertical="center" wrapText="1" shrinkToFit="1"/>
    </xf>
    <xf numFmtId="176" fontId="5" fillId="8" borderId="18" xfId="0" applyNumberFormat="1" applyFont="1" applyFill="1" applyBorder="1" applyAlignment="1">
      <alignment horizontal="left" vertical="center" shrinkToFit="1"/>
    </xf>
    <xf numFmtId="0" fontId="5" fillId="8" borderId="2" xfId="0" applyFont="1" applyFill="1" applyBorder="1" applyAlignment="1">
      <alignment horizontal="left" vertical="center" shrinkToFit="1"/>
    </xf>
    <xf numFmtId="0" fontId="5" fillId="8" borderId="2" xfId="0" applyFont="1" applyFill="1" applyBorder="1" applyAlignment="1">
      <alignment horizontal="left" vertical="center" wrapText="1" shrinkToFit="1"/>
    </xf>
    <xf numFmtId="0" fontId="5" fillId="8" borderId="19" xfId="0" applyFont="1" applyFill="1" applyBorder="1" applyAlignment="1">
      <alignment horizontal="left" vertical="center" wrapText="1" shrinkToFit="1"/>
    </xf>
    <xf numFmtId="176" fontId="5" fillId="2" borderId="18" xfId="0" applyNumberFormat="1" applyFont="1" applyFill="1" applyBorder="1" applyAlignment="1">
      <alignment horizontal="left" vertical="center" wrapText="1"/>
    </xf>
    <xf numFmtId="176" fontId="5" fillId="2" borderId="19" xfId="0" applyNumberFormat="1" applyFont="1" applyFill="1" applyBorder="1" applyAlignment="1">
      <alignment horizontal="left" vertical="center" wrapText="1"/>
    </xf>
    <xf numFmtId="176" fontId="5" fillId="9" borderId="18" xfId="0" applyNumberFormat="1" applyFont="1" applyFill="1" applyBorder="1" applyAlignment="1">
      <alignment horizontal="left" vertical="center" shrinkToFit="1"/>
    </xf>
    <xf numFmtId="176" fontId="5" fillId="9" borderId="19" xfId="0" applyNumberFormat="1" applyFont="1" applyFill="1" applyBorder="1" applyAlignment="1">
      <alignment horizontal="left" vertical="center" wrapText="1"/>
    </xf>
    <xf numFmtId="176" fontId="5" fillId="10" borderId="18" xfId="0" applyNumberFormat="1" applyFont="1" applyFill="1" applyBorder="1" applyAlignment="1">
      <alignment horizontal="left" vertical="center" shrinkToFit="1"/>
    </xf>
    <xf numFmtId="0" fontId="5" fillId="3" borderId="2" xfId="0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176" fontId="5" fillId="0" borderId="35" xfId="0" applyNumberFormat="1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18" xfId="0" applyNumberFormat="1" applyFont="1" applyFill="1" applyBorder="1" applyAlignment="1">
      <alignment horizontal="center" vertical="center" wrapText="1"/>
    </xf>
    <xf numFmtId="176" fontId="5" fillId="3" borderId="43" xfId="0" applyNumberFormat="1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176" fontId="5" fillId="3" borderId="53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vertical="center" wrapText="1"/>
    </xf>
    <xf numFmtId="0" fontId="9" fillId="6" borderId="17" xfId="0" applyFont="1" applyFill="1" applyBorder="1" applyAlignment="1">
      <alignment horizontal="center" vertical="center"/>
    </xf>
    <xf numFmtId="176" fontId="5" fillId="3" borderId="55" xfId="0" applyNumberFormat="1" applyFont="1" applyFill="1" applyBorder="1" applyAlignment="1">
      <alignment vertical="center" wrapText="1"/>
    </xf>
    <xf numFmtId="176" fontId="5" fillId="3" borderId="52" xfId="0" applyNumberFormat="1" applyFont="1" applyFill="1" applyBorder="1" applyAlignment="1">
      <alignment vertical="center" wrapText="1"/>
    </xf>
    <xf numFmtId="176" fontId="5" fillId="3" borderId="18" xfId="0" applyNumberFormat="1" applyFont="1" applyFill="1" applyBorder="1" applyAlignment="1">
      <alignment horizontal="center" vertical="center" wrapText="1"/>
    </xf>
    <xf numFmtId="176" fontId="5" fillId="10" borderId="61" xfId="0" applyNumberFormat="1" applyFont="1" applyFill="1" applyBorder="1" applyAlignment="1">
      <alignment horizontal="left" vertical="center" shrinkToFit="1"/>
    </xf>
    <xf numFmtId="0" fontId="5" fillId="3" borderId="61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176" fontId="14" fillId="10" borderId="59" xfId="0" applyNumberFormat="1" applyFont="1" applyFill="1" applyBorder="1" applyAlignment="1">
      <alignment horizontal="center" vertical="center" wrapText="1"/>
    </xf>
    <xf numFmtId="176" fontId="16" fillId="3" borderId="2" xfId="0" applyNumberFormat="1" applyFont="1" applyFill="1" applyBorder="1" applyAlignment="1">
      <alignment horizontal="center" vertical="center" wrapText="1"/>
    </xf>
    <xf numFmtId="176" fontId="16" fillId="5" borderId="2" xfId="0" applyNumberFormat="1" applyFont="1" applyFill="1" applyBorder="1" applyAlignment="1">
      <alignment horizontal="left" vertical="center" wrapText="1" shrinkToFit="1"/>
    </xf>
    <xf numFmtId="176" fontId="16" fillId="5" borderId="2" xfId="0" applyNumberFormat="1" applyFont="1" applyFill="1" applyBorder="1" applyAlignment="1">
      <alignment horizontal="left" vertical="center" wrapText="1"/>
    </xf>
    <xf numFmtId="0" fontId="16" fillId="0" borderId="43" xfId="0" applyFont="1" applyBorder="1" applyAlignment="1">
      <alignment horizontal="center" vertical="center"/>
    </xf>
    <xf numFmtId="176" fontId="16" fillId="6" borderId="2" xfId="0" applyNumberFormat="1" applyFont="1" applyFill="1" applyBorder="1" applyAlignment="1">
      <alignment horizontal="left" vertical="center" wrapText="1"/>
    </xf>
    <xf numFmtId="176" fontId="16" fillId="8" borderId="2" xfId="0" applyNumberFormat="1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shrinkToFit="1"/>
    </xf>
    <xf numFmtId="176" fontId="16" fillId="3" borderId="2" xfId="0" applyNumberFormat="1" applyFont="1" applyFill="1" applyBorder="1" applyAlignment="1">
      <alignment horizontal="center" vertical="center" shrinkToFit="1"/>
    </xf>
    <xf numFmtId="176" fontId="5" fillId="3" borderId="26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176" fontId="5" fillId="3" borderId="61" xfId="0" applyNumberFormat="1" applyFont="1" applyFill="1" applyBorder="1" applyAlignment="1">
      <alignment horizontal="center" vertical="center" wrapTex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shrinkToFit="1"/>
    </xf>
    <xf numFmtId="176" fontId="5" fillId="3" borderId="48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 shrinkToFit="1"/>
    </xf>
    <xf numFmtId="176" fontId="5" fillId="3" borderId="1" xfId="0" applyNumberFormat="1" applyFont="1" applyFill="1" applyBorder="1" applyAlignment="1">
      <alignment horizontal="left" vertical="center" shrinkToFit="1"/>
    </xf>
    <xf numFmtId="176" fontId="5" fillId="3" borderId="26" xfId="0" applyNumberFormat="1" applyFont="1" applyFill="1" applyBorder="1" applyAlignment="1">
      <alignment horizontal="center" vertical="center" shrinkToFit="1"/>
    </xf>
    <xf numFmtId="176" fontId="5" fillId="5" borderId="18" xfId="0" applyNumberFormat="1" applyFont="1" applyFill="1" applyBorder="1" applyAlignment="1">
      <alignment horizontal="left" vertical="center" wrapText="1"/>
    </xf>
    <xf numFmtId="176" fontId="9" fillId="5" borderId="8" xfId="0" applyNumberFormat="1" applyFont="1" applyFill="1" applyBorder="1" applyAlignment="1">
      <alignment horizontal="center" vertical="center" wrapText="1"/>
    </xf>
    <xf numFmtId="176" fontId="16" fillId="3" borderId="19" xfId="0" applyNumberFormat="1" applyFont="1" applyFill="1" applyBorder="1" applyAlignment="1">
      <alignment horizontal="center" vertical="center" shrinkToFit="1"/>
    </xf>
    <xf numFmtId="176" fontId="16" fillId="3" borderId="3" xfId="0" applyNumberFormat="1" applyFont="1" applyFill="1" applyBorder="1" applyAlignment="1">
      <alignment horizontal="center" vertical="center" shrinkToFit="1"/>
    </xf>
    <xf numFmtId="176" fontId="6" fillId="2" borderId="68" xfId="0" applyNumberFormat="1" applyFont="1" applyFill="1" applyBorder="1" applyAlignment="1">
      <alignment horizontal="center" vertical="center" shrinkToFit="1"/>
    </xf>
    <xf numFmtId="176" fontId="7" fillId="3" borderId="18" xfId="0" applyNumberFormat="1" applyFont="1" applyFill="1" applyBorder="1" applyAlignment="1">
      <alignment horizontal="center" vertical="center" wrapText="1"/>
    </xf>
    <xf numFmtId="176" fontId="6" fillId="3" borderId="33" xfId="0" applyNumberFormat="1" applyFont="1" applyFill="1" applyBorder="1" applyAlignment="1">
      <alignment horizontal="center" vertical="center" wrapText="1"/>
    </xf>
    <xf numFmtId="176" fontId="6" fillId="3" borderId="35" xfId="0" applyNumberFormat="1" applyFont="1" applyFill="1" applyBorder="1" applyAlignment="1">
      <alignment horizontal="center" vertical="center" wrapText="1"/>
    </xf>
    <xf numFmtId="176" fontId="6" fillId="3" borderId="19" xfId="0" applyNumberFormat="1" applyFont="1" applyFill="1" applyBorder="1" applyAlignment="1">
      <alignment horizontal="center" vertical="center" wrapText="1"/>
    </xf>
    <xf numFmtId="176" fontId="7" fillId="3" borderId="19" xfId="0" applyNumberFormat="1" applyFont="1" applyFill="1" applyBorder="1" applyAlignment="1">
      <alignment horizontal="center" vertical="center" wrapText="1"/>
    </xf>
    <xf numFmtId="176" fontId="6" fillId="3" borderId="69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16" fillId="3" borderId="44" xfId="0" applyNumberFormat="1" applyFont="1" applyFill="1" applyBorder="1" applyAlignment="1">
      <alignment horizontal="center" vertical="center" shrinkToFi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shrinkToFit="1"/>
    </xf>
    <xf numFmtId="176" fontId="5" fillId="3" borderId="75" xfId="0" applyNumberFormat="1" applyFont="1" applyFill="1" applyBorder="1" applyAlignment="1">
      <alignment horizontal="center" vertical="center" wrapText="1"/>
    </xf>
    <xf numFmtId="0" fontId="5" fillId="3" borderId="75" xfId="0" applyFont="1" applyFill="1" applyBorder="1" applyAlignment="1">
      <alignment horizontal="center" vertical="center" wrapText="1"/>
    </xf>
    <xf numFmtId="176" fontId="16" fillId="3" borderId="19" xfId="0" applyNumberFormat="1" applyFont="1" applyFill="1" applyBorder="1" applyAlignment="1">
      <alignment horizontal="center" vertical="center" wrapText="1"/>
    </xf>
    <xf numFmtId="176" fontId="16" fillId="3" borderId="19" xfId="0" applyNumberFormat="1" applyFont="1" applyFill="1" applyBorder="1" applyAlignment="1">
      <alignment horizontal="left" vertical="center" shrinkToFi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5" fillId="3" borderId="76" xfId="0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176" fontId="5" fillId="0" borderId="75" xfId="0" applyNumberFormat="1" applyFont="1" applyFill="1" applyBorder="1" applyAlignment="1">
      <alignment horizontal="left" vertical="center" shrinkToFit="1"/>
    </xf>
    <xf numFmtId="176" fontId="5" fillId="0" borderId="2" xfId="0" applyNumberFormat="1" applyFont="1" applyFill="1" applyBorder="1" applyAlignment="1">
      <alignment horizontal="left" vertical="center" shrinkToFit="1"/>
    </xf>
    <xf numFmtId="176" fontId="5" fillId="6" borderId="90" xfId="0" applyNumberFormat="1" applyFont="1" applyFill="1" applyBorder="1" applyAlignment="1">
      <alignment horizontal="center" vertical="center" wrapText="1" shrinkToFit="1"/>
    </xf>
    <xf numFmtId="176" fontId="5" fillId="6" borderId="91" xfId="0" applyNumberFormat="1" applyFont="1" applyFill="1" applyBorder="1" applyAlignment="1">
      <alignment horizontal="center" vertical="center" wrapText="1" shrinkToFit="1"/>
    </xf>
    <xf numFmtId="176" fontId="5" fillId="4" borderId="46" xfId="0" applyNumberFormat="1" applyFont="1" applyFill="1" applyBorder="1" applyAlignment="1">
      <alignment horizontal="left" vertical="center" wrapText="1"/>
    </xf>
    <xf numFmtId="176" fontId="9" fillId="4" borderId="14" xfId="0" applyNumberFormat="1" applyFont="1" applyFill="1" applyBorder="1" applyAlignment="1">
      <alignment horizontal="center" vertical="center" wrapText="1"/>
    </xf>
    <xf numFmtId="176" fontId="5" fillId="4" borderId="50" xfId="0" applyNumberFormat="1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left" vertical="center"/>
    </xf>
    <xf numFmtId="176" fontId="16" fillId="12" borderId="2" xfId="0" applyNumberFormat="1" applyFont="1" applyFill="1" applyBorder="1" applyAlignment="1">
      <alignment horizontal="left" vertical="center" wrapText="1"/>
    </xf>
    <xf numFmtId="176" fontId="5" fillId="12" borderId="2" xfId="0" applyNumberFormat="1" applyFont="1" applyFill="1" applyBorder="1" applyAlignment="1">
      <alignment horizontal="left" vertical="center" wrapText="1"/>
    </xf>
    <xf numFmtId="176" fontId="16" fillId="12" borderId="11" xfId="0" applyNumberFormat="1" applyFont="1" applyFill="1" applyBorder="1" applyAlignment="1">
      <alignment horizontal="left" vertical="center" wrapText="1"/>
    </xf>
    <xf numFmtId="176" fontId="9" fillId="12" borderId="60" xfId="0" applyNumberFormat="1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left" vertical="center" wrapText="1"/>
    </xf>
    <xf numFmtId="176" fontId="5" fillId="7" borderId="5" xfId="0" applyNumberFormat="1" applyFont="1" applyFill="1" applyBorder="1" applyAlignment="1">
      <alignment horizontal="left" vertical="center" wrapText="1"/>
    </xf>
    <xf numFmtId="176" fontId="5" fillId="7" borderId="19" xfId="0" applyNumberFormat="1" applyFont="1" applyFill="1" applyBorder="1" applyAlignment="1">
      <alignment horizontal="left" vertical="center" wrapText="1"/>
    </xf>
    <xf numFmtId="176" fontId="9" fillId="7" borderId="42" xfId="0" applyNumberFormat="1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left" vertical="center" wrapText="1" shrinkToFit="1"/>
    </xf>
    <xf numFmtId="0" fontId="5" fillId="13" borderId="3" xfId="0" applyFont="1" applyFill="1" applyBorder="1" applyAlignment="1">
      <alignment horizontal="left" vertical="center" wrapText="1" shrinkToFit="1"/>
    </xf>
    <xf numFmtId="0" fontId="5" fillId="13" borderId="2" xfId="0" applyFont="1" applyFill="1" applyBorder="1" applyAlignment="1">
      <alignment horizontal="left" vertical="center" wrapText="1" shrinkToFit="1"/>
    </xf>
    <xf numFmtId="0" fontId="9" fillId="13" borderId="8" xfId="0" applyFont="1" applyFill="1" applyBorder="1" applyAlignment="1">
      <alignment horizontal="center" vertical="center" wrapText="1"/>
    </xf>
    <xf numFmtId="0" fontId="5" fillId="3" borderId="66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5" fillId="3" borderId="19" xfId="0" applyNumberFormat="1" applyFont="1" applyFill="1" applyBorder="1" applyAlignment="1">
      <alignment horizontal="center" vertical="center" wrapText="1"/>
    </xf>
    <xf numFmtId="176" fontId="10" fillId="7" borderId="45" xfId="0" applyNumberFormat="1" applyFont="1" applyFill="1" applyBorder="1" applyAlignment="1">
      <alignment horizontal="center" vertical="center" wrapText="1"/>
    </xf>
    <xf numFmtId="176" fontId="10" fillId="7" borderId="15" xfId="0" applyNumberFormat="1" applyFont="1" applyFill="1" applyBorder="1" applyAlignment="1">
      <alignment horizontal="center" vertical="center" wrapText="1"/>
    </xf>
    <xf numFmtId="176" fontId="5" fillId="12" borderId="45" xfId="0" applyNumberFormat="1" applyFont="1" applyFill="1" applyBorder="1" applyAlignment="1">
      <alignment horizontal="center" vertical="center" wrapText="1"/>
    </xf>
    <xf numFmtId="176" fontId="10" fillId="12" borderId="40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6" fontId="5" fillId="3" borderId="7" xfId="0" applyNumberFormat="1" applyFont="1" applyFill="1" applyBorder="1" applyAlignment="1">
      <alignment horizontal="center" vertical="center" shrinkToFit="1"/>
    </xf>
    <xf numFmtId="176" fontId="5" fillId="3" borderId="38" xfId="0" applyNumberFormat="1" applyFont="1" applyFill="1" applyBorder="1" applyAlignment="1">
      <alignment horizontal="center" vertical="center" wrapText="1"/>
    </xf>
    <xf numFmtId="176" fontId="5" fillId="3" borderId="29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/>
    </xf>
    <xf numFmtId="176" fontId="5" fillId="3" borderId="25" xfId="0" applyNumberFormat="1" applyFont="1" applyFill="1" applyBorder="1" applyAlignment="1">
      <alignment horizontal="center" vertical="center" wrapText="1"/>
    </xf>
    <xf numFmtId="176" fontId="5" fillId="3" borderId="74" xfId="0" applyNumberFormat="1" applyFont="1" applyFill="1" applyBorder="1" applyAlignment="1">
      <alignment horizontal="center" vertical="center" wrapText="1"/>
    </xf>
    <xf numFmtId="176" fontId="15" fillId="11" borderId="64" xfId="0" applyNumberFormat="1" applyFont="1" applyFill="1" applyBorder="1" applyAlignment="1">
      <alignment horizontal="center" vertical="center" wrapText="1"/>
    </xf>
    <xf numFmtId="176" fontId="15" fillId="11" borderId="63" xfId="0" applyNumberFormat="1" applyFont="1" applyFill="1" applyBorder="1" applyAlignment="1">
      <alignment horizontal="center" vertical="center" wrapText="1"/>
    </xf>
    <xf numFmtId="176" fontId="15" fillId="11" borderId="65" xfId="0" applyNumberFormat="1" applyFont="1" applyFill="1" applyBorder="1" applyAlignment="1">
      <alignment horizontal="center" vertical="center" wrapText="1"/>
    </xf>
    <xf numFmtId="176" fontId="15" fillId="11" borderId="77" xfId="0" applyNumberFormat="1" applyFont="1" applyFill="1" applyBorder="1" applyAlignment="1">
      <alignment horizontal="center" vertical="center" wrapText="1"/>
    </xf>
    <xf numFmtId="176" fontId="15" fillId="11" borderId="0" xfId="0" applyNumberFormat="1" applyFont="1" applyFill="1" applyBorder="1" applyAlignment="1">
      <alignment horizontal="center" vertical="center" wrapText="1"/>
    </xf>
    <xf numFmtId="176" fontId="15" fillId="11" borderId="78" xfId="0" applyNumberFormat="1" applyFont="1" applyFill="1" applyBorder="1" applyAlignment="1">
      <alignment horizontal="center" vertical="center" wrapText="1"/>
    </xf>
    <xf numFmtId="176" fontId="15" fillId="11" borderId="79" xfId="0" applyNumberFormat="1" applyFont="1" applyFill="1" applyBorder="1" applyAlignment="1">
      <alignment horizontal="center" vertical="center" wrapText="1"/>
    </xf>
    <xf numFmtId="176" fontId="15" fillId="11" borderId="80" xfId="0" applyNumberFormat="1" applyFont="1" applyFill="1" applyBorder="1" applyAlignment="1">
      <alignment horizontal="center" vertical="center" wrapText="1"/>
    </xf>
    <xf numFmtId="176" fontId="15" fillId="11" borderId="81" xfId="0" applyNumberFormat="1" applyFont="1" applyFill="1" applyBorder="1" applyAlignment="1">
      <alignment horizontal="center" vertical="center" wrapText="1"/>
    </xf>
    <xf numFmtId="176" fontId="5" fillId="3" borderId="75" xfId="0" applyNumberFormat="1" applyFont="1" applyFill="1" applyBorder="1" applyAlignment="1">
      <alignment horizontal="center" vertical="center" wrapText="1"/>
    </xf>
    <xf numFmtId="176" fontId="5" fillId="3" borderId="24" xfId="0" applyNumberFormat="1" applyFont="1" applyFill="1" applyBorder="1" applyAlignment="1">
      <alignment horizontal="center" vertical="center" wrapText="1"/>
    </xf>
    <xf numFmtId="176" fontId="5" fillId="3" borderId="35" xfId="0" applyNumberFormat="1" applyFont="1" applyFill="1" applyBorder="1" applyAlignment="1">
      <alignment horizontal="center" vertical="center" wrapTex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3" borderId="11" xfId="0" applyNumberFormat="1" applyFont="1" applyFill="1" applyBorder="1" applyAlignment="1">
      <alignment horizontal="center" vertical="center" wrapText="1"/>
    </xf>
    <xf numFmtId="176" fontId="5" fillId="5" borderId="40" xfId="0" applyNumberFormat="1" applyFont="1" applyFill="1" applyBorder="1" applyAlignment="1">
      <alignment horizontal="center" vertical="center" wrapText="1"/>
    </xf>
    <xf numFmtId="176" fontId="5" fillId="3" borderId="67" xfId="0" applyNumberFormat="1" applyFont="1" applyFill="1" applyBorder="1" applyAlignment="1">
      <alignment horizontal="center" vertical="center" wrapText="1"/>
    </xf>
    <xf numFmtId="176" fontId="5" fillId="3" borderId="48" xfId="0" applyNumberFormat="1" applyFont="1" applyFill="1" applyBorder="1" applyAlignment="1">
      <alignment horizontal="center" vertical="center" wrapText="1"/>
    </xf>
    <xf numFmtId="176" fontId="17" fillId="6" borderId="88" xfId="0" applyNumberFormat="1" applyFont="1" applyFill="1" applyBorder="1" applyAlignment="1">
      <alignment horizontal="center" vertical="center" wrapText="1" shrinkToFit="1"/>
    </xf>
    <xf numFmtId="176" fontId="17" fillId="6" borderId="89" xfId="0" applyNumberFormat="1" applyFont="1" applyFill="1" applyBorder="1" applyAlignment="1">
      <alignment horizontal="center" vertical="center" wrapText="1" shrinkToFit="1"/>
    </xf>
    <xf numFmtId="176" fontId="5" fillId="3" borderId="82" xfId="0" applyNumberFormat="1" applyFont="1" applyFill="1" applyBorder="1" applyAlignment="1">
      <alignment horizontal="center" vertical="center" wrapText="1"/>
    </xf>
    <xf numFmtId="176" fontId="5" fillId="3" borderId="84" xfId="0" applyNumberFormat="1" applyFont="1" applyFill="1" applyBorder="1" applyAlignment="1">
      <alignment horizontal="center" vertical="center" wrapText="1"/>
    </xf>
    <xf numFmtId="176" fontId="5" fillId="3" borderId="86" xfId="0" applyNumberFormat="1" applyFont="1" applyFill="1" applyBorder="1" applyAlignment="1">
      <alignment horizontal="center" vertical="center" wrapText="1"/>
    </xf>
    <xf numFmtId="176" fontId="5" fillId="3" borderId="83" xfId="0" applyNumberFormat="1" applyFont="1" applyFill="1" applyBorder="1" applyAlignment="1">
      <alignment horizontal="center" vertical="center" wrapText="1"/>
    </xf>
    <xf numFmtId="176" fontId="5" fillId="3" borderId="85" xfId="0" applyNumberFormat="1" applyFont="1" applyFill="1" applyBorder="1" applyAlignment="1">
      <alignment horizontal="center" vertical="center" wrapText="1"/>
    </xf>
    <xf numFmtId="176" fontId="5" fillId="3" borderId="87" xfId="0" applyNumberFormat="1" applyFont="1" applyFill="1" applyBorder="1" applyAlignment="1">
      <alignment horizontal="center" vertical="center" wrapText="1"/>
    </xf>
    <xf numFmtId="176" fontId="5" fillId="3" borderId="27" xfId="0" applyNumberFormat="1" applyFont="1" applyFill="1" applyBorder="1" applyAlignment="1">
      <alignment horizontal="center" vertical="center" wrapText="1"/>
    </xf>
    <xf numFmtId="176" fontId="5" fillId="3" borderId="51" xfId="0" applyNumberFormat="1" applyFont="1" applyFill="1" applyBorder="1" applyAlignment="1">
      <alignment horizontal="center" vertical="center" wrapText="1"/>
    </xf>
    <xf numFmtId="176" fontId="5" fillId="3" borderId="52" xfId="0" applyNumberFormat="1" applyFont="1" applyFill="1" applyBorder="1" applyAlignment="1">
      <alignment horizontal="center" vertical="center" wrapText="1"/>
    </xf>
    <xf numFmtId="176" fontId="5" fillId="3" borderId="33" xfId="0" applyNumberFormat="1" applyFont="1" applyFill="1" applyBorder="1" applyAlignment="1">
      <alignment horizontal="center" vertical="center" wrapText="1"/>
    </xf>
    <xf numFmtId="176" fontId="5" fillId="3" borderId="49" xfId="0" applyNumberFormat="1" applyFont="1" applyFill="1" applyBorder="1" applyAlignment="1">
      <alignment horizontal="center" vertical="center" wrapText="1"/>
    </xf>
    <xf numFmtId="176" fontId="5" fillId="3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2" borderId="71" xfId="0" applyFont="1" applyFill="1" applyBorder="1" applyAlignment="1">
      <alignment horizontal="center" vertical="center"/>
    </xf>
    <xf numFmtId="176" fontId="6" fillId="2" borderId="72" xfId="0" applyNumberFormat="1" applyFont="1" applyFill="1" applyBorder="1" applyAlignment="1">
      <alignment horizontal="center" vertical="center" wrapText="1"/>
    </xf>
    <xf numFmtId="176" fontId="6" fillId="2" borderId="73" xfId="0" applyNumberFormat="1" applyFont="1" applyFill="1" applyBorder="1" applyAlignment="1">
      <alignment horizontal="center" vertical="center" wrapText="1"/>
    </xf>
    <xf numFmtId="176" fontId="6" fillId="2" borderId="68" xfId="0" applyNumberFormat="1" applyFont="1" applyFill="1" applyBorder="1" applyAlignment="1">
      <alignment horizontal="center" vertical="center" wrapText="1"/>
    </xf>
    <xf numFmtId="176" fontId="6" fillId="2" borderId="71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76" fontId="5" fillId="3" borderId="22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5" fillId="3" borderId="56" xfId="0" applyNumberFormat="1" applyFont="1" applyFill="1" applyBorder="1" applyAlignment="1">
      <alignment horizontal="center" vertical="center" wrapText="1"/>
    </xf>
    <xf numFmtId="176" fontId="5" fillId="3" borderId="12" xfId="0" applyNumberFormat="1" applyFont="1" applyFill="1" applyBorder="1" applyAlignment="1">
      <alignment horizontal="center" vertical="center" wrapText="1"/>
    </xf>
    <xf numFmtId="176" fontId="5" fillId="3" borderId="57" xfId="0" applyNumberFormat="1" applyFont="1" applyFill="1" applyBorder="1" applyAlignment="1">
      <alignment horizontal="center" vertical="center" wrapText="1"/>
    </xf>
    <xf numFmtId="0" fontId="11" fillId="3" borderId="58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176" fontId="5" fillId="3" borderId="55" xfId="0" applyNumberFormat="1" applyFont="1" applyFill="1" applyBorder="1" applyAlignment="1">
      <alignment horizontal="center" vertical="center" wrapText="1"/>
    </xf>
    <xf numFmtId="176" fontId="11" fillId="3" borderId="8" xfId="0" applyNumberFormat="1" applyFont="1" applyFill="1" applyBorder="1" applyAlignment="1">
      <alignment horizontal="center" vertical="center" wrapText="1"/>
    </xf>
    <xf numFmtId="176" fontId="11" fillId="3" borderId="16" xfId="0" applyNumberFormat="1" applyFont="1" applyFill="1" applyBorder="1" applyAlignment="1">
      <alignment horizontal="center" vertical="center" wrapText="1"/>
    </xf>
    <xf numFmtId="176" fontId="11" fillId="3" borderId="14" xfId="0" applyNumberFormat="1" applyFont="1" applyFill="1" applyBorder="1" applyAlignment="1">
      <alignment horizontal="center" vertical="center" wrapText="1"/>
    </xf>
    <xf numFmtId="176" fontId="11" fillId="3" borderId="50" xfId="0" applyNumberFormat="1" applyFont="1" applyFill="1" applyBorder="1" applyAlignment="1">
      <alignment horizontal="center" vertical="center" wrapText="1"/>
    </xf>
    <xf numFmtId="176" fontId="5" fillId="3" borderId="39" xfId="0" applyNumberFormat="1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 wrapText="1"/>
    </xf>
    <xf numFmtId="176" fontId="13" fillId="3" borderId="3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40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176" fontId="6" fillId="3" borderId="32" xfId="0" applyNumberFormat="1" applyFont="1" applyFill="1" applyBorder="1" applyAlignment="1">
      <alignment horizontal="center" vertical="center" wrapText="1"/>
    </xf>
    <xf numFmtId="176" fontId="6" fillId="3" borderId="18" xfId="0" applyNumberFormat="1" applyFont="1" applyFill="1" applyBorder="1" applyAlignment="1">
      <alignment horizontal="center" vertical="center" wrapText="1"/>
    </xf>
    <xf numFmtId="176" fontId="6" fillId="3" borderId="34" xfId="0" applyNumberFormat="1" applyFont="1" applyFill="1" applyBorder="1" applyAlignment="1">
      <alignment horizontal="center" vertical="center" wrapText="1"/>
    </xf>
    <xf numFmtId="176" fontId="6" fillId="3" borderId="2" xfId="0" applyNumberFormat="1" applyFont="1" applyFill="1" applyBorder="1" applyAlignment="1">
      <alignment horizontal="center" vertical="center" wrapText="1"/>
    </xf>
    <xf numFmtId="176" fontId="6" fillId="3" borderId="70" xfId="0" applyNumberFormat="1" applyFont="1" applyFill="1" applyBorder="1" applyAlignment="1">
      <alignment horizontal="center" vertical="center" wrapText="1"/>
    </xf>
    <xf numFmtId="176" fontId="6" fillId="3" borderId="19" xfId="0" applyNumberFormat="1" applyFont="1" applyFill="1" applyBorder="1" applyAlignment="1">
      <alignment horizontal="center" vertical="center" wrapText="1"/>
    </xf>
    <xf numFmtId="176" fontId="5" fillId="3" borderId="36" xfId="0" applyNumberFormat="1" applyFont="1" applyFill="1" applyBorder="1" applyAlignment="1">
      <alignment horizontal="center" vertical="center" wrapText="1"/>
    </xf>
    <xf numFmtId="176" fontId="5" fillId="3" borderId="37" xfId="0" applyNumberFormat="1" applyFont="1" applyFill="1" applyBorder="1" applyAlignment="1">
      <alignment horizontal="center" vertical="center" wrapText="1"/>
    </xf>
    <xf numFmtId="176" fontId="5" fillId="3" borderId="54" xfId="0" applyNumberFormat="1" applyFont="1" applyFill="1" applyBorder="1" applyAlignment="1">
      <alignment horizontal="center" vertical="center" wrapText="1"/>
    </xf>
    <xf numFmtId="176" fontId="5" fillId="3" borderId="43" xfId="0" applyNumberFormat="1" applyFont="1" applyFill="1" applyBorder="1" applyAlignment="1">
      <alignment horizontal="center" vertical="center" shrinkToFit="1"/>
    </xf>
    <xf numFmtId="176" fontId="5" fillId="3" borderId="47" xfId="0" applyNumberFormat="1" applyFont="1" applyFill="1" applyBorder="1" applyAlignment="1">
      <alignment horizontal="center" vertical="center" shrinkToFit="1"/>
    </xf>
    <xf numFmtId="0" fontId="5" fillId="13" borderId="14" xfId="0" applyFont="1" applyFill="1" applyBorder="1" applyAlignment="1">
      <alignment horizontal="center" vertical="center" wrapText="1"/>
    </xf>
    <xf numFmtId="0" fontId="5" fillId="13" borderId="4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176" fontId="11" fillId="3" borderId="31" xfId="0" applyNumberFormat="1" applyFont="1" applyFill="1" applyBorder="1" applyAlignment="1">
      <alignment horizontal="center" vertical="center" wrapText="1"/>
    </xf>
    <xf numFmtId="176" fontId="5" fillId="3" borderId="61" xfId="0" applyNumberFormat="1" applyFont="1" applyFill="1" applyBorder="1" applyAlignment="1">
      <alignment horizontal="center" vertical="center" wrapText="1"/>
    </xf>
    <xf numFmtId="176" fontId="11" fillId="3" borderId="41" xfId="0" applyNumberFormat="1" applyFont="1" applyFill="1" applyBorder="1" applyAlignment="1">
      <alignment horizontal="center" vertical="center" wrapText="1"/>
    </xf>
    <xf numFmtId="176" fontId="11" fillId="3" borderId="59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ECFF"/>
      <color rgb="FFFFCCCC"/>
      <color rgb="FFE6E6FF"/>
      <color rgb="FFDDDDFF"/>
      <color rgb="FFC9C9FF"/>
      <color rgb="FFFAFEE8"/>
      <color rgb="FFDFF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2.xml"/><Relationship Id="rId3" Type="http://schemas.openxmlformats.org/officeDocument/2006/relationships/styles" Target="styles.xml"/><Relationship Id="rId12" Type="http://schemas.microsoft.com/office/2017/10/relationships/person" Target="persons/person0.xml"/><Relationship Id="rId2" Type="http://schemas.openxmlformats.org/officeDocument/2006/relationships/theme" Target="theme/theme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5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N83"/>
  <sheetViews>
    <sheetView tabSelected="1" zoomScale="110" zoomScaleNormal="110" workbookViewId="0">
      <pane xSplit="1" ySplit="4" topLeftCell="B59" activePane="bottomRight" state="frozen"/>
      <selection activeCell="F47" sqref="F47"/>
      <selection pane="topRight" activeCell="F47" sqref="F47"/>
      <selection pane="bottomLeft" activeCell="F47" sqref="F47"/>
      <selection pane="bottomRight" activeCell="D16" sqref="D16"/>
    </sheetView>
  </sheetViews>
  <sheetFormatPr defaultColWidth="9" defaultRowHeight="14"/>
  <cols>
    <col min="1" max="1" width="4" style="3" customWidth="1"/>
    <col min="2" max="2" width="10.6640625" style="2" customWidth="1"/>
    <col min="3" max="3" width="7" style="3" customWidth="1"/>
    <col min="4" max="4" width="33.58203125" style="2" customWidth="1"/>
    <col min="5" max="6" width="4.4140625" style="3" customWidth="1"/>
    <col min="7" max="8" width="5.1640625" style="3" customWidth="1"/>
    <col min="9" max="10" width="5.1640625" style="2" customWidth="1"/>
    <col min="11" max="12" width="5.1640625" style="3" customWidth="1"/>
    <col min="13" max="13" width="5.1640625" style="2" customWidth="1"/>
    <col min="14" max="14" width="5.6640625" style="2" customWidth="1"/>
    <col min="15" max="15" width="4.9140625" style="1" customWidth="1"/>
    <col min="16" max="16384" width="9" style="1"/>
  </cols>
  <sheetData>
    <row r="1" spans="1:14" ht="32" customHeight="1">
      <c r="A1" s="185" t="s">
        <v>122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22.25" customHeight="1" thickBot="1">
      <c r="A2" s="186" t="s">
        <v>71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4.5" thickBot="1">
      <c r="A3" s="187" t="s">
        <v>0</v>
      </c>
      <c r="B3" s="188" t="s">
        <v>1</v>
      </c>
      <c r="C3" s="188" t="s">
        <v>2</v>
      </c>
      <c r="D3" s="188"/>
      <c r="E3" s="188" t="s">
        <v>24</v>
      </c>
      <c r="F3" s="189" t="s">
        <v>25</v>
      </c>
      <c r="G3" s="190" t="s">
        <v>3</v>
      </c>
      <c r="H3" s="190"/>
      <c r="I3" s="190" t="s">
        <v>4</v>
      </c>
      <c r="J3" s="190"/>
      <c r="K3" s="190" t="s">
        <v>5</v>
      </c>
      <c r="L3" s="190"/>
      <c r="M3" s="191" t="s">
        <v>28</v>
      </c>
      <c r="N3" s="189" t="s">
        <v>65</v>
      </c>
    </row>
    <row r="4" spans="1:14" ht="14.5" thickBot="1">
      <c r="A4" s="187"/>
      <c r="B4" s="188"/>
      <c r="C4" s="188"/>
      <c r="D4" s="188"/>
      <c r="E4" s="188"/>
      <c r="F4" s="189"/>
      <c r="G4" s="94" t="s">
        <v>6</v>
      </c>
      <c r="H4" s="94" t="s">
        <v>7</v>
      </c>
      <c r="I4" s="94" t="s">
        <v>6</v>
      </c>
      <c r="J4" s="94" t="s">
        <v>7</v>
      </c>
      <c r="K4" s="94" t="s">
        <v>6</v>
      </c>
      <c r="L4" s="94" t="s">
        <v>7</v>
      </c>
      <c r="M4" s="191"/>
      <c r="N4" s="189"/>
    </row>
    <row r="5" spans="1:14" ht="15" customHeight="1">
      <c r="A5" s="204" t="s">
        <v>8</v>
      </c>
      <c r="B5" s="195" t="s">
        <v>9</v>
      </c>
      <c r="C5" s="54" t="s">
        <v>10</v>
      </c>
      <c r="D5" s="28" t="s">
        <v>30</v>
      </c>
      <c r="E5" s="8">
        <v>4</v>
      </c>
      <c r="F5" s="14">
        <v>4</v>
      </c>
      <c r="G5" s="17">
        <v>4</v>
      </c>
      <c r="H5" s="18"/>
      <c r="I5" s="17"/>
      <c r="J5" s="18"/>
      <c r="K5" s="17"/>
      <c r="L5" s="18"/>
      <c r="M5" s="148">
        <f>SUM(G5:L8)</f>
        <v>16</v>
      </c>
      <c r="N5" s="150">
        <v>8</v>
      </c>
    </row>
    <row r="6" spans="1:14" ht="15" customHeight="1">
      <c r="A6" s="205"/>
      <c r="B6" s="143"/>
      <c r="C6" s="53" t="s">
        <v>10</v>
      </c>
      <c r="D6" s="29" t="s">
        <v>31</v>
      </c>
      <c r="E6" s="4">
        <v>4</v>
      </c>
      <c r="F6" s="12">
        <v>4</v>
      </c>
      <c r="G6" s="15"/>
      <c r="H6" s="16">
        <v>4</v>
      </c>
      <c r="I6" s="15"/>
      <c r="J6" s="16"/>
      <c r="K6" s="15"/>
      <c r="L6" s="16"/>
      <c r="M6" s="178"/>
      <c r="N6" s="163"/>
    </row>
    <row r="7" spans="1:14" ht="15" customHeight="1">
      <c r="A7" s="205"/>
      <c r="B7" s="196"/>
      <c r="C7" s="53" t="s">
        <v>11</v>
      </c>
      <c r="D7" s="29" t="s">
        <v>63</v>
      </c>
      <c r="E7" s="45">
        <v>4</v>
      </c>
      <c r="F7" s="12">
        <v>4</v>
      </c>
      <c r="G7" s="15"/>
      <c r="H7" s="46"/>
      <c r="I7" s="15">
        <v>4</v>
      </c>
      <c r="J7" s="46"/>
      <c r="K7" s="15"/>
      <c r="L7" s="46"/>
      <c r="M7" s="184"/>
      <c r="N7" s="193"/>
    </row>
    <row r="8" spans="1:14" ht="15" customHeight="1">
      <c r="A8" s="205"/>
      <c r="B8" s="197"/>
      <c r="C8" s="53" t="s">
        <v>11</v>
      </c>
      <c r="D8" s="29" t="s">
        <v>62</v>
      </c>
      <c r="E8" s="45">
        <v>4</v>
      </c>
      <c r="F8" s="12">
        <v>4</v>
      </c>
      <c r="G8" s="15"/>
      <c r="H8" s="46"/>
      <c r="I8" s="15"/>
      <c r="J8" s="46">
        <v>4</v>
      </c>
      <c r="K8" s="15"/>
      <c r="L8" s="46"/>
      <c r="M8" s="192"/>
      <c r="N8" s="194"/>
    </row>
    <row r="9" spans="1:14" ht="15" customHeight="1">
      <c r="A9" s="205"/>
      <c r="B9" s="142" t="s">
        <v>12</v>
      </c>
      <c r="C9" s="53" t="s">
        <v>10</v>
      </c>
      <c r="D9" s="29" t="s">
        <v>32</v>
      </c>
      <c r="E9" s="4">
        <v>4</v>
      </c>
      <c r="F9" s="12">
        <v>4</v>
      </c>
      <c r="G9" s="15">
        <v>4</v>
      </c>
      <c r="H9" s="16"/>
      <c r="I9" s="15"/>
      <c r="J9" s="16"/>
      <c r="K9" s="15"/>
      <c r="L9" s="16"/>
      <c r="M9" s="166">
        <f>SUM(G9:L12)</f>
        <v>16</v>
      </c>
      <c r="N9" s="164">
        <v>8</v>
      </c>
    </row>
    <row r="10" spans="1:14" ht="15" customHeight="1">
      <c r="A10" s="205"/>
      <c r="B10" s="143"/>
      <c r="C10" s="53" t="s">
        <v>10</v>
      </c>
      <c r="D10" s="29" t="s">
        <v>33</v>
      </c>
      <c r="E10" s="45">
        <v>4</v>
      </c>
      <c r="F10" s="12">
        <v>4</v>
      </c>
      <c r="G10" s="15"/>
      <c r="H10" s="46">
        <v>4</v>
      </c>
      <c r="I10" s="15"/>
      <c r="J10" s="46"/>
      <c r="K10" s="15"/>
      <c r="L10" s="46"/>
      <c r="M10" s="166"/>
      <c r="N10" s="164"/>
    </row>
    <row r="11" spans="1:14" ht="15" customHeight="1">
      <c r="A11" s="205"/>
      <c r="B11" s="143"/>
      <c r="C11" s="53" t="s">
        <v>11</v>
      </c>
      <c r="D11" s="29" t="s">
        <v>69</v>
      </c>
      <c r="E11" s="45">
        <v>4</v>
      </c>
      <c r="F11" s="12">
        <v>4</v>
      </c>
      <c r="G11" s="15"/>
      <c r="H11" s="46"/>
      <c r="I11" s="15">
        <v>4</v>
      </c>
      <c r="J11" s="46"/>
      <c r="K11" s="15"/>
      <c r="L11" s="46"/>
      <c r="M11" s="166"/>
      <c r="N11" s="164"/>
    </row>
    <row r="12" spans="1:14" ht="15" customHeight="1">
      <c r="A12" s="205"/>
      <c r="B12" s="144"/>
      <c r="C12" s="53" t="s">
        <v>11</v>
      </c>
      <c r="D12" s="29" t="s">
        <v>64</v>
      </c>
      <c r="E12" s="4">
        <v>4</v>
      </c>
      <c r="F12" s="12">
        <v>4</v>
      </c>
      <c r="G12" s="15"/>
      <c r="H12" s="16"/>
      <c r="I12" s="15"/>
      <c r="J12" s="16">
        <v>4</v>
      </c>
      <c r="K12" s="15"/>
      <c r="L12" s="16"/>
      <c r="M12" s="166"/>
      <c r="N12" s="164"/>
    </row>
    <row r="13" spans="1:14" ht="15" customHeight="1">
      <c r="A13" s="205"/>
      <c r="B13" s="142" t="s">
        <v>13</v>
      </c>
      <c r="C13" s="53" t="s">
        <v>10</v>
      </c>
      <c r="D13" s="29" t="s">
        <v>34</v>
      </c>
      <c r="E13" s="4">
        <v>4</v>
      </c>
      <c r="F13" s="12">
        <v>4</v>
      </c>
      <c r="G13" s="15">
        <v>4</v>
      </c>
      <c r="H13" s="16"/>
      <c r="I13" s="15"/>
      <c r="J13" s="16"/>
      <c r="K13" s="15"/>
      <c r="L13" s="16"/>
      <c r="M13" s="166">
        <f>SUM(G13:L16)</f>
        <v>16</v>
      </c>
      <c r="N13" s="164">
        <v>8</v>
      </c>
    </row>
    <row r="14" spans="1:14" ht="15" customHeight="1">
      <c r="A14" s="205"/>
      <c r="B14" s="143"/>
      <c r="C14" s="53" t="s">
        <v>10</v>
      </c>
      <c r="D14" s="29" t="s">
        <v>35</v>
      </c>
      <c r="E14" s="45">
        <v>4</v>
      </c>
      <c r="F14" s="12">
        <v>4</v>
      </c>
      <c r="G14" s="15"/>
      <c r="H14" s="46">
        <v>4</v>
      </c>
      <c r="I14" s="15"/>
      <c r="J14" s="46"/>
      <c r="K14" s="15"/>
      <c r="L14" s="46"/>
      <c r="M14" s="166"/>
      <c r="N14" s="164"/>
    </row>
    <row r="15" spans="1:14" ht="15" customHeight="1">
      <c r="A15" s="205"/>
      <c r="B15" s="143"/>
      <c r="C15" s="53" t="s">
        <v>11</v>
      </c>
      <c r="D15" s="29" t="s">
        <v>95</v>
      </c>
      <c r="E15" s="45">
        <v>4</v>
      </c>
      <c r="F15" s="12">
        <v>4</v>
      </c>
      <c r="G15" s="15"/>
      <c r="H15" s="46"/>
      <c r="I15" s="15">
        <v>4</v>
      </c>
      <c r="J15" s="49"/>
      <c r="K15" s="15"/>
      <c r="L15" s="46"/>
      <c r="M15" s="166"/>
      <c r="N15" s="164"/>
    </row>
    <row r="16" spans="1:14" ht="15" customHeight="1">
      <c r="A16" s="205"/>
      <c r="B16" s="144"/>
      <c r="C16" s="53" t="s">
        <v>11</v>
      </c>
      <c r="D16" s="29" t="s">
        <v>119</v>
      </c>
      <c r="E16" s="4">
        <v>4</v>
      </c>
      <c r="F16" s="12">
        <v>4</v>
      </c>
      <c r="G16" s="15"/>
      <c r="H16" s="16"/>
      <c r="I16" s="15"/>
      <c r="J16" s="49">
        <v>4</v>
      </c>
      <c r="K16" s="15"/>
      <c r="L16" s="16"/>
      <c r="M16" s="166"/>
      <c r="N16" s="164"/>
    </row>
    <row r="17" spans="1:14" ht="15" customHeight="1">
      <c r="A17" s="205"/>
      <c r="B17" s="145" t="s">
        <v>14</v>
      </c>
      <c r="C17" s="53" t="s">
        <v>10</v>
      </c>
      <c r="D17" s="29" t="s">
        <v>36</v>
      </c>
      <c r="E17" s="4">
        <v>3</v>
      </c>
      <c r="F17" s="12">
        <v>3</v>
      </c>
      <c r="G17" s="15">
        <v>3</v>
      </c>
      <c r="H17" s="16"/>
      <c r="I17" s="15"/>
      <c r="J17" s="49"/>
      <c r="K17" s="15"/>
      <c r="L17" s="16"/>
      <c r="M17" s="166">
        <f>SUM(G17:L18)</f>
        <v>6</v>
      </c>
      <c r="N17" s="164">
        <v>6</v>
      </c>
    </row>
    <row r="18" spans="1:14" ht="15" customHeight="1">
      <c r="A18" s="205"/>
      <c r="B18" s="146"/>
      <c r="C18" s="53" t="s">
        <v>10</v>
      </c>
      <c r="D18" s="29" t="s">
        <v>37</v>
      </c>
      <c r="E18" s="4">
        <v>3</v>
      </c>
      <c r="F18" s="12">
        <v>3</v>
      </c>
      <c r="G18" s="47"/>
      <c r="H18" s="48">
        <v>3</v>
      </c>
      <c r="I18" s="15"/>
      <c r="J18" s="16"/>
      <c r="K18" s="15"/>
      <c r="L18" s="16"/>
      <c r="M18" s="166"/>
      <c r="N18" s="164"/>
    </row>
    <row r="19" spans="1:14" ht="15" customHeight="1">
      <c r="A19" s="205"/>
      <c r="B19" s="142" t="s">
        <v>106</v>
      </c>
      <c r="C19" s="53" t="s">
        <v>10</v>
      </c>
      <c r="D19" s="29" t="s">
        <v>38</v>
      </c>
      <c r="E19" s="4">
        <v>4</v>
      </c>
      <c r="F19" s="12">
        <v>4</v>
      </c>
      <c r="G19" s="47">
        <v>4</v>
      </c>
      <c r="H19" s="48"/>
      <c r="I19" s="15"/>
      <c r="J19" s="16"/>
      <c r="K19" s="15"/>
      <c r="L19" s="16"/>
      <c r="M19" s="166">
        <f>SUM(G19:L20)</f>
        <v>8</v>
      </c>
      <c r="N19" s="207">
        <v>8</v>
      </c>
    </row>
    <row r="20" spans="1:14" ht="15" customHeight="1">
      <c r="A20" s="205"/>
      <c r="B20" s="144"/>
      <c r="C20" s="53" t="s">
        <v>10</v>
      </c>
      <c r="D20" s="29" t="s">
        <v>39</v>
      </c>
      <c r="E20" s="4">
        <v>4</v>
      </c>
      <c r="F20" s="12">
        <v>4</v>
      </c>
      <c r="G20" s="47"/>
      <c r="H20" s="48">
        <v>4</v>
      </c>
      <c r="I20" s="15"/>
      <c r="J20" s="16"/>
      <c r="K20" s="15"/>
      <c r="L20" s="16"/>
      <c r="M20" s="166"/>
      <c r="N20" s="207"/>
    </row>
    <row r="21" spans="1:14" ht="15" customHeight="1">
      <c r="A21" s="205"/>
      <c r="B21" s="142" t="s">
        <v>88</v>
      </c>
      <c r="C21" s="53" t="s">
        <v>10</v>
      </c>
      <c r="D21" s="30" t="s">
        <v>40</v>
      </c>
      <c r="E21" s="4">
        <v>4</v>
      </c>
      <c r="F21" s="12">
        <v>4</v>
      </c>
      <c r="G21" s="47">
        <v>4</v>
      </c>
      <c r="H21" s="48"/>
      <c r="I21" s="15"/>
      <c r="J21" s="16"/>
      <c r="K21" s="15"/>
      <c r="L21" s="16"/>
      <c r="M21" s="166">
        <f>SUM(G21:L24)</f>
        <v>10</v>
      </c>
      <c r="N21" s="164">
        <v>10</v>
      </c>
    </row>
    <row r="22" spans="1:14" ht="15" customHeight="1">
      <c r="A22" s="205"/>
      <c r="B22" s="143"/>
      <c r="C22" s="53" t="s">
        <v>10</v>
      </c>
      <c r="D22" s="30" t="s">
        <v>41</v>
      </c>
      <c r="E22" s="4">
        <v>4</v>
      </c>
      <c r="F22" s="12">
        <v>4</v>
      </c>
      <c r="G22" s="47"/>
      <c r="H22" s="48">
        <v>4</v>
      </c>
      <c r="I22" s="15"/>
      <c r="J22" s="16"/>
      <c r="K22" s="15"/>
      <c r="L22" s="16"/>
      <c r="M22" s="166"/>
      <c r="N22" s="164"/>
    </row>
    <row r="23" spans="1:14" ht="15" customHeight="1">
      <c r="A23" s="205"/>
      <c r="B23" s="143"/>
      <c r="C23" s="53" t="s">
        <v>10</v>
      </c>
      <c r="D23" s="30" t="s">
        <v>44</v>
      </c>
      <c r="E23" s="4">
        <v>1</v>
      </c>
      <c r="F23" s="12">
        <v>1</v>
      </c>
      <c r="G23" s="20">
        <v>1</v>
      </c>
      <c r="H23" s="16"/>
      <c r="I23" s="15"/>
      <c r="J23" s="16"/>
      <c r="K23" s="15"/>
      <c r="L23" s="16"/>
      <c r="M23" s="166"/>
      <c r="N23" s="164"/>
    </row>
    <row r="24" spans="1:14" ht="15" customHeight="1">
      <c r="A24" s="205"/>
      <c r="B24" s="144"/>
      <c r="C24" s="53" t="s">
        <v>10</v>
      </c>
      <c r="D24" s="30" t="s">
        <v>45</v>
      </c>
      <c r="E24" s="4">
        <v>1</v>
      </c>
      <c r="F24" s="12">
        <v>1</v>
      </c>
      <c r="G24" s="20"/>
      <c r="H24" s="16">
        <v>1</v>
      </c>
      <c r="I24" s="15"/>
      <c r="J24" s="16"/>
      <c r="K24" s="15"/>
      <c r="L24" s="16"/>
      <c r="M24" s="166"/>
      <c r="N24" s="164"/>
    </row>
    <row r="25" spans="1:14" ht="15" customHeight="1">
      <c r="A25" s="205"/>
      <c r="B25" s="142" t="s">
        <v>107</v>
      </c>
      <c r="C25" s="53" t="s">
        <v>20</v>
      </c>
      <c r="D25" s="30" t="s">
        <v>49</v>
      </c>
      <c r="E25" s="4">
        <v>3</v>
      </c>
      <c r="F25" s="12">
        <v>2</v>
      </c>
      <c r="G25" s="15">
        <v>2</v>
      </c>
      <c r="H25" s="16"/>
      <c r="I25" s="15"/>
      <c r="J25" s="16"/>
      <c r="K25" s="15"/>
      <c r="L25" s="16"/>
      <c r="M25" s="166">
        <f>SUM(G25:L30)</f>
        <v>10</v>
      </c>
      <c r="N25" s="164">
        <v>10</v>
      </c>
    </row>
    <row r="26" spans="1:14" ht="15" customHeight="1">
      <c r="A26" s="205"/>
      <c r="B26" s="143"/>
      <c r="C26" s="53" t="s">
        <v>20</v>
      </c>
      <c r="D26" s="30" t="s">
        <v>42</v>
      </c>
      <c r="E26" s="4">
        <v>3</v>
      </c>
      <c r="F26" s="12">
        <v>2</v>
      </c>
      <c r="G26" s="15"/>
      <c r="H26" s="16">
        <v>2</v>
      </c>
      <c r="I26" s="15"/>
      <c r="J26" s="16"/>
      <c r="K26" s="15"/>
      <c r="L26" s="16"/>
      <c r="M26" s="166"/>
      <c r="N26" s="164"/>
    </row>
    <row r="27" spans="1:14" ht="15" customHeight="1">
      <c r="A27" s="205"/>
      <c r="B27" s="143"/>
      <c r="C27" s="53" t="s">
        <v>53</v>
      </c>
      <c r="D27" s="30" t="s">
        <v>56</v>
      </c>
      <c r="E27" s="4">
        <v>3</v>
      </c>
      <c r="F27" s="12">
        <v>2</v>
      </c>
      <c r="G27" s="15"/>
      <c r="H27" s="16"/>
      <c r="I27" s="15">
        <v>2</v>
      </c>
      <c r="J27" s="16"/>
      <c r="K27" s="15"/>
      <c r="L27" s="16"/>
      <c r="M27" s="166"/>
      <c r="N27" s="164"/>
    </row>
    <row r="28" spans="1:14" ht="15" customHeight="1">
      <c r="A28" s="205"/>
      <c r="B28" s="143"/>
      <c r="C28" s="53" t="s">
        <v>53</v>
      </c>
      <c r="D28" s="30" t="s">
        <v>57</v>
      </c>
      <c r="E28" s="4">
        <v>3</v>
      </c>
      <c r="F28" s="12">
        <v>2</v>
      </c>
      <c r="G28" s="15"/>
      <c r="H28" s="16"/>
      <c r="I28" s="15"/>
      <c r="J28" s="16">
        <v>2</v>
      </c>
      <c r="K28" s="15"/>
      <c r="L28" s="16"/>
      <c r="M28" s="166"/>
      <c r="N28" s="164"/>
    </row>
    <row r="29" spans="1:14" ht="15" customHeight="1">
      <c r="A29" s="205"/>
      <c r="B29" s="143"/>
      <c r="C29" s="53" t="s">
        <v>18</v>
      </c>
      <c r="D29" s="30" t="s">
        <v>48</v>
      </c>
      <c r="E29" s="4">
        <v>2</v>
      </c>
      <c r="F29" s="12">
        <v>1</v>
      </c>
      <c r="G29" s="15"/>
      <c r="H29" s="16"/>
      <c r="I29" s="15"/>
      <c r="J29" s="16"/>
      <c r="K29" s="15">
        <v>1</v>
      </c>
      <c r="L29" s="16"/>
      <c r="M29" s="166"/>
      <c r="N29" s="164"/>
    </row>
    <row r="30" spans="1:14" ht="15" customHeight="1">
      <c r="A30" s="205"/>
      <c r="B30" s="144"/>
      <c r="C30" s="53" t="s">
        <v>18</v>
      </c>
      <c r="D30" s="30" t="s">
        <v>50</v>
      </c>
      <c r="E30" s="4">
        <v>2</v>
      </c>
      <c r="F30" s="12">
        <v>1</v>
      </c>
      <c r="G30" s="15"/>
      <c r="H30" s="16"/>
      <c r="I30" s="15"/>
      <c r="J30" s="16"/>
      <c r="K30" s="15"/>
      <c r="L30" s="16">
        <v>1</v>
      </c>
      <c r="M30" s="166"/>
      <c r="N30" s="164"/>
    </row>
    <row r="31" spans="1:14" ht="15" customHeight="1">
      <c r="A31" s="205"/>
      <c r="B31" s="136" t="s">
        <v>108</v>
      </c>
      <c r="C31" s="53" t="s">
        <v>11</v>
      </c>
      <c r="D31" s="30" t="s">
        <v>15</v>
      </c>
      <c r="E31" s="4">
        <v>3</v>
      </c>
      <c r="F31" s="12">
        <v>2</v>
      </c>
      <c r="G31" s="170" t="s">
        <v>132</v>
      </c>
      <c r="H31" s="171"/>
      <c r="I31" s="15"/>
      <c r="J31" s="16"/>
      <c r="K31" s="15"/>
      <c r="L31" s="16"/>
      <c r="M31" s="166">
        <v>4</v>
      </c>
      <c r="N31" s="164">
        <v>10</v>
      </c>
    </row>
    <row r="32" spans="1:14" ht="15" customHeight="1">
      <c r="A32" s="205"/>
      <c r="B32" s="136"/>
      <c r="C32" s="53" t="s">
        <v>11</v>
      </c>
      <c r="D32" s="30" t="s">
        <v>16</v>
      </c>
      <c r="E32" s="4">
        <v>3</v>
      </c>
      <c r="F32" s="12">
        <v>2</v>
      </c>
      <c r="G32" s="116">
        <v>2</v>
      </c>
      <c r="H32" s="117">
        <v>2</v>
      </c>
      <c r="I32" s="15"/>
      <c r="J32" s="16"/>
      <c r="K32" s="15"/>
      <c r="L32" s="16"/>
      <c r="M32" s="166"/>
      <c r="N32" s="164"/>
    </row>
    <row r="33" spans="1:14" ht="15" customHeight="1">
      <c r="A33" s="205"/>
      <c r="B33" s="145" t="s">
        <v>68</v>
      </c>
      <c r="C33" s="53" t="s">
        <v>11</v>
      </c>
      <c r="D33" s="30" t="s">
        <v>72</v>
      </c>
      <c r="E33" s="4">
        <v>3</v>
      </c>
      <c r="F33" s="12">
        <v>2</v>
      </c>
      <c r="G33" s="15">
        <v>2</v>
      </c>
      <c r="H33" s="21"/>
      <c r="I33" s="15"/>
      <c r="J33" s="16"/>
      <c r="K33" s="15"/>
      <c r="L33" s="16"/>
      <c r="M33" s="183">
        <f>SUM(G33:L34)</f>
        <v>4</v>
      </c>
      <c r="N33" s="164">
        <v>16</v>
      </c>
    </row>
    <row r="34" spans="1:14" ht="15" customHeight="1" thickBot="1">
      <c r="A34" s="206"/>
      <c r="B34" s="147"/>
      <c r="C34" s="81" t="s">
        <v>11</v>
      </c>
      <c r="D34" s="88" t="s">
        <v>73</v>
      </c>
      <c r="E34" s="7">
        <v>3</v>
      </c>
      <c r="F34" s="19">
        <v>2</v>
      </c>
      <c r="G34" s="89"/>
      <c r="H34" s="84">
        <v>2</v>
      </c>
      <c r="I34" s="77"/>
      <c r="J34" s="84"/>
      <c r="K34" s="77"/>
      <c r="L34" s="84"/>
      <c r="M34" s="184"/>
      <c r="N34" s="165"/>
    </row>
    <row r="35" spans="1:14" ht="15" customHeight="1">
      <c r="A35" s="134" t="s">
        <v>17</v>
      </c>
      <c r="B35" s="64" t="s">
        <v>109</v>
      </c>
      <c r="C35" s="64" t="s">
        <v>29</v>
      </c>
      <c r="D35" s="90" t="s">
        <v>75</v>
      </c>
      <c r="E35" s="8">
        <v>4</v>
      </c>
      <c r="F35" s="14">
        <v>4</v>
      </c>
      <c r="G35" s="148"/>
      <c r="H35" s="150"/>
      <c r="I35" s="91" t="s">
        <v>77</v>
      </c>
      <c r="J35" s="209"/>
      <c r="K35" s="148"/>
      <c r="L35" s="150"/>
      <c r="M35" s="168">
        <v>16</v>
      </c>
      <c r="N35" s="181"/>
    </row>
    <row r="36" spans="1:14" ht="15" customHeight="1">
      <c r="A36" s="135"/>
      <c r="B36" s="81" t="s">
        <v>110</v>
      </c>
      <c r="C36" s="69" t="s">
        <v>29</v>
      </c>
      <c r="D36" s="70" t="s">
        <v>118</v>
      </c>
      <c r="E36" s="51">
        <v>4</v>
      </c>
      <c r="F36" s="12">
        <v>4</v>
      </c>
      <c r="G36" s="178"/>
      <c r="H36" s="163"/>
      <c r="I36" s="167" t="s">
        <v>126</v>
      </c>
      <c r="J36" s="210"/>
      <c r="K36" s="178"/>
      <c r="L36" s="163"/>
      <c r="M36" s="166"/>
      <c r="N36" s="164"/>
    </row>
    <row r="37" spans="1:14" ht="15" customHeight="1">
      <c r="A37" s="135"/>
      <c r="B37" s="142" t="s">
        <v>111</v>
      </c>
      <c r="C37" s="79" t="s">
        <v>20</v>
      </c>
      <c r="D37" s="31" t="s">
        <v>81</v>
      </c>
      <c r="E37" s="51">
        <v>4</v>
      </c>
      <c r="F37" s="12">
        <v>4</v>
      </c>
      <c r="G37" s="178"/>
      <c r="H37" s="163"/>
      <c r="I37" s="167"/>
      <c r="J37" s="210"/>
      <c r="K37" s="178"/>
      <c r="L37" s="163"/>
      <c r="M37" s="166"/>
      <c r="N37" s="164"/>
    </row>
    <row r="38" spans="1:14" ht="15" customHeight="1">
      <c r="A38" s="135"/>
      <c r="B38" s="144"/>
      <c r="C38" s="79" t="s">
        <v>29</v>
      </c>
      <c r="D38" s="31" t="s">
        <v>82</v>
      </c>
      <c r="E38" s="51">
        <v>4</v>
      </c>
      <c r="F38" s="12">
        <v>4</v>
      </c>
      <c r="G38" s="178"/>
      <c r="H38" s="163"/>
      <c r="I38" s="167"/>
      <c r="J38" s="210"/>
      <c r="K38" s="178"/>
      <c r="L38" s="163"/>
      <c r="M38" s="166"/>
      <c r="N38" s="164"/>
    </row>
    <row r="39" spans="1:14" ht="15" customHeight="1">
      <c r="A39" s="135"/>
      <c r="B39" s="79" t="s">
        <v>105</v>
      </c>
      <c r="C39" s="69" t="s">
        <v>20</v>
      </c>
      <c r="D39" s="71" t="s">
        <v>103</v>
      </c>
      <c r="E39" s="51">
        <v>4</v>
      </c>
      <c r="F39" s="12">
        <v>4</v>
      </c>
      <c r="G39" s="178"/>
      <c r="H39" s="163"/>
      <c r="I39" s="167"/>
      <c r="J39" s="210"/>
      <c r="K39" s="178"/>
      <c r="L39" s="163"/>
      <c r="M39" s="166"/>
      <c r="N39" s="164"/>
    </row>
    <row r="40" spans="1:14" ht="15" customHeight="1">
      <c r="A40" s="135"/>
      <c r="B40" s="76" t="s">
        <v>120</v>
      </c>
      <c r="C40" s="81" t="s">
        <v>11</v>
      </c>
      <c r="D40" s="50" t="s">
        <v>79</v>
      </c>
      <c r="E40" s="7">
        <v>4</v>
      </c>
      <c r="F40" s="19">
        <v>4</v>
      </c>
      <c r="G40" s="178"/>
      <c r="H40" s="163"/>
      <c r="I40" s="119" t="s">
        <v>21</v>
      </c>
      <c r="J40" s="211"/>
      <c r="K40" s="178"/>
      <c r="L40" s="163"/>
      <c r="M40" s="166"/>
      <c r="N40" s="164"/>
    </row>
    <row r="41" spans="1:14" ht="15" customHeight="1" thickBot="1">
      <c r="A41" s="135"/>
      <c r="B41" s="92" t="s">
        <v>58</v>
      </c>
      <c r="C41" s="86" t="s">
        <v>20</v>
      </c>
      <c r="D41" s="118" t="s">
        <v>74</v>
      </c>
      <c r="E41" s="56">
        <v>4</v>
      </c>
      <c r="F41" s="57">
        <v>4</v>
      </c>
      <c r="G41" s="149"/>
      <c r="H41" s="151"/>
      <c r="I41" s="120">
        <v>4</v>
      </c>
      <c r="J41" s="212"/>
      <c r="K41" s="179"/>
      <c r="L41" s="180"/>
      <c r="M41" s="169"/>
      <c r="N41" s="182"/>
    </row>
    <row r="42" spans="1:14" ht="15" customHeight="1">
      <c r="A42" s="135"/>
      <c r="B42" s="85" t="s">
        <v>94</v>
      </c>
      <c r="C42" s="80" t="s">
        <v>43</v>
      </c>
      <c r="D42" s="121" t="s">
        <v>101</v>
      </c>
      <c r="E42" s="52">
        <v>4</v>
      </c>
      <c r="F42" s="27">
        <v>4</v>
      </c>
      <c r="G42" s="178"/>
      <c r="H42" s="163"/>
      <c r="I42" s="231"/>
      <c r="J42" s="125" t="s">
        <v>77</v>
      </c>
      <c r="K42" s="233"/>
      <c r="L42" s="208"/>
      <c r="M42" s="198">
        <v>16</v>
      </c>
      <c r="N42" s="208"/>
    </row>
    <row r="43" spans="1:14" ht="15" customHeight="1">
      <c r="A43" s="135"/>
      <c r="B43" s="85" t="s">
        <v>93</v>
      </c>
      <c r="C43" s="69" t="s">
        <v>11</v>
      </c>
      <c r="D43" s="122" t="s">
        <v>70</v>
      </c>
      <c r="E43" s="51">
        <v>4</v>
      </c>
      <c r="F43" s="12">
        <v>4</v>
      </c>
      <c r="G43" s="178"/>
      <c r="H43" s="163"/>
      <c r="I43" s="231"/>
      <c r="J43" s="140" t="s">
        <v>78</v>
      </c>
      <c r="K43" s="178"/>
      <c r="L43" s="163"/>
      <c r="M43" s="199"/>
      <c r="N43" s="163"/>
    </row>
    <row r="44" spans="1:14" ht="15" customHeight="1">
      <c r="A44" s="135"/>
      <c r="B44" s="5" t="s">
        <v>112</v>
      </c>
      <c r="C44" s="79" t="s">
        <v>29</v>
      </c>
      <c r="D44" s="123" t="s">
        <v>76</v>
      </c>
      <c r="E44" s="51">
        <v>4</v>
      </c>
      <c r="F44" s="12">
        <v>4</v>
      </c>
      <c r="G44" s="178"/>
      <c r="H44" s="163"/>
      <c r="I44" s="231"/>
      <c r="J44" s="141"/>
      <c r="K44" s="178"/>
      <c r="L44" s="163"/>
      <c r="M44" s="199"/>
      <c r="N44" s="163"/>
    </row>
    <row r="45" spans="1:14" ht="15" customHeight="1">
      <c r="A45" s="135"/>
      <c r="B45" s="145" t="s">
        <v>106</v>
      </c>
      <c r="C45" s="79" t="s">
        <v>11</v>
      </c>
      <c r="D45" s="123" t="s">
        <v>123</v>
      </c>
      <c r="E45" s="51">
        <v>4</v>
      </c>
      <c r="F45" s="12">
        <v>4</v>
      </c>
      <c r="G45" s="178"/>
      <c r="H45" s="163"/>
      <c r="I45" s="231"/>
      <c r="J45" s="141"/>
      <c r="K45" s="178"/>
      <c r="L45" s="163"/>
      <c r="M45" s="199"/>
      <c r="N45" s="163"/>
    </row>
    <row r="46" spans="1:14" ht="15" customHeight="1">
      <c r="A46" s="135"/>
      <c r="B46" s="146"/>
      <c r="C46" s="79" t="s">
        <v>61</v>
      </c>
      <c r="D46" s="123" t="s">
        <v>96</v>
      </c>
      <c r="E46" s="51">
        <v>4</v>
      </c>
      <c r="F46" s="12">
        <v>4</v>
      </c>
      <c r="G46" s="178"/>
      <c r="H46" s="163"/>
      <c r="I46" s="231"/>
      <c r="J46" s="141"/>
      <c r="K46" s="178"/>
      <c r="L46" s="163"/>
      <c r="M46" s="199"/>
      <c r="N46" s="163"/>
    </row>
    <row r="47" spans="1:14" ht="26.5" customHeight="1">
      <c r="A47" s="135"/>
      <c r="B47" s="102" t="s">
        <v>105</v>
      </c>
      <c r="C47" s="72" t="s">
        <v>29</v>
      </c>
      <c r="D47" s="124" t="s">
        <v>104</v>
      </c>
      <c r="E47" s="51">
        <v>4</v>
      </c>
      <c r="F47" s="12">
        <v>4</v>
      </c>
      <c r="G47" s="178"/>
      <c r="H47" s="163"/>
      <c r="I47" s="231"/>
      <c r="J47" s="141"/>
      <c r="K47" s="178"/>
      <c r="L47" s="163"/>
      <c r="M47" s="199"/>
      <c r="N47" s="163"/>
    </row>
    <row r="48" spans="1:14" ht="15" customHeight="1">
      <c r="A48" s="135"/>
      <c r="B48" s="76" t="s">
        <v>120</v>
      </c>
      <c r="C48" s="82" t="s">
        <v>29</v>
      </c>
      <c r="D48" s="126" t="s">
        <v>80</v>
      </c>
      <c r="E48" s="7">
        <v>4</v>
      </c>
      <c r="F48" s="19">
        <v>4</v>
      </c>
      <c r="G48" s="178"/>
      <c r="H48" s="163"/>
      <c r="I48" s="231"/>
      <c r="J48" s="129" t="s">
        <v>21</v>
      </c>
      <c r="K48" s="178"/>
      <c r="L48" s="163"/>
      <c r="M48" s="199"/>
      <c r="N48" s="163"/>
    </row>
    <row r="49" spans="1:14" ht="15" customHeight="1">
      <c r="A49" s="135"/>
      <c r="B49" s="234" t="s">
        <v>58</v>
      </c>
      <c r="C49" s="55" t="s">
        <v>29</v>
      </c>
      <c r="D49" s="127" t="s">
        <v>89</v>
      </c>
      <c r="E49" s="7">
        <v>4</v>
      </c>
      <c r="F49" s="19">
        <v>4</v>
      </c>
      <c r="G49" s="178"/>
      <c r="H49" s="163"/>
      <c r="I49" s="231"/>
      <c r="J49" s="138">
        <v>4</v>
      </c>
      <c r="K49" s="178"/>
      <c r="L49" s="163"/>
      <c r="M49" s="199"/>
      <c r="N49" s="163"/>
    </row>
    <row r="50" spans="1:14" ht="15" customHeight="1" thickBot="1">
      <c r="A50" s="135"/>
      <c r="B50" s="235"/>
      <c r="C50" s="58" t="s">
        <v>43</v>
      </c>
      <c r="D50" s="128" t="s">
        <v>130</v>
      </c>
      <c r="E50" s="10">
        <v>4</v>
      </c>
      <c r="F50" s="13">
        <v>4</v>
      </c>
      <c r="G50" s="149"/>
      <c r="H50" s="151"/>
      <c r="I50" s="232"/>
      <c r="J50" s="139"/>
      <c r="K50" s="179"/>
      <c r="L50" s="180"/>
      <c r="M50" s="200"/>
      <c r="N50" s="180"/>
    </row>
    <row r="51" spans="1:14" ht="15" customHeight="1">
      <c r="A51" s="135"/>
      <c r="B51" s="144" t="s">
        <v>94</v>
      </c>
      <c r="C51" s="64" t="s">
        <v>20</v>
      </c>
      <c r="D51" s="32" t="s">
        <v>46</v>
      </c>
      <c r="E51" s="8">
        <v>4</v>
      </c>
      <c r="F51" s="14">
        <v>4</v>
      </c>
      <c r="G51" s="148"/>
      <c r="H51" s="150"/>
      <c r="I51" s="148"/>
      <c r="J51" s="150"/>
      <c r="K51" s="61" t="s">
        <v>23</v>
      </c>
      <c r="L51" s="201"/>
      <c r="M51" s="198">
        <v>20</v>
      </c>
      <c r="N51" s="62"/>
    </row>
    <row r="52" spans="1:14" ht="15" customHeight="1">
      <c r="A52" s="135"/>
      <c r="B52" s="136"/>
      <c r="C52" s="79" t="s">
        <v>43</v>
      </c>
      <c r="D52" s="33" t="s">
        <v>86</v>
      </c>
      <c r="E52" s="51">
        <v>4</v>
      </c>
      <c r="F52" s="12">
        <v>4</v>
      </c>
      <c r="G52" s="178"/>
      <c r="H52" s="163"/>
      <c r="I52" s="178"/>
      <c r="J52" s="163"/>
      <c r="K52" s="238" t="s">
        <v>60</v>
      </c>
      <c r="L52" s="202"/>
      <c r="M52" s="199"/>
      <c r="N52" s="60"/>
    </row>
    <row r="53" spans="1:14" ht="15" customHeight="1">
      <c r="A53" s="135"/>
      <c r="B53" s="142" t="s">
        <v>93</v>
      </c>
      <c r="C53" s="69" t="s">
        <v>18</v>
      </c>
      <c r="D53" s="73" t="s">
        <v>128</v>
      </c>
      <c r="E53" s="51">
        <v>4</v>
      </c>
      <c r="F53" s="12">
        <v>4</v>
      </c>
      <c r="G53" s="178"/>
      <c r="H53" s="163"/>
      <c r="I53" s="178"/>
      <c r="J53" s="163"/>
      <c r="K53" s="238"/>
      <c r="L53" s="202"/>
      <c r="M53" s="199"/>
      <c r="N53" s="60"/>
    </row>
    <row r="54" spans="1:14" ht="15" customHeight="1">
      <c r="A54" s="135"/>
      <c r="B54" s="144"/>
      <c r="C54" s="69" t="s">
        <v>43</v>
      </c>
      <c r="D54" s="73" t="s">
        <v>125</v>
      </c>
      <c r="E54" s="51">
        <v>4</v>
      </c>
      <c r="F54" s="12">
        <v>4</v>
      </c>
      <c r="G54" s="178"/>
      <c r="H54" s="163"/>
      <c r="I54" s="178"/>
      <c r="J54" s="163"/>
      <c r="K54" s="238"/>
      <c r="L54" s="202"/>
      <c r="M54" s="199"/>
      <c r="N54" s="60"/>
    </row>
    <row r="55" spans="1:14" ht="15" customHeight="1">
      <c r="A55" s="135"/>
      <c r="B55" s="136" t="s">
        <v>112</v>
      </c>
      <c r="C55" s="79" t="s">
        <v>20</v>
      </c>
      <c r="D55" s="34" t="s">
        <v>131</v>
      </c>
      <c r="E55" s="51">
        <v>4</v>
      </c>
      <c r="F55" s="12">
        <v>4</v>
      </c>
      <c r="G55" s="178"/>
      <c r="H55" s="163"/>
      <c r="I55" s="178"/>
      <c r="J55" s="163"/>
      <c r="K55" s="238"/>
      <c r="L55" s="202"/>
      <c r="M55" s="199"/>
      <c r="N55" s="60"/>
    </row>
    <row r="56" spans="1:14" ht="15" customHeight="1">
      <c r="A56" s="135"/>
      <c r="B56" s="136"/>
      <c r="C56" s="79" t="s">
        <v>43</v>
      </c>
      <c r="D56" s="34" t="s">
        <v>87</v>
      </c>
      <c r="E56" s="51">
        <v>4</v>
      </c>
      <c r="F56" s="12">
        <v>4</v>
      </c>
      <c r="G56" s="178"/>
      <c r="H56" s="163"/>
      <c r="I56" s="178"/>
      <c r="J56" s="163"/>
      <c r="K56" s="238"/>
      <c r="L56" s="202"/>
      <c r="M56" s="199"/>
      <c r="N56" s="60"/>
    </row>
    <row r="57" spans="1:14" ht="15" customHeight="1">
      <c r="A57" s="135"/>
      <c r="B57" s="143" t="s">
        <v>127</v>
      </c>
      <c r="C57" s="79" t="s">
        <v>18</v>
      </c>
      <c r="D57" s="35" t="s">
        <v>83</v>
      </c>
      <c r="E57" s="51">
        <v>4</v>
      </c>
      <c r="F57" s="12">
        <v>4</v>
      </c>
      <c r="G57" s="178"/>
      <c r="H57" s="163"/>
      <c r="I57" s="178"/>
      <c r="J57" s="163"/>
      <c r="K57" s="238"/>
      <c r="L57" s="202"/>
      <c r="M57" s="199"/>
      <c r="N57" s="60"/>
    </row>
    <row r="58" spans="1:14" ht="15" customHeight="1">
      <c r="A58" s="135"/>
      <c r="B58" s="144"/>
      <c r="C58" s="79" t="s">
        <v>43</v>
      </c>
      <c r="D58" s="35" t="s">
        <v>124</v>
      </c>
      <c r="E58" s="51">
        <v>4</v>
      </c>
      <c r="F58" s="12">
        <v>4</v>
      </c>
      <c r="G58" s="178"/>
      <c r="H58" s="163"/>
      <c r="I58" s="178"/>
      <c r="J58" s="163"/>
      <c r="K58" s="238"/>
      <c r="L58" s="202"/>
      <c r="M58" s="199"/>
      <c r="N58" s="60"/>
    </row>
    <row r="59" spans="1:14" ht="26.5" customHeight="1">
      <c r="A59" s="135"/>
      <c r="B59" s="142" t="s">
        <v>88</v>
      </c>
      <c r="C59" s="101" t="s">
        <v>29</v>
      </c>
      <c r="D59" s="87" t="s">
        <v>121</v>
      </c>
      <c r="E59" s="7">
        <v>4</v>
      </c>
      <c r="F59" s="19">
        <v>4</v>
      </c>
      <c r="G59" s="178"/>
      <c r="H59" s="163"/>
      <c r="I59" s="178"/>
      <c r="J59" s="163"/>
      <c r="K59" s="239"/>
      <c r="L59" s="202"/>
      <c r="M59" s="199"/>
      <c r="N59" s="60"/>
    </row>
    <row r="60" spans="1:14" ht="15" customHeight="1" thickBot="1">
      <c r="A60" s="135"/>
      <c r="B60" s="152"/>
      <c r="C60" s="101" t="s">
        <v>43</v>
      </c>
      <c r="D60" s="105" t="s">
        <v>97</v>
      </c>
      <c r="E60" s="7">
        <v>4</v>
      </c>
      <c r="F60" s="19">
        <v>4</v>
      </c>
      <c r="G60" s="149"/>
      <c r="H60" s="151"/>
      <c r="I60" s="149"/>
      <c r="J60" s="151"/>
      <c r="K60" s="239"/>
      <c r="L60" s="203"/>
      <c r="M60" s="200"/>
      <c r="N60" s="63"/>
    </row>
    <row r="61" spans="1:14" ht="15" customHeight="1">
      <c r="A61" s="135"/>
      <c r="B61" s="93" t="s">
        <v>120</v>
      </c>
      <c r="C61" s="64" t="s">
        <v>54</v>
      </c>
      <c r="D61" s="130" t="s">
        <v>67</v>
      </c>
      <c r="E61" s="8">
        <v>4</v>
      </c>
      <c r="F61" s="14">
        <v>3</v>
      </c>
      <c r="G61" s="148"/>
      <c r="H61" s="150"/>
      <c r="I61" s="148"/>
      <c r="J61" s="150"/>
      <c r="K61" s="133" t="s">
        <v>59</v>
      </c>
      <c r="L61" s="214"/>
      <c r="M61" s="199">
        <v>3</v>
      </c>
      <c r="N61" s="163"/>
    </row>
    <row r="62" spans="1:14" ht="15" customHeight="1">
      <c r="A62" s="135"/>
      <c r="B62" s="220" t="s">
        <v>58</v>
      </c>
      <c r="C62" s="80" t="s">
        <v>29</v>
      </c>
      <c r="D62" s="131" t="s">
        <v>90</v>
      </c>
      <c r="E62" s="52">
        <v>4</v>
      </c>
      <c r="F62" s="27">
        <v>3</v>
      </c>
      <c r="G62" s="178"/>
      <c r="H62" s="163"/>
      <c r="I62" s="178"/>
      <c r="J62" s="163"/>
      <c r="K62" s="236">
        <v>3</v>
      </c>
      <c r="L62" s="214"/>
      <c r="M62" s="199"/>
      <c r="N62" s="163"/>
    </row>
    <row r="63" spans="1:14" ht="15" customHeight="1" thickBot="1">
      <c r="A63" s="135"/>
      <c r="B63" s="221"/>
      <c r="C63" s="79" t="s">
        <v>43</v>
      </c>
      <c r="D63" s="132" t="s">
        <v>91</v>
      </c>
      <c r="E63" s="51">
        <v>4</v>
      </c>
      <c r="F63" s="12">
        <v>3</v>
      </c>
      <c r="G63" s="149"/>
      <c r="H63" s="151"/>
      <c r="I63" s="149"/>
      <c r="J63" s="151"/>
      <c r="K63" s="237"/>
      <c r="L63" s="214"/>
      <c r="M63" s="199"/>
      <c r="N63" s="163"/>
    </row>
    <row r="64" spans="1:14" ht="15" customHeight="1">
      <c r="A64" s="135"/>
      <c r="B64" s="64" t="s">
        <v>94</v>
      </c>
      <c r="C64" s="64" t="s">
        <v>29</v>
      </c>
      <c r="D64" s="36" t="s">
        <v>55</v>
      </c>
      <c r="E64" s="8">
        <v>4</v>
      </c>
      <c r="F64" s="14">
        <v>4</v>
      </c>
      <c r="G64" s="148"/>
      <c r="H64" s="150"/>
      <c r="I64" s="148"/>
      <c r="J64" s="150"/>
      <c r="K64" s="215"/>
      <c r="L64" s="22" t="s">
        <v>23</v>
      </c>
      <c r="M64" s="244">
        <v>20</v>
      </c>
      <c r="N64" s="165"/>
    </row>
    <row r="65" spans="1:14" ht="15" customHeight="1">
      <c r="A65" s="135"/>
      <c r="B65" s="103" t="s">
        <v>93</v>
      </c>
      <c r="C65" s="69" t="s">
        <v>43</v>
      </c>
      <c r="D65" s="74" t="s">
        <v>114</v>
      </c>
      <c r="E65" s="52">
        <v>4</v>
      </c>
      <c r="F65" s="27">
        <v>4</v>
      </c>
      <c r="G65" s="178"/>
      <c r="H65" s="163"/>
      <c r="I65" s="178"/>
      <c r="J65" s="163"/>
      <c r="K65" s="216"/>
      <c r="L65" s="222" t="s">
        <v>60</v>
      </c>
      <c r="M65" s="199"/>
      <c r="N65" s="163"/>
    </row>
    <row r="66" spans="1:14" ht="15" customHeight="1">
      <c r="A66" s="135"/>
      <c r="B66" s="142" t="s">
        <v>110</v>
      </c>
      <c r="C66" s="69" t="s">
        <v>29</v>
      </c>
      <c r="D66" s="75" t="s">
        <v>116</v>
      </c>
      <c r="E66" s="51">
        <v>4</v>
      </c>
      <c r="F66" s="12">
        <v>4</v>
      </c>
      <c r="G66" s="178"/>
      <c r="H66" s="163"/>
      <c r="I66" s="178"/>
      <c r="J66" s="163"/>
      <c r="K66" s="216"/>
      <c r="L66" s="223"/>
      <c r="M66" s="199"/>
      <c r="N66" s="163"/>
    </row>
    <row r="67" spans="1:14" ht="15" customHeight="1">
      <c r="A67" s="135"/>
      <c r="B67" s="144"/>
      <c r="C67" s="69" t="s">
        <v>102</v>
      </c>
      <c r="D67" s="75" t="s">
        <v>115</v>
      </c>
      <c r="E67" s="51">
        <v>4</v>
      </c>
      <c r="F67" s="12">
        <v>4</v>
      </c>
      <c r="G67" s="178"/>
      <c r="H67" s="163"/>
      <c r="I67" s="178"/>
      <c r="J67" s="163"/>
      <c r="K67" s="216"/>
      <c r="L67" s="223"/>
      <c r="M67" s="199"/>
      <c r="N67" s="163"/>
    </row>
    <row r="68" spans="1:14" ht="15" customHeight="1">
      <c r="A68" s="135"/>
      <c r="B68" s="142" t="s">
        <v>106</v>
      </c>
      <c r="C68" s="79" t="s">
        <v>29</v>
      </c>
      <c r="D68" s="37" t="s">
        <v>84</v>
      </c>
      <c r="E68" s="51">
        <v>4</v>
      </c>
      <c r="F68" s="12">
        <v>4</v>
      </c>
      <c r="G68" s="178"/>
      <c r="H68" s="163"/>
      <c r="I68" s="178"/>
      <c r="J68" s="163"/>
      <c r="K68" s="216"/>
      <c r="L68" s="223"/>
      <c r="M68" s="199"/>
      <c r="N68" s="163"/>
    </row>
    <row r="69" spans="1:14" ht="15" customHeight="1">
      <c r="A69" s="135"/>
      <c r="B69" s="144"/>
      <c r="C69" s="79" t="s">
        <v>51</v>
      </c>
      <c r="D69" s="38" t="s">
        <v>85</v>
      </c>
      <c r="E69" s="51">
        <v>4</v>
      </c>
      <c r="F69" s="12">
        <v>4</v>
      </c>
      <c r="G69" s="178"/>
      <c r="H69" s="163"/>
      <c r="I69" s="178"/>
      <c r="J69" s="163"/>
      <c r="K69" s="216"/>
      <c r="L69" s="223"/>
      <c r="M69" s="199"/>
      <c r="N69" s="163"/>
    </row>
    <row r="70" spans="1:14" ht="15" customHeight="1" thickBot="1">
      <c r="A70" s="135"/>
      <c r="B70" s="9" t="s">
        <v>105</v>
      </c>
      <c r="C70" s="9" t="s">
        <v>53</v>
      </c>
      <c r="D70" s="39" t="s">
        <v>98</v>
      </c>
      <c r="E70" s="10">
        <v>4</v>
      </c>
      <c r="F70" s="13">
        <v>4</v>
      </c>
      <c r="G70" s="149"/>
      <c r="H70" s="151"/>
      <c r="I70" s="149"/>
      <c r="J70" s="151"/>
      <c r="K70" s="217"/>
      <c r="L70" s="224"/>
      <c r="M70" s="245"/>
      <c r="N70" s="213"/>
    </row>
    <row r="71" spans="1:14" ht="15" customHeight="1">
      <c r="A71" s="135"/>
      <c r="B71" s="76" t="s">
        <v>120</v>
      </c>
      <c r="C71" s="64" t="s">
        <v>43</v>
      </c>
      <c r="D71" s="40" t="s">
        <v>66</v>
      </c>
      <c r="E71" s="8">
        <v>4</v>
      </c>
      <c r="F71" s="14">
        <v>3</v>
      </c>
      <c r="G71" s="148"/>
      <c r="H71" s="150"/>
      <c r="I71" s="148"/>
      <c r="J71" s="150"/>
      <c r="K71" s="218"/>
      <c r="L71" s="23" t="s">
        <v>59</v>
      </c>
      <c r="M71" s="244">
        <v>3</v>
      </c>
      <c r="N71" s="165"/>
    </row>
    <row r="72" spans="1:14" ht="15" customHeight="1" thickBot="1">
      <c r="A72" s="135"/>
      <c r="B72" s="11" t="s">
        <v>58</v>
      </c>
      <c r="C72" s="9" t="s">
        <v>29</v>
      </c>
      <c r="D72" s="41" t="s">
        <v>92</v>
      </c>
      <c r="E72" s="10">
        <v>4</v>
      </c>
      <c r="F72" s="13">
        <v>3</v>
      </c>
      <c r="G72" s="149"/>
      <c r="H72" s="151"/>
      <c r="I72" s="149"/>
      <c r="J72" s="151"/>
      <c r="K72" s="219"/>
      <c r="L72" s="59">
        <v>3</v>
      </c>
      <c r="M72" s="245"/>
      <c r="N72" s="213"/>
    </row>
    <row r="73" spans="1:14" ht="15" customHeight="1">
      <c r="A73" s="135"/>
      <c r="B73" s="195" t="s">
        <v>108</v>
      </c>
      <c r="C73" s="64" t="s">
        <v>18</v>
      </c>
      <c r="D73" s="42" t="s">
        <v>52</v>
      </c>
      <c r="E73" s="8">
        <v>3</v>
      </c>
      <c r="F73" s="14">
        <v>3</v>
      </c>
      <c r="G73" s="148"/>
      <c r="H73" s="150"/>
      <c r="I73" s="148"/>
      <c r="J73" s="150"/>
      <c r="K73" s="24" t="s">
        <v>21</v>
      </c>
      <c r="L73" s="240"/>
      <c r="M73" s="166">
        <v>3</v>
      </c>
      <c r="N73" s="165"/>
    </row>
    <row r="74" spans="1:14" ht="15" customHeight="1" thickBot="1">
      <c r="A74" s="135"/>
      <c r="B74" s="143"/>
      <c r="C74" s="9" t="s">
        <v>18</v>
      </c>
      <c r="D74" s="43" t="s">
        <v>22</v>
      </c>
      <c r="E74" s="10">
        <v>3</v>
      </c>
      <c r="F74" s="13">
        <v>3</v>
      </c>
      <c r="G74" s="149"/>
      <c r="H74" s="151"/>
      <c r="I74" s="149"/>
      <c r="J74" s="151"/>
      <c r="K74" s="25">
        <v>3</v>
      </c>
      <c r="L74" s="240"/>
      <c r="M74" s="166"/>
      <c r="N74" s="163"/>
    </row>
    <row r="75" spans="1:14" ht="15" customHeight="1">
      <c r="A75" s="135"/>
      <c r="B75" s="143"/>
      <c r="C75" s="64" t="s">
        <v>18</v>
      </c>
      <c r="D75" s="44" t="s">
        <v>47</v>
      </c>
      <c r="E75" s="8">
        <v>3</v>
      </c>
      <c r="F75" s="14">
        <v>3</v>
      </c>
      <c r="G75" s="148"/>
      <c r="H75" s="150"/>
      <c r="I75" s="148"/>
      <c r="J75" s="150"/>
      <c r="K75" s="242"/>
      <c r="L75" s="26" t="s">
        <v>21</v>
      </c>
      <c r="M75" s="183">
        <v>3</v>
      </c>
      <c r="N75" s="163"/>
    </row>
    <row r="76" spans="1:14" ht="15" customHeight="1" thickBot="1">
      <c r="A76" s="135"/>
      <c r="B76" s="241"/>
      <c r="C76" s="83" t="s">
        <v>29</v>
      </c>
      <c r="D76" s="65" t="s">
        <v>99</v>
      </c>
      <c r="E76" s="66">
        <v>3</v>
      </c>
      <c r="F76" s="67">
        <v>3</v>
      </c>
      <c r="G76" s="179"/>
      <c r="H76" s="180"/>
      <c r="I76" s="179"/>
      <c r="J76" s="180"/>
      <c r="K76" s="243"/>
      <c r="L76" s="68">
        <v>3</v>
      </c>
      <c r="M76" s="179"/>
      <c r="N76" s="180"/>
    </row>
    <row r="77" spans="1:14" ht="15" customHeight="1">
      <c r="A77" s="135"/>
      <c r="B77" s="162" t="s">
        <v>12</v>
      </c>
      <c r="C77" s="106" t="s">
        <v>18</v>
      </c>
      <c r="D77" s="114" t="s">
        <v>129</v>
      </c>
      <c r="E77" s="107">
        <v>4</v>
      </c>
      <c r="F77" s="112">
        <v>3</v>
      </c>
      <c r="G77" s="153" t="s">
        <v>133</v>
      </c>
      <c r="H77" s="154"/>
      <c r="I77" s="154"/>
      <c r="J77" s="154"/>
      <c r="K77" s="154"/>
      <c r="L77" s="155"/>
      <c r="M77" s="172"/>
      <c r="N77" s="175"/>
    </row>
    <row r="78" spans="1:14" ht="15" customHeight="1">
      <c r="A78" s="135"/>
      <c r="B78" s="136"/>
      <c r="C78" s="104" t="s">
        <v>29</v>
      </c>
      <c r="D78" s="115" t="s">
        <v>113</v>
      </c>
      <c r="E78" s="51">
        <v>4</v>
      </c>
      <c r="F78" s="12">
        <v>3</v>
      </c>
      <c r="G78" s="156"/>
      <c r="H78" s="157"/>
      <c r="I78" s="157"/>
      <c r="J78" s="157"/>
      <c r="K78" s="157"/>
      <c r="L78" s="158"/>
      <c r="M78" s="173"/>
      <c r="N78" s="176"/>
    </row>
    <row r="79" spans="1:14" ht="15" customHeight="1">
      <c r="A79" s="135"/>
      <c r="B79" s="136" t="s">
        <v>68</v>
      </c>
      <c r="C79" s="104" t="s">
        <v>29</v>
      </c>
      <c r="D79" s="30" t="s">
        <v>100</v>
      </c>
      <c r="E79" s="51">
        <v>3</v>
      </c>
      <c r="F79" s="12">
        <v>2</v>
      </c>
      <c r="G79" s="156"/>
      <c r="H79" s="157"/>
      <c r="I79" s="157"/>
      <c r="J79" s="157"/>
      <c r="K79" s="157"/>
      <c r="L79" s="158"/>
      <c r="M79" s="173"/>
      <c r="N79" s="176"/>
    </row>
    <row r="80" spans="1:14" ht="15" customHeight="1" thickBot="1">
      <c r="A80" s="135"/>
      <c r="B80" s="137"/>
      <c r="C80" s="108" t="s">
        <v>43</v>
      </c>
      <c r="D80" s="109" t="s">
        <v>117</v>
      </c>
      <c r="E80" s="110">
        <v>3</v>
      </c>
      <c r="F80" s="111">
        <v>2</v>
      </c>
      <c r="G80" s="159"/>
      <c r="H80" s="160"/>
      <c r="I80" s="160"/>
      <c r="J80" s="160"/>
      <c r="K80" s="160"/>
      <c r="L80" s="161"/>
      <c r="M80" s="174"/>
      <c r="N80" s="177"/>
    </row>
    <row r="81" spans="1:14" ht="15" customHeight="1">
      <c r="A81" s="225" t="s">
        <v>26</v>
      </c>
      <c r="B81" s="226"/>
      <c r="C81" s="226"/>
      <c r="D81" s="226"/>
      <c r="E81" s="226"/>
      <c r="F81" s="226"/>
      <c r="G81" s="113">
        <v>30</v>
      </c>
      <c r="H81" s="113">
        <v>30</v>
      </c>
      <c r="I81" s="113">
        <v>30</v>
      </c>
      <c r="J81" s="113">
        <v>30</v>
      </c>
      <c r="K81" s="113">
        <v>27</v>
      </c>
      <c r="L81" s="113">
        <v>27</v>
      </c>
      <c r="M81" s="95">
        <f>SUM(G81:L81)</f>
        <v>174</v>
      </c>
      <c r="N81" s="96">
        <f>SUM(N5:N34)</f>
        <v>84</v>
      </c>
    </row>
    <row r="82" spans="1:14" ht="15" customHeight="1">
      <c r="A82" s="227" t="s">
        <v>19</v>
      </c>
      <c r="B82" s="228"/>
      <c r="C82" s="228"/>
      <c r="D82" s="228"/>
      <c r="E82" s="228"/>
      <c r="F82" s="228"/>
      <c r="G82" s="78">
        <v>3</v>
      </c>
      <c r="H82" s="78">
        <v>3</v>
      </c>
      <c r="I82" s="78">
        <v>3</v>
      </c>
      <c r="J82" s="78">
        <v>3</v>
      </c>
      <c r="K82" s="78">
        <v>3</v>
      </c>
      <c r="L82" s="78">
        <v>3</v>
      </c>
      <c r="M82" s="6">
        <f>SUM(G82:L82)</f>
        <v>18</v>
      </c>
      <c r="N82" s="97">
        <v>18</v>
      </c>
    </row>
    <row r="83" spans="1:14" ht="15" customHeight="1" thickBot="1">
      <c r="A83" s="229" t="s">
        <v>27</v>
      </c>
      <c r="B83" s="230"/>
      <c r="C83" s="230"/>
      <c r="D83" s="230"/>
      <c r="E83" s="230"/>
      <c r="F83" s="230"/>
      <c r="G83" s="98">
        <f t="shared" ref="G83:L83" si="0">G81+G82</f>
        <v>33</v>
      </c>
      <c r="H83" s="98">
        <f t="shared" si="0"/>
        <v>33</v>
      </c>
      <c r="I83" s="98">
        <f t="shared" si="0"/>
        <v>33</v>
      </c>
      <c r="J83" s="98">
        <f t="shared" si="0"/>
        <v>33</v>
      </c>
      <c r="K83" s="98">
        <f t="shared" si="0"/>
        <v>30</v>
      </c>
      <c r="L83" s="98">
        <f t="shared" si="0"/>
        <v>30</v>
      </c>
      <c r="M83" s="99">
        <f>SUM(G83:L83)</f>
        <v>192</v>
      </c>
      <c r="N83" s="100"/>
    </row>
  </sheetData>
  <mergeCells count="122">
    <mergeCell ref="M71:M72"/>
    <mergeCell ref="M64:M70"/>
    <mergeCell ref="G61:G63"/>
    <mergeCell ref="H61:H63"/>
    <mergeCell ref="I61:I63"/>
    <mergeCell ref="J61:J63"/>
    <mergeCell ref="G64:G70"/>
    <mergeCell ref="H64:H70"/>
    <mergeCell ref="I64:I70"/>
    <mergeCell ref="J64:J70"/>
    <mergeCell ref="G71:G72"/>
    <mergeCell ref="H71:H72"/>
    <mergeCell ref="J71:J72"/>
    <mergeCell ref="I71:I72"/>
    <mergeCell ref="A81:F81"/>
    <mergeCell ref="A82:F82"/>
    <mergeCell ref="A83:F83"/>
    <mergeCell ref="M73:M74"/>
    <mergeCell ref="B55:B56"/>
    <mergeCell ref="M42:M50"/>
    <mergeCell ref="G42:G50"/>
    <mergeCell ref="H42:H50"/>
    <mergeCell ref="I42:I50"/>
    <mergeCell ref="K42:K50"/>
    <mergeCell ref="L42:L50"/>
    <mergeCell ref="B49:B50"/>
    <mergeCell ref="K62:K63"/>
    <mergeCell ref="B51:B52"/>
    <mergeCell ref="K52:K60"/>
    <mergeCell ref="L73:L74"/>
    <mergeCell ref="B57:B58"/>
    <mergeCell ref="B73:B76"/>
    <mergeCell ref="J73:J74"/>
    <mergeCell ref="H75:H76"/>
    <mergeCell ref="G75:G76"/>
    <mergeCell ref="I75:I76"/>
    <mergeCell ref="J75:J76"/>
    <mergeCell ref="B45:B46"/>
    <mergeCell ref="M5:M8"/>
    <mergeCell ref="N5:N8"/>
    <mergeCell ref="B5:B8"/>
    <mergeCell ref="M51:M60"/>
    <mergeCell ref="L51:L60"/>
    <mergeCell ref="M61:M63"/>
    <mergeCell ref="A5:A34"/>
    <mergeCell ref="M9:M12"/>
    <mergeCell ref="N9:N12"/>
    <mergeCell ref="M13:M16"/>
    <mergeCell ref="N13:N16"/>
    <mergeCell ref="M17:M18"/>
    <mergeCell ref="N17:N18"/>
    <mergeCell ref="M19:M20"/>
    <mergeCell ref="N19:N20"/>
    <mergeCell ref="M21:M24"/>
    <mergeCell ref="N21:N24"/>
    <mergeCell ref="M25:M30"/>
    <mergeCell ref="N25:N30"/>
    <mergeCell ref="B31:B32"/>
    <mergeCell ref="N42:N50"/>
    <mergeCell ref="N61:N63"/>
    <mergeCell ref="J35:J41"/>
    <mergeCell ref="G35:G41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N33:N34"/>
    <mergeCell ref="M31:M32"/>
    <mergeCell ref="N31:N32"/>
    <mergeCell ref="B37:B38"/>
    <mergeCell ref="I36:I39"/>
    <mergeCell ref="M35:M41"/>
    <mergeCell ref="G31:H31"/>
    <mergeCell ref="M77:M80"/>
    <mergeCell ref="N77:N80"/>
    <mergeCell ref="K35:K41"/>
    <mergeCell ref="L35:L41"/>
    <mergeCell ref="N35:N41"/>
    <mergeCell ref="M33:M34"/>
    <mergeCell ref="N64:N70"/>
    <mergeCell ref="L61:L63"/>
    <mergeCell ref="K64:K70"/>
    <mergeCell ref="K71:K72"/>
    <mergeCell ref="B68:B69"/>
    <mergeCell ref="B62:B63"/>
    <mergeCell ref="L65:L70"/>
    <mergeCell ref="B66:B67"/>
    <mergeCell ref="N73:N76"/>
    <mergeCell ref="N71:N72"/>
    <mergeCell ref="M75:M76"/>
    <mergeCell ref="A35:A80"/>
    <mergeCell ref="B79:B80"/>
    <mergeCell ref="J49:J50"/>
    <mergeCell ref="J43:J47"/>
    <mergeCell ref="B9:B12"/>
    <mergeCell ref="B13:B16"/>
    <mergeCell ref="B17:B18"/>
    <mergeCell ref="B19:B20"/>
    <mergeCell ref="B33:B34"/>
    <mergeCell ref="B21:B24"/>
    <mergeCell ref="B25:B30"/>
    <mergeCell ref="G73:G74"/>
    <mergeCell ref="H73:H74"/>
    <mergeCell ref="I73:I74"/>
    <mergeCell ref="B59:B60"/>
    <mergeCell ref="B53:B54"/>
    <mergeCell ref="G77:L80"/>
    <mergeCell ref="B77:B78"/>
    <mergeCell ref="H35:H41"/>
    <mergeCell ref="K75:K76"/>
    <mergeCell ref="G51:G60"/>
    <mergeCell ref="H51:H60"/>
    <mergeCell ref="I51:I60"/>
    <mergeCell ref="J51:J60"/>
  </mergeCells>
  <phoneticPr fontId="2" type="noConversion"/>
  <printOptions horizontalCentered="1"/>
  <pageMargins left="0.25" right="0.25" top="0.75" bottom="0.75" header="0.3" footer="0.3"/>
  <pageSetup paperSize="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2안</vt:lpstr>
      <vt:lpstr>'2안'!Print_Area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2025-09-19T05:02:44Z</cp:lastPrinted>
  <dcterms:created xsi:type="dcterms:W3CDTF">2022-04-18T03:36:49Z</dcterms:created>
  <dcterms:modified xsi:type="dcterms:W3CDTF">2025-12-01T02:29:44Z</dcterms:modified>
</cp:coreProperties>
</file>