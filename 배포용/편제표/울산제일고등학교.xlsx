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"/>
    </mc:Choice>
  </mc:AlternateContent>
  <xr:revisionPtr revIDLastSave="0" documentId="13_ncr:1_{6AC18D32-6206-414D-8540-A6601CA9B925}" xr6:coauthVersionLast="47" xr6:coauthVersionMax="47" xr10:uidLastSave="{00000000-0000-0000-0000-000000000000}"/>
  <bookViews>
    <workbookView xWindow="-108" yWindow="-108" windowWidth="23256" windowHeight="12456" xr2:uid="{54E1F1F5-D74E-4AAC-A8A2-71DE52D1D044}"/>
  </bookViews>
  <sheets>
    <sheet name="2026신입생3개년(안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84" i="2" l="1"/>
  <c r="K84" i="2"/>
  <c r="J84" i="2"/>
  <c r="I84" i="2"/>
  <c r="M83" i="2"/>
  <c r="N82" i="2"/>
  <c r="H82" i="2"/>
  <c r="H84" i="2" s="1"/>
  <c r="G82" i="2"/>
  <c r="M82" i="2" s="1"/>
  <c r="M19" i="2"/>
  <c r="G84" i="2" l="1"/>
  <c r="M84" i="2" s="1"/>
</calcChain>
</file>

<file path=xl/sharedStrings.xml><?xml version="1.0" encoding="utf-8"?>
<sst xmlns="http://schemas.openxmlformats.org/spreadsheetml/2006/main" count="238" uniqueCount="127">
  <si>
    <t>구분</t>
    <phoneticPr fontId="3" type="noConversion"/>
  </si>
  <si>
    <t>교과
(군)</t>
    <phoneticPr fontId="3" type="noConversion"/>
  </si>
  <si>
    <t>세부과목</t>
  </si>
  <si>
    <t>기준
학점</t>
    <phoneticPr fontId="3" type="noConversion"/>
  </si>
  <si>
    <t>운영학점</t>
    <phoneticPr fontId="3" type="noConversion"/>
  </si>
  <si>
    <t>1학년</t>
    <phoneticPr fontId="3" type="noConversion"/>
  </si>
  <si>
    <t>2학년</t>
  </si>
  <si>
    <t>3학년</t>
  </si>
  <si>
    <t>이수 
학점</t>
    <phoneticPr fontId="3" type="noConversion"/>
  </si>
  <si>
    <t>1학기</t>
  </si>
  <si>
    <t>2학기</t>
  </si>
  <si>
    <t>학
교
지
정
교
육
과
정</t>
    <phoneticPr fontId="3" type="noConversion"/>
  </si>
  <si>
    <t>국어</t>
  </si>
  <si>
    <t>공통</t>
    <phoneticPr fontId="3" type="noConversion"/>
  </si>
  <si>
    <t>공통국어1</t>
    <phoneticPr fontId="3" type="noConversion"/>
  </si>
  <si>
    <t>수학</t>
  </si>
  <si>
    <t>공통수학1</t>
    <phoneticPr fontId="3" type="noConversion"/>
  </si>
  <si>
    <t>공통수학2</t>
    <phoneticPr fontId="3" type="noConversion"/>
  </si>
  <si>
    <t>영어</t>
  </si>
  <si>
    <t>공통영어1</t>
    <phoneticPr fontId="3" type="noConversion"/>
  </si>
  <si>
    <t>공통영어2</t>
    <phoneticPr fontId="3" type="noConversion"/>
  </si>
  <si>
    <t>사회</t>
  </si>
  <si>
    <t>통합사회1</t>
    <phoneticPr fontId="3" type="noConversion"/>
  </si>
  <si>
    <t>통합사회2</t>
    <phoneticPr fontId="3" type="noConversion"/>
  </si>
  <si>
    <t>한국사1</t>
    <phoneticPr fontId="3" type="noConversion"/>
  </si>
  <si>
    <t>한국사2</t>
    <phoneticPr fontId="3" type="noConversion"/>
  </si>
  <si>
    <t>과학</t>
    <phoneticPr fontId="3" type="noConversion"/>
  </si>
  <si>
    <t>통합과학1</t>
    <phoneticPr fontId="3" type="noConversion"/>
  </si>
  <si>
    <t>통합과학2</t>
    <phoneticPr fontId="3" type="noConversion"/>
  </si>
  <si>
    <t>과학탐구실험1</t>
    <phoneticPr fontId="3" type="noConversion"/>
  </si>
  <si>
    <t>과학탐구실험2</t>
  </si>
  <si>
    <t>체육</t>
  </si>
  <si>
    <t>일반</t>
    <phoneticPr fontId="3" type="noConversion"/>
  </si>
  <si>
    <t>체육1</t>
    <phoneticPr fontId="3" type="noConversion"/>
  </si>
  <si>
    <t>체육2</t>
    <phoneticPr fontId="3" type="noConversion"/>
  </si>
  <si>
    <t>진로</t>
    <phoneticPr fontId="3" type="noConversion"/>
  </si>
  <si>
    <t>스포츠 문화</t>
    <phoneticPr fontId="3" type="noConversion"/>
  </si>
  <si>
    <t>운동과 건강</t>
    <phoneticPr fontId="3" type="noConversion"/>
  </si>
  <si>
    <t>융합</t>
    <phoneticPr fontId="3" type="noConversion"/>
  </si>
  <si>
    <t>스포츠 생활1</t>
    <phoneticPr fontId="3" type="noConversion"/>
  </si>
  <si>
    <t>예술</t>
    <phoneticPr fontId="3" type="noConversion"/>
  </si>
  <si>
    <t>음악</t>
    <phoneticPr fontId="3" type="noConversion"/>
  </si>
  <si>
    <t>미술</t>
    <phoneticPr fontId="3" type="noConversion"/>
  </si>
  <si>
    <t>일반</t>
  </si>
  <si>
    <t>정보</t>
    <phoneticPr fontId="3" type="noConversion"/>
  </si>
  <si>
    <t>학
생
선
택
교
육
과
정</t>
    <phoneticPr fontId="3" type="noConversion"/>
  </si>
  <si>
    <t>국어</t>
    <phoneticPr fontId="3" type="noConversion"/>
  </si>
  <si>
    <t>문학</t>
  </si>
  <si>
    <t>수학</t>
    <phoneticPr fontId="3" type="noConversion"/>
  </si>
  <si>
    <t>영어</t>
    <phoneticPr fontId="3" type="noConversion"/>
  </si>
  <si>
    <t>영어Ⅰ</t>
    <phoneticPr fontId="3" type="noConversion"/>
  </si>
  <si>
    <t>물리학, 화학, 생명과학, 지구과학</t>
    <phoneticPr fontId="3" type="noConversion"/>
  </si>
  <si>
    <t>제2외국어/한문</t>
  </si>
  <si>
    <t>기술·가정/정보</t>
    <phoneticPr fontId="3" type="noConversion"/>
  </si>
  <si>
    <t>인공지능 기초</t>
    <phoneticPr fontId="3" type="noConversion"/>
  </si>
  <si>
    <t>독서와 작문</t>
    <phoneticPr fontId="3" type="noConversion"/>
  </si>
  <si>
    <t>영어Ⅱ</t>
    <phoneticPr fontId="3" type="noConversion"/>
  </si>
  <si>
    <t>화법과 언어</t>
    <phoneticPr fontId="3" type="noConversion"/>
  </si>
  <si>
    <t>문학과 영상</t>
    <phoneticPr fontId="3" type="noConversion"/>
  </si>
  <si>
    <t>진로</t>
  </si>
  <si>
    <t>사회</t>
    <phoneticPr fontId="3" type="noConversion"/>
  </si>
  <si>
    <t>제2외국어/한문</t>
    <phoneticPr fontId="3" type="noConversion"/>
  </si>
  <si>
    <t>교양</t>
    <phoneticPr fontId="3" type="noConversion"/>
  </si>
  <si>
    <t>미술 창작</t>
    <phoneticPr fontId="3" type="noConversion"/>
  </si>
  <si>
    <t>매체 의사소통</t>
    <phoneticPr fontId="3" type="noConversion"/>
  </si>
  <si>
    <t>음악 감상과 비평</t>
    <phoneticPr fontId="3" type="noConversion"/>
  </si>
  <si>
    <t>미술 감상과 비평</t>
    <phoneticPr fontId="3" type="noConversion"/>
  </si>
  <si>
    <t>이수학점 소계</t>
    <phoneticPr fontId="3" type="noConversion"/>
  </si>
  <si>
    <t>창의적 체험활동</t>
  </si>
  <si>
    <t>학기별 총 이수 학점</t>
    <phoneticPr fontId="3" type="noConversion"/>
  </si>
  <si>
    <t>필수
이수학점</t>
    <phoneticPr fontId="3" type="noConversion"/>
  </si>
  <si>
    <t>울산제일고등학교</t>
    <phoneticPr fontId="3" type="noConversion"/>
  </si>
  <si>
    <t>영어 독해와 작문</t>
    <phoneticPr fontId="3" type="noConversion"/>
  </si>
  <si>
    <t>음악 연주와 창작</t>
    <phoneticPr fontId="3" type="noConversion"/>
  </si>
  <si>
    <t>교차집중(↔)</t>
    <phoneticPr fontId="3" type="noConversion"/>
  </si>
  <si>
    <t>역학과 에너지, 물질과 에너지, 세포와 물질대사, 지구시스템과학</t>
    <phoneticPr fontId="3" type="noConversion"/>
  </si>
  <si>
    <t>전자기와 양자, 화학 반응의 세계, 생물의 유전, 행성우주과학</t>
    <phoneticPr fontId="3" type="noConversion"/>
  </si>
  <si>
    <t>대수</t>
    <phoneticPr fontId="3" type="noConversion"/>
  </si>
  <si>
    <t>사회와 문화, 현대사회와 윤리, 세계시민과 지리, 세계사</t>
    <phoneticPr fontId="3" type="noConversion"/>
  </si>
  <si>
    <t>한국지리 탐구, 동아시아 역사 기행, 법과 사회, 경제, 윤리와 사상</t>
    <phoneticPr fontId="3" type="noConversion"/>
  </si>
  <si>
    <t>주제 탐구 독서</t>
    <phoneticPr fontId="3" type="noConversion"/>
  </si>
  <si>
    <t>심화 영어 독해와 작문</t>
    <phoneticPr fontId="3" type="noConversion"/>
  </si>
  <si>
    <t>미디어 영어</t>
    <phoneticPr fontId="3" type="noConversion"/>
  </si>
  <si>
    <t>과학의 역사와 문화, 기후변화와 환경생태</t>
    <phoneticPr fontId="3" type="noConversion"/>
  </si>
  <si>
    <t>융합과학 탐구</t>
    <phoneticPr fontId="3" type="noConversion"/>
  </si>
  <si>
    <t>미적분I, 확률과 통계</t>
    <phoneticPr fontId="3" type="noConversion"/>
  </si>
  <si>
    <t>기술·가정/정보</t>
  </si>
  <si>
    <t>데이터 과학</t>
    <phoneticPr fontId="3" type="noConversion"/>
  </si>
  <si>
    <t>심화 영어</t>
    <phoneticPr fontId="3" type="noConversion"/>
  </si>
  <si>
    <t>보건, 인간과 심리, 논리와 사고, 교육의 이해</t>
    <phoneticPr fontId="3" type="noConversion"/>
  </si>
  <si>
    <t>논술, 인간과 경제활동</t>
    <phoneticPr fontId="3" type="noConversion"/>
  </si>
  <si>
    <t>영어 발표와 토론</t>
    <phoneticPr fontId="3" type="noConversion"/>
  </si>
  <si>
    <t>수학과제 탐구</t>
    <phoneticPr fontId="3" type="noConversion"/>
  </si>
  <si>
    <t>공통국어2</t>
    <phoneticPr fontId="3" type="noConversion"/>
  </si>
  <si>
    <r>
      <t>2026학년도 신입생 3개년 교육과정 편제표</t>
    </r>
    <r>
      <rPr>
        <b/>
        <sz val="12"/>
        <color rgb="FF0070C0"/>
        <rFont val="맑은 고딕"/>
        <family val="3"/>
        <charset val="129"/>
        <scheme val="major"/>
      </rPr>
      <t xml:space="preserve">           </t>
    </r>
    <phoneticPr fontId="3" type="noConversion"/>
  </si>
  <si>
    <t>진로와 직업</t>
    <phoneticPr fontId="3" type="noConversion"/>
  </si>
  <si>
    <t>소프트웨어와 생활</t>
    <phoneticPr fontId="3" type="noConversion"/>
  </si>
  <si>
    <t>택6</t>
    <phoneticPr fontId="3" type="noConversion"/>
  </si>
  <si>
    <t>택1</t>
    <phoneticPr fontId="3" type="noConversion"/>
  </si>
  <si>
    <t>경제수학</t>
    <phoneticPr fontId="3" type="noConversion"/>
  </si>
  <si>
    <t>생태와 환경</t>
    <phoneticPr fontId="3" type="noConversion"/>
  </si>
  <si>
    <t>☞ 표기방법 안내
 ◦ 특수목적 고등학교 과목(보통교과 표6)을 선택과목으로 가져올 때 * 표기
 ◦ 전문교과를 진로선택과목으로 가져올 때 ★ 표기
 ◦ 교육감승인과목을 진로선택과목으로 가져올 때 ☆ 표기
 ◦ 교과특성화학교 관련 과목은 ■ 표기
☞ 교차집중표기법: 교차집중(↔)</t>
    <phoneticPr fontId="3" type="noConversion"/>
  </si>
  <si>
    <t>택5</t>
    <phoneticPr fontId="3" type="noConversion"/>
  </si>
  <si>
    <t>스포츠 과학</t>
    <phoneticPr fontId="3" type="noConversion"/>
  </si>
  <si>
    <t>심화 일본어, 심화 중국어</t>
    <phoneticPr fontId="3" type="noConversion"/>
  </si>
  <si>
    <t>독서 토론과 글쓰기</t>
    <phoneticPr fontId="3" type="noConversion"/>
  </si>
  <si>
    <t>미적분II, 인공지능 수학</t>
    <phoneticPr fontId="3" type="noConversion"/>
  </si>
  <si>
    <t>기하</t>
    <phoneticPr fontId="3" type="noConversion"/>
  </si>
  <si>
    <t>4
4
4
4
4
4</t>
    <phoneticPr fontId="3" type="noConversion"/>
  </si>
  <si>
    <t>4
4
4
4
4</t>
    <phoneticPr fontId="3" type="noConversion"/>
  </si>
  <si>
    <t>물리학 실험*, 화학 실험*, 생명과학 실험*, 지구과학 실험*</t>
    <phoneticPr fontId="3" type="noConversion"/>
  </si>
  <si>
    <t>세계시민과 지리(온공), 세계사(온공)</t>
    <phoneticPr fontId="3" type="noConversion"/>
  </si>
  <si>
    <t>동아시아 역사 기행(온공)</t>
    <phoneticPr fontId="3" type="noConversion"/>
  </si>
  <si>
    <t>언어생활과 한자(온공)</t>
    <phoneticPr fontId="3" type="noConversion"/>
  </si>
  <si>
    <t>정보와 디지털 문해력☆</t>
    <phoneticPr fontId="3" type="noConversion"/>
  </si>
  <si>
    <t>일본어, 중국어, 한문</t>
    <phoneticPr fontId="3" type="noConversion"/>
  </si>
  <si>
    <t>일본 문화, 중국 문화, 언어생활과 한자</t>
    <phoneticPr fontId="3" type="noConversion"/>
  </si>
  <si>
    <t>일본어 회화, 중국어 회화, 한문 고전 읽기</t>
    <phoneticPr fontId="3" type="noConversion"/>
  </si>
  <si>
    <t>체육</t>
    <phoneticPr fontId="3" type="noConversion"/>
  </si>
  <si>
    <t>기초 체육 전공 실기*</t>
    <phoneticPr fontId="3" type="noConversion"/>
  </si>
  <si>
    <t>영상 제작의 이해*, 영화 제작 실습*</t>
    <phoneticPr fontId="3" type="noConversion"/>
  </si>
  <si>
    <t>고급 물리학*, 고급 생명과학*</t>
    <phoneticPr fontId="3" type="noConversion"/>
  </si>
  <si>
    <t>국제 관계의 이해</t>
    <phoneticPr fontId="3" type="noConversion"/>
  </si>
  <si>
    <t>여행지리, 사회문제 탐구, 기후변화와 지속가능한 세계</t>
    <phoneticPr fontId="3" type="noConversion"/>
  </si>
  <si>
    <t>도시의 미래 탐구, 정치, 인문학과 윤리</t>
    <phoneticPr fontId="3" type="noConversion"/>
  </si>
  <si>
    <t>윤리문제 탐구, 금융과 경제생활</t>
    <phoneticPr fontId="3" type="noConversion"/>
  </si>
  <si>
    <r>
      <rPr>
        <b/>
        <u/>
        <sz val="12"/>
        <color theme="4"/>
        <rFont val="맑은 고딕"/>
        <family val="3"/>
        <charset val="129"/>
        <scheme val="minor"/>
      </rPr>
      <t xml:space="preserve">2022 개정 교육과정(26학년도 1, 2학년)
</t>
    </r>
    <r>
      <rPr>
        <sz val="12"/>
        <color theme="1"/>
        <rFont val="맑은 고딕"/>
        <family val="3"/>
        <charset val="129"/>
        <scheme val="minor"/>
      </rPr>
      <t>소인수 교육과정/공동교육과정
이수 시기별 4학점
(단, 고급 물리학, 고급 생명과학, 물리학 실험, 화학 실험, 생명과학 실험, 지구과학 실험의 경우 3학점, 영상 제작의 이해, 영화 제작 실습의 경우 2학점)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</si>
</sst>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4" x14ac:knownFonts="1">
    <font>
      <sz val="11"/>
      <color theme="1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  <scheme val="major"/>
    </font>
    <font>
      <b/>
      <sz val="12"/>
      <color rgb="FF0070C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2"/>
      <color theme="1"/>
      <name val="나눔고딕"/>
      <family val="3"/>
      <charset val="129"/>
    </font>
    <font>
      <b/>
      <sz val="12"/>
      <color rgb="FF000000"/>
      <name val="나눔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u/>
      <sz val="12"/>
      <color theme="4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285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rgb="FFE6D5F3"/>
        <bgColor indexed="64"/>
      </patternFill>
    </fill>
    <fill>
      <patternFill patternType="solid">
        <fgColor rgb="FFDFE6F5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185">
    <xf numFmtId="0" fontId="0" fillId="0" borderId="0" xfId="0">
      <alignment vertical="center"/>
    </xf>
    <xf numFmtId="176" fontId="4" fillId="0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176" fontId="4" fillId="0" borderId="14" xfId="0" applyNumberFormat="1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176" fontId="4" fillId="0" borderId="17" xfId="0" applyNumberFormat="1" applyFont="1" applyBorder="1" applyAlignment="1">
      <alignment horizontal="center" vertical="center" wrapText="1"/>
    </xf>
    <xf numFmtId="176" fontId="4" fillId="3" borderId="16" xfId="0" applyNumberFormat="1" applyFont="1" applyFill="1" applyBorder="1" applyAlignment="1">
      <alignment horizontal="center" vertical="center" wrapText="1"/>
    </xf>
    <xf numFmtId="176" fontId="4" fillId="3" borderId="17" xfId="0" applyNumberFormat="1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176" fontId="4" fillId="3" borderId="14" xfId="0" applyNumberFormat="1" applyFont="1" applyFill="1" applyBorder="1" applyAlignment="1">
      <alignment horizontal="center" vertical="center" shrinkToFit="1"/>
    </xf>
    <xf numFmtId="0" fontId="4" fillId="3" borderId="17" xfId="0" applyFont="1" applyFill="1" applyBorder="1" applyAlignment="1">
      <alignment horizontal="center" vertical="center" wrapText="1"/>
    </xf>
    <xf numFmtId="176" fontId="4" fillId="0" borderId="27" xfId="0" applyNumberFormat="1" applyFont="1" applyBorder="1" applyAlignment="1">
      <alignment horizontal="center" vertical="center" wrapText="1"/>
    </xf>
    <xf numFmtId="176" fontId="4" fillId="0" borderId="19" xfId="0" applyNumberFormat="1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176" fontId="4" fillId="0" borderId="25" xfId="0" applyNumberFormat="1" applyFont="1" applyBorder="1" applyAlignment="1">
      <alignment horizontal="center" vertical="center" wrapText="1"/>
    </xf>
    <xf numFmtId="176" fontId="4" fillId="0" borderId="30" xfId="0" applyNumberFormat="1" applyFont="1" applyBorder="1" applyAlignment="1">
      <alignment horizontal="center" vertical="center" wrapText="1"/>
    </xf>
    <xf numFmtId="176" fontId="4" fillId="0" borderId="34" xfId="0" applyNumberFormat="1" applyFont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left" vertical="center" wrapText="1"/>
    </xf>
    <xf numFmtId="176" fontId="4" fillId="0" borderId="14" xfId="0" applyNumberFormat="1" applyFont="1" applyFill="1" applyBorder="1" applyAlignment="1">
      <alignment horizontal="left" vertical="center" wrapText="1"/>
    </xf>
    <xf numFmtId="176" fontId="6" fillId="0" borderId="14" xfId="0" applyNumberFormat="1" applyFont="1" applyFill="1" applyBorder="1" applyAlignment="1">
      <alignment horizontal="left" vertical="center" wrapText="1"/>
    </xf>
    <xf numFmtId="176" fontId="4" fillId="0" borderId="14" xfId="0" applyNumberFormat="1" applyFont="1" applyFill="1" applyBorder="1" applyAlignment="1">
      <alignment horizontal="left" vertical="center" shrinkToFit="1"/>
    </xf>
    <xf numFmtId="176" fontId="4" fillId="0" borderId="2" xfId="0" applyNumberFormat="1" applyFont="1" applyFill="1" applyBorder="1" applyAlignment="1">
      <alignment horizontal="left" vertical="center" wrapText="1" shrinkToFit="1"/>
    </xf>
    <xf numFmtId="176" fontId="4" fillId="0" borderId="14" xfId="0" applyNumberFormat="1" applyFont="1" applyFill="1" applyBorder="1" applyAlignment="1">
      <alignment horizontal="left" vertical="center" wrapText="1" shrinkToFit="1"/>
    </xf>
    <xf numFmtId="176" fontId="4" fillId="0" borderId="22" xfId="0" applyNumberFormat="1" applyFont="1" applyFill="1" applyBorder="1" applyAlignment="1">
      <alignment horizontal="left" vertical="center" wrapText="1" shrinkToFit="1"/>
    </xf>
    <xf numFmtId="176" fontId="4" fillId="3" borderId="14" xfId="0" applyNumberFormat="1" applyFont="1" applyFill="1" applyBorder="1" applyAlignment="1">
      <alignment horizontal="left" vertical="center" wrapText="1"/>
    </xf>
    <xf numFmtId="0" fontId="4" fillId="0" borderId="14" xfId="0" applyFont="1" applyFill="1" applyBorder="1" applyAlignment="1">
      <alignment horizontal="left" vertical="center" wrapText="1" shrinkToFit="1"/>
    </xf>
    <xf numFmtId="0" fontId="6" fillId="0" borderId="14" xfId="0" applyFont="1" applyFill="1" applyBorder="1" applyAlignment="1">
      <alignment horizontal="left" vertical="center" wrapText="1" shrinkToFit="1"/>
    </xf>
    <xf numFmtId="176" fontId="4" fillId="3" borderId="22" xfId="0" applyNumberFormat="1" applyFont="1" applyFill="1" applyBorder="1" applyAlignment="1">
      <alignment horizontal="left" vertical="center" wrapText="1"/>
    </xf>
    <xf numFmtId="176" fontId="4" fillId="3" borderId="19" xfId="0" applyNumberFormat="1" applyFont="1" applyFill="1" applyBorder="1" applyAlignment="1">
      <alignment horizontal="left" vertical="center" wrapText="1"/>
    </xf>
    <xf numFmtId="176" fontId="4" fillId="3" borderId="35" xfId="0" applyNumberFormat="1" applyFont="1" applyFill="1" applyBorder="1" applyAlignment="1">
      <alignment horizontal="center" vertical="center" shrinkToFit="1"/>
    </xf>
    <xf numFmtId="176" fontId="4" fillId="0" borderId="29" xfId="0" applyNumberFormat="1" applyFont="1" applyFill="1" applyBorder="1" applyAlignment="1">
      <alignment horizontal="center" vertical="center" wrapText="1"/>
    </xf>
    <xf numFmtId="176" fontId="4" fillId="0" borderId="29" xfId="0" applyNumberFormat="1" applyFont="1" applyFill="1" applyBorder="1" applyAlignment="1">
      <alignment horizontal="left" vertical="center" wrapText="1"/>
    </xf>
    <xf numFmtId="0" fontId="4" fillId="3" borderId="33" xfId="0" applyFont="1" applyFill="1" applyBorder="1" applyAlignment="1">
      <alignment horizontal="center" vertical="center" wrapText="1"/>
    </xf>
    <xf numFmtId="176" fontId="4" fillId="0" borderId="22" xfId="0" applyNumberFormat="1" applyFont="1" applyFill="1" applyBorder="1" applyAlignment="1">
      <alignment horizontal="left" vertical="center" shrinkToFit="1"/>
    </xf>
    <xf numFmtId="176" fontId="4" fillId="0" borderId="29" xfId="0" applyNumberFormat="1" applyFont="1" applyFill="1" applyBorder="1" applyAlignment="1">
      <alignment horizontal="left" vertical="center" shrinkToFit="1"/>
    </xf>
    <xf numFmtId="176" fontId="8" fillId="2" borderId="6" xfId="0" applyNumberFormat="1" applyFont="1" applyFill="1" applyBorder="1" applyAlignment="1">
      <alignment horizontal="center" vertical="center" shrinkToFit="1"/>
    </xf>
    <xf numFmtId="176" fontId="8" fillId="2" borderId="9" xfId="0" applyNumberFormat="1" applyFont="1" applyFill="1" applyBorder="1" applyAlignment="1">
      <alignment horizontal="center" vertical="center" shrinkToFit="1"/>
    </xf>
    <xf numFmtId="176" fontId="4" fillId="3" borderId="22" xfId="0" applyNumberFormat="1" applyFont="1" applyFill="1" applyBorder="1" applyAlignment="1">
      <alignment horizontal="left" vertical="center" shrinkToFit="1"/>
    </xf>
    <xf numFmtId="176" fontId="5" fillId="3" borderId="14" xfId="0" applyNumberFormat="1" applyFont="1" applyFill="1" applyBorder="1" applyAlignment="1">
      <alignment horizontal="left" vertical="center" wrapText="1"/>
    </xf>
    <xf numFmtId="176" fontId="4" fillId="3" borderId="14" xfId="0" applyNumberFormat="1" applyFont="1" applyFill="1" applyBorder="1" applyAlignment="1">
      <alignment horizontal="left" vertical="center" wrapText="1" shrinkToFit="1"/>
    </xf>
    <xf numFmtId="176" fontId="5" fillId="0" borderId="14" xfId="0" applyNumberFormat="1" applyFont="1" applyFill="1" applyBorder="1" applyAlignment="1">
      <alignment horizontal="left" vertical="center" wrapText="1" shrinkToFit="1"/>
    </xf>
    <xf numFmtId="176" fontId="5" fillId="0" borderId="14" xfId="0" applyNumberFormat="1" applyFont="1" applyFill="1" applyBorder="1" applyAlignment="1">
      <alignment horizontal="left" vertical="center" shrinkToFit="1"/>
    </xf>
    <xf numFmtId="176" fontId="4" fillId="0" borderId="22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176" fontId="4" fillId="3" borderId="29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176" fontId="4" fillId="0" borderId="22" xfId="0" applyNumberFormat="1" applyFont="1" applyBorder="1" applyAlignment="1">
      <alignment horizontal="center" vertical="center" wrapText="1"/>
    </xf>
    <xf numFmtId="176" fontId="4" fillId="3" borderId="30" xfId="0" applyNumberFormat="1" applyFont="1" applyFill="1" applyBorder="1" applyAlignment="1">
      <alignment horizontal="center" vertical="center" wrapText="1"/>
    </xf>
    <xf numFmtId="176" fontId="4" fillId="3" borderId="34" xfId="0" applyNumberFormat="1" applyFont="1" applyFill="1" applyBorder="1" applyAlignment="1">
      <alignment horizontal="center" vertical="center" wrapText="1"/>
    </xf>
    <xf numFmtId="176" fontId="4" fillId="3" borderId="25" xfId="0" applyNumberFormat="1" applyFont="1" applyFill="1" applyBorder="1" applyAlignment="1">
      <alignment horizontal="center" vertical="center" wrapText="1"/>
    </xf>
    <xf numFmtId="176" fontId="4" fillId="3" borderId="31" xfId="0" applyNumberFormat="1" applyFont="1" applyFill="1" applyBorder="1" applyAlignment="1">
      <alignment horizontal="center" vertical="center" shrinkToFit="1"/>
    </xf>
    <xf numFmtId="176" fontId="4" fillId="3" borderId="32" xfId="0" applyNumberFormat="1" applyFont="1" applyFill="1" applyBorder="1" applyAlignment="1">
      <alignment horizontal="center" vertical="center" shrinkToFit="1"/>
    </xf>
    <xf numFmtId="176" fontId="4" fillId="0" borderId="28" xfId="0" applyNumberFormat="1" applyFont="1" applyFill="1" applyBorder="1" applyAlignment="1">
      <alignment horizontal="center" vertical="center" wrapText="1"/>
    </xf>
    <xf numFmtId="176" fontId="4" fillId="0" borderId="22" xfId="0" applyNumberFormat="1" applyFont="1" applyFill="1" applyBorder="1" applyAlignment="1">
      <alignment horizontal="left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176" fontId="4" fillId="5" borderId="16" xfId="0" applyNumberFormat="1" applyFont="1" applyFill="1" applyBorder="1" applyAlignment="1">
      <alignment horizontal="center" vertical="center" wrapText="1"/>
    </xf>
    <xf numFmtId="176" fontId="4" fillId="6" borderId="16" xfId="0" applyNumberFormat="1" applyFont="1" applyFill="1" applyBorder="1" applyAlignment="1">
      <alignment horizontal="center" vertical="center" wrapText="1"/>
    </xf>
    <xf numFmtId="176" fontId="4" fillId="6" borderId="26" xfId="0" applyNumberFormat="1" applyFont="1" applyFill="1" applyBorder="1" applyAlignment="1">
      <alignment horizontal="center" vertical="center" wrapText="1"/>
    </xf>
    <xf numFmtId="176" fontId="4" fillId="7" borderId="4" xfId="0" applyNumberFormat="1" applyFont="1" applyFill="1" applyBorder="1" applyAlignment="1">
      <alignment horizontal="center" vertical="center" wrapText="1"/>
    </xf>
    <xf numFmtId="176" fontId="4" fillId="8" borderId="17" xfId="0" applyNumberFormat="1" applyFont="1" applyFill="1" applyBorder="1" applyAlignment="1">
      <alignment horizontal="center" vertical="center" wrapText="1"/>
    </xf>
    <xf numFmtId="176" fontId="4" fillId="8" borderId="30" xfId="0" applyNumberFormat="1" applyFont="1" applyFill="1" applyBorder="1" applyAlignment="1">
      <alignment horizontal="center" vertical="center" wrapText="1"/>
    </xf>
    <xf numFmtId="176" fontId="4" fillId="4" borderId="24" xfId="0" applyNumberFormat="1" applyFont="1" applyFill="1" applyBorder="1" applyAlignment="1">
      <alignment horizontal="center" vertical="center" wrapText="1"/>
    </xf>
    <xf numFmtId="176" fontId="4" fillId="9" borderId="25" xfId="0" applyNumberFormat="1" applyFont="1" applyFill="1" applyBorder="1" applyAlignment="1">
      <alignment horizontal="center" vertical="center" wrapText="1"/>
    </xf>
    <xf numFmtId="176" fontId="4" fillId="10" borderId="15" xfId="0" applyNumberFormat="1" applyFont="1" applyFill="1" applyBorder="1" applyAlignment="1">
      <alignment horizontal="center" vertical="center" wrapText="1"/>
    </xf>
    <xf numFmtId="176" fontId="4" fillId="11" borderId="15" xfId="0" applyNumberFormat="1" applyFont="1" applyFill="1" applyBorder="1" applyAlignment="1">
      <alignment horizontal="center" vertical="center" wrapText="1"/>
    </xf>
    <xf numFmtId="176" fontId="4" fillId="0" borderId="13" xfId="0" applyNumberFormat="1" applyFont="1" applyBorder="1" applyAlignment="1">
      <alignment horizontal="center" vertical="center" wrapText="1"/>
    </xf>
    <xf numFmtId="176" fontId="4" fillId="0" borderId="9" xfId="0" applyNumberFormat="1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center" vertical="center" wrapText="1"/>
    </xf>
    <xf numFmtId="176" fontId="4" fillId="0" borderId="20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176" fontId="4" fillId="3" borderId="2" xfId="0" applyNumberFormat="1" applyFont="1" applyFill="1" applyBorder="1" applyAlignment="1">
      <alignment horizontal="center" vertical="center" wrapText="1"/>
    </xf>
    <xf numFmtId="176" fontId="4" fillId="3" borderId="14" xfId="0" applyNumberFormat="1" applyFont="1" applyFill="1" applyBorder="1" applyAlignment="1">
      <alignment horizontal="center" vertical="center" wrapText="1"/>
    </xf>
    <xf numFmtId="176" fontId="4" fillId="3" borderId="19" xfId="0" applyNumberFormat="1" applyFont="1" applyFill="1" applyBorder="1" applyAlignment="1">
      <alignment horizontal="center" vertical="center" wrapText="1"/>
    </xf>
    <xf numFmtId="176" fontId="4" fillId="3" borderId="7" xfId="0" applyNumberFormat="1" applyFont="1" applyFill="1" applyBorder="1" applyAlignment="1">
      <alignment horizontal="center" vertical="center" wrapText="1"/>
    </xf>
    <xf numFmtId="176" fontId="4" fillId="3" borderId="22" xfId="0" applyNumberFormat="1" applyFont="1" applyFill="1" applyBorder="1" applyAlignment="1">
      <alignment horizontal="center" vertical="center" wrapText="1"/>
    </xf>
    <xf numFmtId="176" fontId="4" fillId="0" borderId="16" xfId="0" applyNumberFormat="1" applyFont="1" applyBorder="1" applyAlignment="1">
      <alignment horizontal="center" vertical="center" wrapText="1"/>
    </xf>
    <xf numFmtId="176" fontId="4" fillId="0" borderId="14" xfId="0" applyNumberFormat="1" applyFont="1" applyBorder="1" applyAlignment="1">
      <alignment horizontal="center" vertical="center" wrapText="1"/>
    </xf>
    <xf numFmtId="176" fontId="4" fillId="0" borderId="15" xfId="0" applyNumberFormat="1" applyFont="1" applyBorder="1" applyAlignment="1">
      <alignment horizontal="center" vertical="center" wrapText="1"/>
    </xf>
    <xf numFmtId="176" fontId="4" fillId="0" borderId="21" xfId="0" applyNumberFormat="1" applyFont="1" applyBorder="1" applyAlignment="1">
      <alignment horizontal="center" vertical="center" wrapText="1"/>
    </xf>
    <xf numFmtId="176" fontId="4" fillId="0" borderId="26" xfId="0" applyNumberFormat="1" applyFont="1" applyBorder="1" applyAlignment="1">
      <alignment horizontal="center" vertical="center" wrapText="1"/>
    </xf>
    <xf numFmtId="176" fontId="4" fillId="0" borderId="29" xfId="0" applyNumberFormat="1" applyFont="1" applyBorder="1" applyAlignment="1">
      <alignment horizontal="center" vertical="center" wrapText="1"/>
    </xf>
    <xf numFmtId="176" fontId="4" fillId="0" borderId="33" xfId="0" applyNumberFormat="1" applyFont="1" applyBorder="1" applyAlignment="1">
      <alignment horizontal="center" vertical="center" wrapText="1"/>
    </xf>
    <xf numFmtId="176" fontId="4" fillId="0" borderId="24" xfId="0" applyNumberFormat="1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176" fontId="4" fillId="3" borderId="47" xfId="0" applyNumberFormat="1" applyFont="1" applyFill="1" applyBorder="1" applyAlignment="1">
      <alignment horizontal="center" vertical="center" shrinkToFit="1"/>
    </xf>
    <xf numFmtId="176" fontId="4" fillId="3" borderId="10" xfId="0" applyNumberFormat="1" applyFont="1" applyFill="1" applyBorder="1" applyAlignment="1">
      <alignment horizontal="center" vertical="center" wrapText="1"/>
    </xf>
    <xf numFmtId="176" fontId="4" fillId="3" borderId="9" xfId="0" applyNumberFormat="1" applyFont="1" applyFill="1" applyBorder="1" applyAlignment="1">
      <alignment horizontal="center" vertical="center" wrapText="1"/>
    </xf>
    <xf numFmtId="176" fontId="4" fillId="3" borderId="6" xfId="0" applyNumberFormat="1" applyFont="1" applyFill="1" applyBorder="1" applyAlignment="1">
      <alignment horizontal="center" vertical="center" wrapText="1"/>
    </xf>
    <xf numFmtId="176" fontId="4" fillId="0" borderId="17" xfId="0" applyNumberFormat="1" applyFont="1" applyFill="1" applyBorder="1" applyAlignment="1">
      <alignment horizontal="center" vertical="center" wrapText="1"/>
    </xf>
    <xf numFmtId="176" fontId="4" fillId="0" borderId="20" xfId="0" applyNumberFormat="1" applyFont="1" applyFill="1" applyBorder="1" applyAlignment="1">
      <alignment horizontal="center" vertical="center" wrapText="1" shrinkToFit="1"/>
    </xf>
    <xf numFmtId="176" fontId="4" fillId="0" borderId="21" xfId="0" applyNumberFormat="1" applyFont="1" applyFill="1" applyBorder="1" applyAlignment="1">
      <alignment horizontal="center" vertical="center" wrapText="1" shrinkToFit="1"/>
    </xf>
    <xf numFmtId="176" fontId="4" fillId="3" borderId="24" xfId="0" applyNumberFormat="1" applyFont="1" applyFill="1" applyBorder="1" applyAlignment="1">
      <alignment horizontal="center" vertical="center" wrapText="1"/>
    </xf>
    <xf numFmtId="176" fontId="4" fillId="3" borderId="21" xfId="0" applyNumberFormat="1" applyFont="1" applyFill="1" applyBorder="1" applyAlignment="1">
      <alignment horizontal="center" vertical="center" wrapText="1"/>
    </xf>
    <xf numFmtId="176" fontId="4" fillId="3" borderId="20" xfId="0" applyNumberFormat="1" applyFont="1" applyFill="1" applyBorder="1" applyAlignment="1">
      <alignment horizontal="center" vertical="center" wrapText="1"/>
    </xf>
    <xf numFmtId="176" fontId="4" fillId="12" borderId="25" xfId="0" applyNumberFormat="1" applyFont="1" applyFill="1" applyBorder="1" applyAlignment="1">
      <alignment horizontal="center" vertical="center" wrapText="1"/>
    </xf>
    <xf numFmtId="176" fontId="4" fillId="11" borderId="17" xfId="0" applyNumberFormat="1" applyFont="1" applyFill="1" applyBorder="1" applyAlignment="1">
      <alignment horizontal="center" vertical="center" wrapText="1"/>
    </xf>
    <xf numFmtId="176" fontId="4" fillId="13" borderId="17" xfId="0" applyNumberFormat="1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1" fillId="0" borderId="0" xfId="0" applyFont="1" applyBorder="1" applyAlignment="1">
      <alignment horizontal="right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176" fontId="8" fillId="2" borderId="2" xfId="0" applyNumberFormat="1" applyFont="1" applyFill="1" applyBorder="1" applyAlignment="1">
      <alignment horizontal="center" vertical="center" wrapText="1"/>
    </xf>
    <xf numFmtId="176" fontId="8" fillId="2" borderId="7" xfId="0" applyNumberFormat="1" applyFont="1" applyFill="1" applyBorder="1" applyAlignment="1">
      <alignment horizontal="center" vertical="center" wrapText="1"/>
    </xf>
    <xf numFmtId="176" fontId="8" fillId="2" borderId="3" xfId="0" applyNumberFormat="1" applyFont="1" applyFill="1" applyBorder="1" applyAlignment="1">
      <alignment horizontal="center" vertical="center" wrapText="1"/>
    </xf>
    <xf numFmtId="176" fontId="8" fillId="2" borderId="8" xfId="0" applyNumberFormat="1" applyFont="1" applyFill="1" applyBorder="1" applyAlignment="1">
      <alignment horizontal="center" vertical="center" wrapText="1"/>
    </xf>
    <xf numFmtId="176" fontId="8" fillId="2" borderId="1" xfId="0" applyNumberFormat="1" applyFont="1" applyFill="1" applyBorder="1" applyAlignment="1">
      <alignment horizontal="center" vertical="center" wrapText="1"/>
    </xf>
    <xf numFmtId="176" fontId="8" fillId="2" borderId="4" xfId="0" applyNumberFormat="1" applyFont="1" applyFill="1" applyBorder="1" applyAlignment="1">
      <alignment horizontal="center" vertical="center" wrapText="1"/>
    </xf>
    <xf numFmtId="176" fontId="8" fillId="2" borderId="5" xfId="0" applyNumberFormat="1" applyFont="1" applyFill="1" applyBorder="1" applyAlignment="1">
      <alignment horizontal="center" vertical="center" wrapText="1"/>
    </xf>
    <xf numFmtId="176" fontId="8" fillId="2" borderId="10" xfId="0" applyNumberFormat="1" applyFont="1" applyFill="1" applyBorder="1" applyAlignment="1">
      <alignment horizontal="center" vertical="center" wrapText="1"/>
    </xf>
    <xf numFmtId="176" fontId="8" fillId="2" borderId="9" xfId="0" applyNumberFormat="1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176" fontId="4" fillId="3" borderId="2" xfId="0" applyNumberFormat="1" applyFont="1" applyFill="1" applyBorder="1" applyAlignment="1">
      <alignment horizontal="center" vertical="center" wrapText="1"/>
    </xf>
    <xf numFmtId="176" fontId="4" fillId="3" borderId="14" xfId="0" applyNumberFormat="1" applyFont="1" applyFill="1" applyBorder="1" applyAlignment="1">
      <alignment horizontal="center" vertical="center" wrapText="1"/>
    </xf>
    <xf numFmtId="176" fontId="4" fillId="0" borderId="11" xfId="0" applyNumberFormat="1" applyFont="1" applyBorder="1" applyAlignment="1">
      <alignment horizontal="center" vertical="center" wrapText="1"/>
    </xf>
    <xf numFmtId="176" fontId="4" fillId="0" borderId="13" xfId="0" applyNumberFormat="1" applyFont="1" applyBorder="1" applyAlignment="1">
      <alignment horizontal="center" vertical="center" wrapText="1"/>
    </xf>
    <xf numFmtId="176" fontId="4" fillId="0" borderId="12" xfId="0" applyNumberFormat="1" applyFont="1" applyBorder="1" applyAlignment="1">
      <alignment horizontal="center" vertical="center" wrapText="1"/>
    </xf>
    <xf numFmtId="176" fontId="4" fillId="0" borderId="18" xfId="0" applyNumberFormat="1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center" vertical="center" wrapText="1"/>
    </xf>
    <xf numFmtId="176" fontId="4" fillId="0" borderId="9" xfId="0" applyNumberFormat="1" applyFont="1" applyBorder="1" applyAlignment="1">
      <alignment horizontal="center" vertical="center" wrapText="1"/>
    </xf>
    <xf numFmtId="176" fontId="4" fillId="3" borderId="7" xfId="0" applyNumberFormat="1" applyFont="1" applyFill="1" applyBorder="1" applyAlignment="1">
      <alignment horizontal="center" vertical="center" wrapText="1"/>
    </xf>
    <xf numFmtId="176" fontId="4" fillId="3" borderId="19" xfId="0" applyNumberFormat="1" applyFont="1" applyFill="1" applyBorder="1" applyAlignment="1">
      <alignment horizontal="center" vertical="center" wrapText="1"/>
    </xf>
    <xf numFmtId="176" fontId="4" fillId="3" borderId="22" xfId="0" applyNumberFormat="1" applyFont="1" applyFill="1" applyBorder="1" applyAlignment="1">
      <alignment horizontal="center" vertical="center" wrapText="1"/>
    </xf>
    <xf numFmtId="176" fontId="4" fillId="0" borderId="20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6" fontId="4" fillId="3" borderId="23" xfId="0" applyNumberFormat="1" applyFont="1" applyFill="1" applyBorder="1" applyAlignment="1">
      <alignment horizontal="center" vertical="center" wrapText="1"/>
    </xf>
    <xf numFmtId="176" fontId="4" fillId="0" borderId="21" xfId="0" applyNumberFormat="1" applyFont="1" applyBorder="1" applyAlignment="1">
      <alignment horizontal="center" vertical="center" wrapText="1"/>
    </xf>
    <xf numFmtId="176" fontId="4" fillId="4" borderId="36" xfId="0" applyNumberFormat="1" applyFont="1" applyFill="1" applyBorder="1" applyAlignment="1">
      <alignment horizontal="center" vertical="center" wrapText="1" shrinkToFit="1"/>
    </xf>
    <xf numFmtId="176" fontId="4" fillId="4" borderId="37" xfId="0" applyNumberFormat="1" applyFont="1" applyFill="1" applyBorder="1" applyAlignment="1">
      <alignment horizontal="center" vertical="center" wrapText="1" shrinkToFit="1"/>
    </xf>
    <xf numFmtId="176" fontId="4" fillId="4" borderId="48" xfId="0" applyNumberFormat="1" applyFont="1" applyFill="1" applyBorder="1" applyAlignment="1">
      <alignment horizontal="center" vertical="center" wrapText="1" shrinkToFit="1"/>
    </xf>
    <xf numFmtId="176" fontId="4" fillId="4" borderId="49" xfId="0" applyNumberFormat="1" applyFont="1" applyFill="1" applyBorder="1" applyAlignment="1">
      <alignment horizontal="center" vertical="center" wrapText="1" shrinkToFit="1"/>
    </xf>
    <xf numFmtId="176" fontId="4" fillId="3" borderId="7" xfId="0" applyNumberFormat="1" applyFont="1" applyFill="1" applyBorder="1" applyAlignment="1">
      <alignment horizontal="center" vertical="center" shrinkToFit="1"/>
    </xf>
    <xf numFmtId="176" fontId="4" fillId="3" borderId="22" xfId="0" applyNumberFormat="1" applyFont="1" applyFill="1" applyBorder="1" applyAlignment="1">
      <alignment horizontal="center" vertical="center" shrinkToFit="1"/>
    </xf>
    <xf numFmtId="0" fontId="4" fillId="3" borderId="31" xfId="0" applyFont="1" applyFill="1" applyBorder="1" applyAlignment="1">
      <alignment horizontal="center" vertical="center" wrapText="1"/>
    </xf>
    <xf numFmtId="176" fontId="4" fillId="0" borderId="31" xfId="0" applyNumberFormat="1" applyFont="1" applyBorder="1" applyAlignment="1">
      <alignment horizontal="center" vertical="center" wrapText="1"/>
    </xf>
    <xf numFmtId="176" fontId="4" fillId="5" borderId="6" xfId="0" applyNumberFormat="1" applyFont="1" applyFill="1" applyBorder="1" applyAlignment="1">
      <alignment horizontal="center" vertical="center" wrapText="1"/>
    </xf>
    <xf numFmtId="176" fontId="4" fillId="5" borderId="13" xfId="0" applyNumberFormat="1" applyFont="1" applyFill="1" applyBorder="1" applyAlignment="1">
      <alignment horizontal="center" vertical="center" wrapText="1"/>
    </xf>
    <xf numFmtId="176" fontId="4" fillId="5" borderId="20" xfId="0" applyNumberFormat="1" applyFont="1" applyFill="1" applyBorder="1" applyAlignment="1">
      <alignment horizontal="center" vertical="center" wrapText="1"/>
    </xf>
    <xf numFmtId="176" fontId="4" fillId="3" borderId="38" xfId="0" applyNumberFormat="1" applyFont="1" applyFill="1" applyBorder="1" applyAlignment="1">
      <alignment horizontal="center" vertical="center" wrapText="1"/>
    </xf>
    <xf numFmtId="176" fontId="4" fillId="7" borderId="9" xfId="0" applyNumberFormat="1" applyFont="1" applyFill="1" applyBorder="1" applyAlignment="1">
      <alignment horizontal="center" vertical="center" wrapText="1"/>
    </xf>
    <xf numFmtId="176" fontId="4" fillId="7" borderId="18" xfId="0" applyNumberFormat="1" applyFont="1" applyFill="1" applyBorder="1" applyAlignment="1">
      <alignment horizontal="center" vertical="center" wrapText="1"/>
    </xf>
    <xf numFmtId="176" fontId="4" fillId="7" borderId="21" xfId="0" applyNumberFormat="1" applyFont="1" applyFill="1" applyBorder="1" applyAlignment="1">
      <alignment horizontal="center" vertical="center" wrapText="1"/>
    </xf>
    <xf numFmtId="176" fontId="4" fillId="4" borderId="6" xfId="0" applyNumberFormat="1" applyFont="1" applyFill="1" applyBorder="1" applyAlignment="1">
      <alignment horizontal="center" vertical="center" wrapText="1"/>
    </xf>
    <xf numFmtId="176" fontId="4" fillId="4" borderId="13" xfId="0" applyNumberFormat="1" applyFont="1" applyFill="1" applyBorder="1" applyAlignment="1">
      <alignment horizontal="center" vertical="center" wrapText="1"/>
    </xf>
    <xf numFmtId="176" fontId="4" fillId="4" borderId="20" xfId="0" applyNumberFormat="1" applyFont="1" applyFill="1" applyBorder="1" applyAlignment="1">
      <alignment horizontal="center" vertical="center" wrapText="1"/>
    </xf>
    <xf numFmtId="176" fontId="4" fillId="3" borderId="19" xfId="0" applyNumberFormat="1" applyFont="1" applyFill="1" applyBorder="1" applyAlignment="1">
      <alignment horizontal="center" vertical="center" shrinkToFit="1"/>
    </xf>
    <xf numFmtId="176" fontId="4" fillId="10" borderId="9" xfId="0" applyNumberFormat="1" applyFont="1" applyFill="1" applyBorder="1" applyAlignment="1">
      <alignment horizontal="center" vertical="center" wrapText="1"/>
    </xf>
    <xf numFmtId="176" fontId="4" fillId="10" borderId="18" xfId="0" applyNumberFormat="1" applyFont="1" applyFill="1" applyBorder="1" applyAlignment="1">
      <alignment horizontal="center" vertical="center" wrapText="1"/>
    </xf>
    <xf numFmtId="176" fontId="4" fillId="10" borderId="21" xfId="0" applyNumberFormat="1" applyFont="1" applyFill="1" applyBorder="1" applyAlignment="1">
      <alignment horizontal="center" vertical="center" wrapText="1"/>
    </xf>
    <xf numFmtId="176" fontId="4" fillId="3" borderId="23" xfId="0" applyNumberFormat="1" applyFont="1" applyFill="1" applyBorder="1" applyAlignment="1">
      <alignment horizontal="center" vertical="center" shrinkToFit="1"/>
    </xf>
    <xf numFmtId="176" fontId="4" fillId="13" borderId="17" xfId="0" applyNumberFormat="1" applyFont="1" applyFill="1" applyBorder="1" applyAlignment="1">
      <alignment horizontal="center" vertical="center" wrapText="1"/>
    </xf>
    <xf numFmtId="176" fontId="4" fillId="13" borderId="30" xfId="0" applyNumberFormat="1" applyFont="1" applyFill="1" applyBorder="1" applyAlignment="1">
      <alignment horizontal="center" vertical="center" wrapText="1"/>
    </xf>
    <xf numFmtId="0" fontId="10" fillId="0" borderId="39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176" fontId="4" fillId="0" borderId="16" xfId="0" applyNumberFormat="1" applyFont="1" applyBorder="1" applyAlignment="1">
      <alignment horizontal="center" vertical="center" wrapText="1"/>
    </xf>
    <xf numFmtId="176" fontId="4" fillId="0" borderId="14" xfId="0" applyNumberFormat="1" applyFont="1" applyBorder="1" applyAlignment="1">
      <alignment horizontal="center" vertical="center" wrapText="1"/>
    </xf>
    <xf numFmtId="176" fontId="4" fillId="0" borderId="15" xfId="0" applyNumberFormat="1" applyFont="1" applyBorder="1" applyAlignment="1">
      <alignment horizontal="center" vertical="center" wrapText="1"/>
    </xf>
    <xf numFmtId="176" fontId="4" fillId="0" borderId="26" xfId="0" applyNumberFormat="1" applyFont="1" applyBorder="1" applyAlignment="1">
      <alignment horizontal="center" vertical="center" wrapText="1"/>
    </xf>
    <xf numFmtId="176" fontId="4" fillId="0" borderId="29" xfId="0" applyNumberFormat="1" applyFont="1" applyBorder="1" applyAlignment="1">
      <alignment horizontal="center" vertical="center" wrapText="1"/>
    </xf>
    <xf numFmtId="176" fontId="4" fillId="0" borderId="33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8D9F3"/>
      <color rgb="FFFFEBEB"/>
      <color rgb="FFD0FCD0"/>
      <color rgb="FFD0EEFC"/>
      <color rgb="FFFFE285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D0ABA-05CF-4A54-8FC6-764A72DB24E4}">
  <sheetPr>
    <pageSetUpPr fitToPage="1"/>
  </sheetPr>
  <dimension ref="A1:W93"/>
  <sheetViews>
    <sheetView tabSelected="1" topLeftCell="C1" zoomScale="70" zoomScaleNormal="70" workbookViewId="0">
      <selection sqref="A1:N1"/>
    </sheetView>
  </sheetViews>
  <sheetFormatPr defaultRowHeight="17.399999999999999" x14ac:dyDescent="0.4"/>
  <cols>
    <col min="2" max="2" width="17.69921875" customWidth="1"/>
    <col min="4" max="4" width="57.19921875" customWidth="1"/>
  </cols>
  <sheetData>
    <row r="1" spans="1:23" ht="25.2" x14ac:dyDescent="0.4">
      <c r="A1" s="109" t="s">
        <v>94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</row>
    <row r="2" spans="1:23" ht="26.4" customHeight="1" thickBot="1" x14ac:dyDescent="0.45">
      <c r="A2" s="110" t="s">
        <v>71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</row>
    <row r="3" spans="1:23" x14ac:dyDescent="0.4">
      <c r="A3" s="111" t="s">
        <v>0</v>
      </c>
      <c r="B3" s="113" t="s">
        <v>1</v>
      </c>
      <c r="C3" s="113" t="s">
        <v>2</v>
      </c>
      <c r="D3" s="113"/>
      <c r="E3" s="113" t="s">
        <v>3</v>
      </c>
      <c r="F3" s="115" t="s">
        <v>4</v>
      </c>
      <c r="G3" s="117" t="s">
        <v>5</v>
      </c>
      <c r="H3" s="118"/>
      <c r="I3" s="117" t="s">
        <v>6</v>
      </c>
      <c r="J3" s="118"/>
      <c r="K3" s="117" t="s">
        <v>7</v>
      </c>
      <c r="L3" s="118"/>
      <c r="M3" s="119" t="s">
        <v>8</v>
      </c>
      <c r="N3" s="118" t="s">
        <v>70</v>
      </c>
    </row>
    <row r="4" spans="1:23" ht="18" thickBot="1" x14ac:dyDescent="0.45">
      <c r="A4" s="112"/>
      <c r="B4" s="114"/>
      <c r="C4" s="114"/>
      <c r="D4" s="114"/>
      <c r="E4" s="114"/>
      <c r="F4" s="116"/>
      <c r="G4" s="41" t="s">
        <v>9</v>
      </c>
      <c r="H4" s="42" t="s">
        <v>10</v>
      </c>
      <c r="I4" s="41" t="s">
        <v>9</v>
      </c>
      <c r="J4" s="42" t="s">
        <v>10</v>
      </c>
      <c r="K4" s="41" t="s">
        <v>9</v>
      </c>
      <c r="L4" s="42" t="s">
        <v>10</v>
      </c>
      <c r="M4" s="120"/>
      <c r="N4" s="121"/>
    </row>
    <row r="5" spans="1:23" ht="25.2" customHeight="1" x14ac:dyDescent="0.4">
      <c r="A5" s="122" t="s">
        <v>11</v>
      </c>
      <c r="B5" s="124" t="s">
        <v>12</v>
      </c>
      <c r="C5" s="1" t="s">
        <v>13</v>
      </c>
      <c r="D5" s="23" t="s">
        <v>14</v>
      </c>
      <c r="E5" s="2">
        <v>4</v>
      </c>
      <c r="F5" s="3">
        <v>4</v>
      </c>
      <c r="G5" s="77">
        <v>4</v>
      </c>
      <c r="H5" s="4"/>
      <c r="I5" s="77"/>
      <c r="J5" s="4"/>
      <c r="K5" s="77"/>
      <c r="L5" s="4"/>
      <c r="M5" s="126">
        <v>8</v>
      </c>
      <c r="N5" s="128">
        <v>8</v>
      </c>
    </row>
    <row r="6" spans="1:23" ht="25.2" customHeight="1" x14ac:dyDescent="0.4">
      <c r="A6" s="123"/>
      <c r="B6" s="125"/>
      <c r="C6" s="5" t="s">
        <v>13</v>
      </c>
      <c r="D6" s="24" t="s">
        <v>93</v>
      </c>
      <c r="E6" s="6">
        <v>4</v>
      </c>
      <c r="F6" s="7">
        <v>4</v>
      </c>
      <c r="G6" s="85"/>
      <c r="H6" s="8">
        <v>4</v>
      </c>
      <c r="I6" s="85"/>
      <c r="J6" s="8"/>
      <c r="K6" s="85"/>
      <c r="L6" s="8"/>
      <c r="M6" s="127"/>
      <c r="N6" s="129"/>
      <c r="Q6" s="51"/>
      <c r="R6" s="51"/>
      <c r="S6" s="51"/>
      <c r="T6" s="51"/>
      <c r="U6" s="51"/>
      <c r="V6" s="51"/>
      <c r="W6" s="51"/>
    </row>
    <row r="7" spans="1:23" ht="25.2" customHeight="1" x14ac:dyDescent="0.4">
      <c r="A7" s="123"/>
      <c r="B7" s="125" t="s">
        <v>15</v>
      </c>
      <c r="C7" s="5" t="s">
        <v>13</v>
      </c>
      <c r="D7" s="24" t="s">
        <v>16</v>
      </c>
      <c r="E7" s="6">
        <v>4</v>
      </c>
      <c r="F7" s="7">
        <v>4</v>
      </c>
      <c r="G7" s="85">
        <v>4</v>
      </c>
      <c r="H7" s="8"/>
      <c r="I7" s="85"/>
      <c r="J7" s="8"/>
      <c r="K7" s="85"/>
      <c r="L7" s="8"/>
      <c r="M7" s="130">
        <v>8</v>
      </c>
      <c r="N7" s="131">
        <v>8</v>
      </c>
      <c r="Q7" s="51"/>
      <c r="R7" s="51"/>
      <c r="S7" s="51"/>
      <c r="T7" s="51"/>
      <c r="U7" s="51"/>
      <c r="V7" s="51"/>
      <c r="W7" s="51"/>
    </row>
    <row r="8" spans="1:23" ht="25.2" customHeight="1" x14ac:dyDescent="0.4">
      <c r="A8" s="123"/>
      <c r="B8" s="125"/>
      <c r="C8" s="5" t="s">
        <v>13</v>
      </c>
      <c r="D8" s="24" t="s">
        <v>17</v>
      </c>
      <c r="E8" s="6">
        <v>4</v>
      </c>
      <c r="F8" s="7">
        <v>4</v>
      </c>
      <c r="G8" s="85"/>
      <c r="H8" s="8">
        <v>4</v>
      </c>
      <c r="I8" s="85"/>
      <c r="J8" s="8"/>
      <c r="K8" s="85"/>
      <c r="L8" s="8"/>
      <c r="M8" s="127"/>
      <c r="N8" s="129"/>
      <c r="Q8" s="51"/>
      <c r="R8" s="51"/>
      <c r="S8" s="51"/>
      <c r="T8" s="51"/>
      <c r="U8" s="51"/>
      <c r="V8" s="51"/>
      <c r="W8" s="51"/>
    </row>
    <row r="9" spans="1:23" ht="25.2" customHeight="1" x14ac:dyDescent="0.4">
      <c r="A9" s="123"/>
      <c r="B9" s="125" t="s">
        <v>18</v>
      </c>
      <c r="C9" s="5" t="s">
        <v>13</v>
      </c>
      <c r="D9" s="24" t="s">
        <v>19</v>
      </c>
      <c r="E9" s="6">
        <v>4</v>
      </c>
      <c r="F9" s="7">
        <v>4</v>
      </c>
      <c r="G9" s="85">
        <v>4</v>
      </c>
      <c r="H9" s="8"/>
      <c r="I9" s="85"/>
      <c r="J9" s="8"/>
      <c r="K9" s="85"/>
      <c r="L9" s="8"/>
      <c r="M9" s="130">
        <v>8</v>
      </c>
      <c r="N9" s="131">
        <v>8</v>
      </c>
      <c r="Q9" s="51"/>
      <c r="R9" s="51"/>
      <c r="S9" s="51"/>
      <c r="T9" s="51"/>
      <c r="U9" s="51"/>
      <c r="V9" s="51"/>
      <c r="W9" s="51"/>
    </row>
    <row r="10" spans="1:23" ht="25.2" customHeight="1" x14ac:dyDescent="0.4">
      <c r="A10" s="123"/>
      <c r="B10" s="125"/>
      <c r="C10" s="5" t="s">
        <v>13</v>
      </c>
      <c r="D10" s="24" t="s">
        <v>20</v>
      </c>
      <c r="E10" s="6">
        <v>4</v>
      </c>
      <c r="F10" s="7">
        <v>4</v>
      </c>
      <c r="G10" s="85"/>
      <c r="H10" s="8">
        <v>4</v>
      </c>
      <c r="I10" s="9"/>
      <c r="J10" s="10"/>
      <c r="K10" s="9"/>
      <c r="L10" s="10"/>
      <c r="M10" s="127"/>
      <c r="N10" s="129"/>
      <c r="Q10" s="51"/>
      <c r="R10" s="51"/>
      <c r="S10" s="51"/>
      <c r="T10" s="51"/>
      <c r="U10" s="51"/>
      <c r="V10" s="51"/>
      <c r="W10" s="51"/>
    </row>
    <row r="11" spans="1:23" ht="25.2" customHeight="1" x14ac:dyDescent="0.4">
      <c r="A11" s="123"/>
      <c r="B11" s="132" t="s">
        <v>21</v>
      </c>
      <c r="C11" s="5" t="s">
        <v>13</v>
      </c>
      <c r="D11" s="25" t="s">
        <v>22</v>
      </c>
      <c r="E11" s="6">
        <v>4</v>
      </c>
      <c r="F11" s="7">
        <v>4</v>
      </c>
      <c r="G11" s="85">
        <v>4</v>
      </c>
      <c r="H11" s="8"/>
      <c r="I11" s="9"/>
      <c r="J11" s="10"/>
      <c r="K11" s="9"/>
      <c r="L11" s="10"/>
      <c r="M11" s="130">
        <v>8</v>
      </c>
      <c r="N11" s="136">
        <v>8</v>
      </c>
      <c r="Q11" s="51"/>
      <c r="R11" s="51"/>
      <c r="S11" s="51"/>
      <c r="T11" s="51"/>
      <c r="U11" s="51"/>
      <c r="V11" s="51"/>
      <c r="W11" s="51"/>
    </row>
    <row r="12" spans="1:23" ht="25.2" customHeight="1" x14ac:dyDescent="0.4">
      <c r="A12" s="123"/>
      <c r="B12" s="133"/>
      <c r="C12" s="5" t="s">
        <v>13</v>
      </c>
      <c r="D12" s="25" t="s">
        <v>23</v>
      </c>
      <c r="E12" s="6">
        <v>4</v>
      </c>
      <c r="F12" s="7">
        <v>4</v>
      </c>
      <c r="G12" s="85"/>
      <c r="H12" s="8">
        <v>4</v>
      </c>
      <c r="I12" s="9"/>
      <c r="J12" s="10"/>
      <c r="K12" s="9"/>
      <c r="L12" s="10"/>
      <c r="M12" s="135"/>
      <c r="N12" s="137"/>
      <c r="Q12" s="51"/>
      <c r="R12" s="51"/>
      <c r="S12" s="51"/>
      <c r="T12" s="51"/>
      <c r="U12" s="51"/>
      <c r="V12" s="51"/>
      <c r="W12" s="51"/>
    </row>
    <row r="13" spans="1:23" ht="25.2" customHeight="1" x14ac:dyDescent="0.4">
      <c r="A13" s="123"/>
      <c r="B13" s="133"/>
      <c r="C13" s="5" t="s">
        <v>13</v>
      </c>
      <c r="D13" s="24" t="s">
        <v>24</v>
      </c>
      <c r="E13" s="6">
        <v>3</v>
      </c>
      <c r="F13" s="7">
        <v>3</v>
      </c>
      <c r="G13" s="85">
        <v>3</v>
      </c>
      <c r="H13" s="8"/>
      <c r="I13" s="9"/>
      <c r="J13" s="10"/>
      <c r="K13" s="9"/>
      <c r="L13" s="10"/>
      <c r="M13" s="130">
        <v>6</v>
      </c>
      <c r="N13" s="136">
        <v>6</v>
      </c>
      <c r="Q13" s="51"/>
      <c r="R13" s="51"/>
      <c r="S13" s="51"/>
      <c r="T13" s="51"/>
      <c r="U13" s="51"/>
      <c r="V13" s="51"/>
      <c r="W13" s="51"/>
    </row>
    <row r="14" spans="1:23" ht="25.2" customHeight="1" x14ac:dyDescent="0.4">
      <c r="A14" s="123"/>
      <c r="B14" s="134"/>
      <c r="C14" s="5" t="s">
        <v>13</v>
      </c>
      <c r="D14" s="24" t="s">
        <v>25</v>
      </c>
      <c r="E14" s="6">
        <v>3</v>
      </c>
      <c r="F14" s="7">
        <v>3</v>
      </c>
      <c r="G14" s="85"/>
      <c r="H14" s="8">
        <v>3</v>
      </c>
      <c r="I14" s="9"/>
      <c r="J14" s="10"/>
      <c r="K14" s="9"/>
      <c r="L14" s="10"/>
      <c r="M14" s="135"/>
      <c r="N14" s="137"/>
      <c r="Q14" s="51"/>
      <c r="R14" s="51"/>
      <c r="S14" s="51"/>
      <c r="T14" s="51"/>
      <c r="U14" s="51"/>
      <c r="V14" s="51"/>
      <c r="W14" s="51"/>
    </row>
    <row r="15" spans="1:23" ht="25.2" customHeight="1" x14ac:dyDescent="0.4">
      <c r="A15" s="123"/>
      <c r="B15" s="132" t="s">
        <v>26</v>
      </c>
      <c r="C15" s="5" t="s">
        <v>13</v>
      </c>
      <c r="D15" s="26" t="s">
        <v>27</v>
      </c>
      <c r="E15" s="6">
        <v>4</v>
      </c>
      <c r="F15" s="7">
        <v>4</v>
      </c>
      <c r="G15" s="85">
        <v>4</v>
      </c>
      <c r="H15" s="8"/>
      <c r="I15" s="9"/>
      <c r="J15" s="10"/>
      <c r="K15" s="9"/>
      <c r="L15" s="10"/>
      <c r="M15" s="130">
        <v>10</v>
      </c>
      <c r="N15" s="131">
        <v>10</v>
      </c>
      <c r="Q15" s="51"/>
      <c r="R15" s="51"/>
      <c r="S15" s="51"/>
      <c r="T15" s="51"/>
      <c r="U15" s="51"/>
      <c r="V15" s="51"/>
      <c r="W15" s="51"/>
    </row>
    <row r="16" spans="1:23" ht="25.2" customHeight="1" x14ac:dyDescent="0.4">
      <c r="A16" s="123"/>
      <c r="B16" s="133"/>
      <c r="C16" s="5" t="s">
        <v>13</v>
      </c>
      <c r="D16" s="26" t="s">
        <v>28</v>
      </c>
      <c r="E16" s="6">
        <v>4</v>
      </c>
      <c r="F16" s="7">
        <v>4</v>
      </c>
      <c r="G16" s="85"/>
      <c r="H16" s="8">
        <v>4</v>
      </c>
      <c r="I16" s="9"/>
      <c r="J16" s="10"/>
      <c r="K16" s="9"/>
      <c r="L16" s="10"/>
      <c r="M16" s="127"/>
      <c r="N16" s="129"/>
      <c r="Q16" s="51"/>
      <c r="R16" s="51"/>
      <c r="S16" s="51"/>
      <c r="T16" s="51"/>
      <c r="U16" s="51"/>
      <c r="V16" s="51"/>
      <c r="W16" s="51"/>
    </row>
    <row r="17" spans="1:23" ht="25.2" customHeight="1" x14ac:dyDescent="0.4">
      <c r="A17" s="123"/>
      <c r="B17" s="133"/>
      <c r="C17" s="5" t="s">
        <v>13</v>
      </c>
      <c r="D17" s="26" t="s">
        <v>29</v>
      </c>
      <c r="E17" s="6">
        <v>1</v>
      </c>
      <c r="F17" s="7">
        <v>1</v>
      </c>
      <c r="G17" s="85">
        <v>1</v>
      </c>
      <c r="H17" s="8"/>
      <c r="I17" s="9"/>
      <c r="J17" s="10"/>
      <c r="K17" s="9"/>
      <c r="L17" s="10"/>
      <c r="M17" s="127"/>
      <c r="N17" s="129"/>
      <c r="Q17" s="51"/>
      <c r="R17" s="51"/>
      <c r="S17" s="51"/>
      <c r="T17" s="51"/>
      <c r="U17" s="51"/>
      <c r="V17" s="51"/>
      <c r="W17" s="51"/>
    </row>
    <row r="18" spans="1:23" ht="25.2" customHeight="1" x14ac:dyDescent="0.4">
      <c r="A18" s="123"/>
      <c r="B18" s="134"/>
      <c r="C18" s="5" t="s">
        <v>13</v>
      </c>
      <c r="D18" s="26" t="s">
        <v>30</v>
      </c>
      <c r="E18" s="6">
        <v>1</v>
      </c>
      <c r="F18" s="7">
        <v>1</v>
      </c>
      <c r="G18" s="85"/>
      <c r="H18" s="8">
        <v>1</v>
      </c>
      <c r="I18" s="9"/>
      <c r="J18" s="10"/>
      <c r="K18" s="9"/>
      <c r="L18" s="10"/>
      <c r="M18" s="135"/>
      <c r="N18" s="139"/>
      <c r="Q18" s="51"/>
      <c r="R18" s="51"/>
      <c r="S18" s="51"/>
      <c r="T18" s="51"/>
      <c r="U18" s="51"/>
      <c r="V18" s="51"/>
      <c r="W18" s="51"/>
    </row>
    <row r="19" spans="1:23" ht="25.2" customHeight="1" x14ac:dyDescent="0.4">
      <c r="A19" s="123"/>
      <c r="B19" s="132" t="s">
        <v>31</v>
      </c>
      <c r="C19" s="5" t="s">
        <v>32</v>
      </c>
      <c r="D19" s="26" t="s">
        <v>33</v>
      </c>
      <c r="E19" s="6">
        <v>3</v>
      </c>
      <c r="F19" s="7">
        <v>2</v>
      </c>
      <c r="G19" s="9">
        <v>2</v>
      </c>
      <c r="H19" s="10"/>
      <c r="I19" s="9"/>
      <c r="J19" s="10"/>
      <c r="K19" s="9"/>
      <c r="L19" s="10"/>
      <c r="M19" s="130">
        <f>SUM(G19:L24)</f>
        <v>10</v>
      </c>
      <c r="N19" s="131">
        <v>10</v>
      </c>
      <c r="Q19" s="51"/>
      <c r="R19" s="51"/>
      <c r="S19" s="51"/>
      <c r="T19" s="51"/>
      <c r="U19" s="51"/>
      <c r="V19" s="51"/>
      <c r="W19" s="51"/>
    </row>
    <row r="20" spans="1:23" ht="25.2" customHeight="1" x14ac:dyDescent="0.4">
      <c r="A20" s="123"/>
      <c r="B20" s="133"/>
      <c r="C20" s="5" t="s">
        <v>32</v>
      </c>
      <c r="D20" s="26" t="s">
        <v>34</v>
      </c>
      <c r="E20" s="11">
        <v>3</v>
      </c>
      <c r="F20" s="12">
        <v>2</v>
      </c>
      <c r="G20" s="85"/>
      <c r="H20" s="8">
        <v>2</v>
      </c>
      <c r="I20" s="85"/>
      <c r="J20" s="8"/>
      <c r="K20" s="85"/>
      <c r="L20" s="8"/>
      <c r="M20" s="127"/>
      <c r="N20" s="129"/>
      <c r="Q20" s="51"/>
      <c r="R20" s="51"/>
      <c r="S20" s="51"/>
      <c r="T20" s="51"/>
      <c r="U20" s="51"/>
      <c r="V20" s="51"/>
      <c r="W20" s="51"/>
    </row>
    <row r="21" spans="1:23" ht="25.2" customHeight="1" x14ac:dyDescent="0.4">
      <c r="A21" s="123"/>
      <c r="B21" s="133"/>
      <c r="C21" s="5" t="s">
        <v>35</v>
      </c>
      <c r="D21" s="26" t="s">
        <v>36</v>
      </c>
      <c r="E21" s="11">
        <v>2</v>
      </c>
      <c r="F21" s="7">
        <v>1</v>
      </c>
      <c r="G21" s="9"/>
      <c r="H21" s="10"/>
      <c r="I21" s="85">
        <v>1</v>
      </c>
      <c r="J21" s="8"/>
      <c r="K21" s="85"/>
      <c r="L21" s="8"/>
      <c r="M21" s="127"/>
      <c r="N21" s="129"/>
      <c r="Q21" s="51"/>
      <c r="R21" s="51"/>
      <c r="S21" s="51"/>
      <c r="T21" s="51"/>
      <c r="U21" s="51"/>
      <c r="V21" s="51"/>
      <c r="W21" s="51"/>
    </row>
    <row r="22" spans="1:23" ht="25.2" customHeight="1" x14ac:dyDescent="0.4">
      <c r="A22" s="123"/>
      <c r="B22" s="133"/>
      <c r="C22" s="5" t="s">
        <v>38</v>
      </c>
      <c r="D22" s="26" t="s">
        <v>103</v>
      </c>
      <c r="E22" s="11">
        <v>2</v>
      </c>
      <c r="F22" s="7">
        <v>1</v>
      </c>
      <c r="G22" s="9"/>
      <c r="H22" s="10"/>
      <c r="I22" s="85"/>
      <c r="J22" s="8">
        <v>1</v>
      </c>
      <c r="K22" s="85"/>
      <c r="L22" s="8"/>
      <c r="M22" s="127"/>
      <c r="N22" s="129"/>
      <c r="Q22" s="51"/>
      <c r="R22" s="51"/>
      <c r="S22" s="51"/>
      <c r="T22" s="51"/>
      <c r="U22" s="51"/>
      <c r="V22" s="51"/>
      <c r="W22" s="51"/>
    </row>
    <row r="23" spans="1:23" ht="25.2" customHeight="1" x14ac:dyDescent="0.4">
      <c r="A23" s="123"/>
      <c r="B23" s="133"/>
      <c r="C23" s="5" t="s">
        <v>35</v>
      </c>
      <c r="D23" s="26" t="s">
        <v>37</v>
      </c>
      <c r="E23" s="11">
        <v>3</v>
      </c>
      <c r="F23" s="7">
        <v>2</v>
      </c>
      <c r="G23" s="85"/>
      <c r="H23" s="8"/>
      <c r="I23" s="85"/>
      <c r="J23" s="8"/>
      <c r="K23" s="85">
        <v>2</v>
      </c>
      <c r="L23" s="8"/>
      <c r="M23" s="127"/>
      <c r="N23" s="129"/>
      <c r="Q23" s="51"/>
      <c r="R23" s="51"/>
      <c r="S23" s="51"/>
      <c r="T23" s="51"/>
      <c r="U23" s="51"/>
      <c r="V23" s="51"/>
      <c r="W23" s="51"/>
    </row>
    <row r="24" spans="1:23" ht="25.2" customHeight="1" thickBot="1" x14ac:dyDescent="0.45">
      <c r="A24" s="123"/>
      <c r="B24" s="134"/>
      <c r="C24" s="5" t="s">
        <v>35</v>
      </c>
      <c r="D24" s="26" t="s">
        <v>39</v>
      </c>
      <c r="E24" s="11">
        <v>3</v>
      </c>
      <c r="F24" s="7">
        <v>2</v>
      </c>
      <c r="G24" s="75"/>
      <c r="H24" s="74"/>
      <c r="I24" s="85"/>
      <c r="J24" s="8"/>
      <c r="K24" s="85"/>
      <c r="L24" s="8">
        <v>2</v>
      </c>
      <c r="M24" s="135"/>
      <c r="N24" s="139"/>
      <c r="Q24" s="51"/>
      <c r="R24" s="51"/>
      <c r="S24" s="51"/>
      <c r="T24" s="51"/>
      <c r="U24" s="51"/>
      <c r="V24" s="51"/>
      <c r="W24" s="51"/>
    </row>
    <row r="25" spans="1:23" ht="25.2" customHeight="1" thickTop="1" thickBot="1" x14ac:dyDescent="0.45">
      <c r="A25" s="123"/>
      <c r="B25" s="132" t="s">
        <v>40</v>
      </c>
      <c r="C25" s="5" t="s">
        <v>32</v>
      </c>
      <c r="D25" s="26" t="s">
        <v>41</v>
      </c>
      <c r="E25" s="6">
        <v>3</v>
      </c>
      <c r="F25" s="7">
        <v>3</v>
      </c>
      <c r="G25" s="140" t="s">
        <v>74</v>
      </c>
      <c r="H25" s="141"/>
      <c r="I25" s="55"/>
      <c r="J25" s="10"/>
      <c r="K25" s="9"/>
      <c r="L25" s="10"/>
      <c r="M25" s="130">
        <v>8</v>
      </c>
      <c r="N25" s="131">
        <v>10</v>
      </c>
      <c r="Q25" s="51"/>
      <c r="R25" s="51"/>
      <c r="S25" s="51"/>
      <c r="T25" s="51"/>
      <c r="U25" s="51"/>
      <c r="V25" s="51"/>
      <c r="W25" s="51"/>
    </row>
    <row r="26" spans="1:23" ht="25.2" customHeight="1" thickTop="1" thickBot="1" x14ac:dyDescent="0.45">
      <c r="A26" s="123"/>
      <c r="B26" s="133"/>
      <c r="C26" s="5" t="s">
        <v>32</v>
      </c>
      <c r="D26" s="26" t="s">
        <v>42</v>
      </c>
      <c r="E26" s="93">
        <v>3</v>
      </c>
      <c r="F26" s="94">
        <v>3</v>
      </c>
      <c r="G26" s="35">
        <v>2</v>
      </c>
      <c r="H26" s="95">
        <v>2</v>
      </c>
      <c r="I26" s="96"/>
      <c r="J26" s="97"/>
      <c r="K26" s="98"/>
      <c r="L26" s="97"/>
      <c r="M26" s="127"/>
      <c r="N26" s="129"/>
      <c r="Q26" s="51"/>
      <c r="R26" s="51"/>
      <c r="S26" s="51"/>
      <c r="T26" s="51"/>
      <c r="U26" s="51"/>
      <c r="V26" s="51"/>
      <c r="W26" s="51"/>
    </row>
    <row r="27" spans="1:23" ht="25.2" customHeight="1" thickTop="1" thickBot="1" x14ac:dyDescent="0.45">
      <c r="A27" s="123"/>
      <c r="B27" s="133"/>
      <c r="C27" s="48" t="s">
        <v>35</v>
      </c>
      <c r="D27" s="33" t="s">
        <v>73</v>
      </c>
      <c r="E27" s="6">
        <v>3</v>
      </c>
      <c r="F27" s="15">
        <v>2</v>
      </c>
      <c r="G27" s="92"/>
      <c r="H27" s="16"/>
      <c r="I27" s="142" t="s">
        <v>74</v>
      </c>
      <c r="J27" s="143"/>
      <c r="K27" s="20"/>
      <c r="L27" s="99"/>
      <c r="M27" s="127"/>
      <c r="N27" s="129"/>
    </row>
    <row r="28" spans="1:23" ht="25.2" customHeight="1" thickTop="1" thickBot="1" x14ac:dyDescent="0.45">
      <c r="A28" s="123"/>
      <c r="B28" s="134"/>
      <c r="C28" s="17" t="s">
        <v>35</v>
      </c>
      <c r="D28" s="34" t="s">
        <v>63</v>
      </c>
      <c r="E28" s="6">
        <v>3</v>
      </c>
      <c r="F28" s="15">
        <v>2</v>
      </c>
      <c r="G28" s="20"/>
      <c r="H28" s="87"/>
      <c r="I28" s="35">
        <v>2</v>
      </c>
      <c r="J28" s="95">
        <v>2</v>
      </c>
      <c r="K28" s="20"/>
      <c r="L28" s="99"/>
      <c r="M28" s="135"/>
      <c r="N28" s="139"/>
    </row>
    <row r="29" spans="1:23" ht="25.2" customHeight="1" thickTop="1" x14ac:dyDescent="0.4">
      <c r="A29" s="123"/>
      <c r="B29" s="133" t="s">
        <v>62</v>
      </c>
      <c r="C29" s="5" t="s">
        <v>32</v>
      </c>
      <c r="D29" s="26" t="s">
        <v>95</v>
      </c>
      <c r="E29" s="49">
        <v>3</v>
      </c>
      <c r="F29" s="13">
        <v>2</v>
      </c>
      <c r="G29" s="100">
        <v>2</v>
      </c>
      <c r="H29" s="101"/>
      <c r="I29" s="102"/>
      <c r="J29" s="103"/>
      <c r="K29" s="104"/>
      <c r="L29" s="103"/>
      <c r="M29" s="127">
        <v>4</v>
      </c>
      <c r="N29" s="129">
        <v>16</v>
      </c>
      <c r="Q29" s="51"/>
      <c r="R29" s="51"/>
      <c r="S29" s="51"/>
      <c r="T29" s="51"/>
      <c r="U29" s="51"/>
      <c r="V29" s="51"/>
      <c r="W29" s="51"/>
    </row>
    <row r="30" spans="1:23" ht="25.2" customHeight="1" thickBot="1" x14ac:dyDescent="0.45">
      <c r="A30" s="123"/>
      <c r="B30" s="138"/>
      <c r="C30" s="5" t="s">
        <v>38</v>
      </c>
      <c r="D30" s="26" t="s">
        <v>114</v>
      </c>
      <c r="E30" s="6">
        <v>3</v>
      </c>
      <c r="F30" s="7">
        <v>2</v>
      </c>
      <c r="G30" s="56"/>
      <c r="H30" s="57">
        <v>2</v>
      </c>
      <c r="I30" s="54"/>
      <c r="J30" s="53"/>
      <c r="K30" s="54"/>
      <c r="L30" s="53"/>
      <c r="M30" s="135"/>
      <c r="N30" s="129"/>
      <c r="Q30" s="51"/>
      <c r="R30" s="51"/>
      <c r="S30" s="51"/>
      <c r="T30" s="51"/>
      <c r="U30" s="51"/>
      <c r="V30" s="51"/>
      <c r="W30" s="51"/>
    </row>
    <row r="31" spans="1:23" ht="25.2" customHeight="1" x14ac:dyDescent="0.4">
      <c r="A31" s="122" t="s">
        <v>45</v>
      </c>
      <c r="B31" s="80" t="s">
        <v>46</v>
      </c>
      <c r="C31" s="1" t="s">
        <v>43</v>
      </c>
      <c r="D31" s="27" t="s">
        <v>47</v>
      </c>
      <c r="E31" s="2">
        <v>4</v>
      </c>
      <c r="F31" s="3">
        <v>4</v>
      </c>
      <c r="G31" s="76"/>
      <c r="H31" s="88"/>
      <c r="I31" s="63" t="s">
        <v>97</v>
      </c>
      <c r="J31" s="8"/>
      <c r="K31" s="20"/>
      <c r="L31" s="87"/>
      <c r="M31" s="126"/>
      <c r="N31" s="128"/>
      <c r="Q31" s="51"/>
      <c r="R31" s="51"/>
      <c r="S31" s="51"/>
      <c r="T31" s="51"/>
      <c r="U31" s="51"/>
      <c r="V31" s="51"/>
      <c r="W31" s="51"/>
    </row>
    <row r="32" spans="1:23" ht="25.2" customHeight="1" x14ac:dyDescent="0.4">
      <c r="A32" s="123"/>
      <c r="B32" s="132" t="s">
        <v>48</v>
      </c>
      <c r="C32" s="5" t="s">
        <v>43</v>
      </c>
      <c r="D32" s="45" t="s">
        <v>77</v>
      </c>
      <c r="E32" s="6">
        <v>4</v>
      </c>
      <c r="F32" s="7">
        <v>4</v>
      </c>
      <c r="G32" s="85"/>
      <c r="H32" s="8"/>
      <c r="I32" s="148" t="s">
        <v>108</v>
      </c>
      <c r="J32" s="8"/>
      <c r="K32" s="20"/>
      <c r="L32" s="87"/>
      <c r="M32" s="127"/>
      <c r="N32" s="129"/>
      <c r="Q32" s="51"/>
      <c r="R32" s="51"/>
      <c r="S32" s="51"/>
      <c r="T32" s="51"/>
      <c r="U32" s="51"/>
      <c r="V32" s="51"/>
      <c r="W32" s="51"/>
    </row>
    <row r="33" spans="1:23" ht="25.2" customHeight="1" x14ac:dyDescent="0.4">
      <c r="A33" s="123"/>
      <c r="B33" s="134"/>
      <c r="C33" s="5" t="s">
        <v>35</v>
      </c>
      <c r="D33" s="45" t="s">
        <v>107</v>
      </c>
      <c r="E33" s="6">
        <v>4</v>
      </c>
      <c r="F33" s="7">
        <v>4</v>
      </c>
      <c r="G33" s="85"/>
      <c r="H33" s="8"/>
      <c r="I33" s="149"/>
      <c r="J33" s="8"/>
      <c r="K33" s="20"/>
      <c r="L33" s="87"/>
      <c r="M33" s="127"/>
      <c r="N33" s="129"/>
      <c r="Q33" s="51"/>
      <c r="R33" s="51"/>
      <c r="S33" s="51"/>
      <c r="T33" s="51"/>
      <c r="U33" s="51"/>
      <c r="V33" s="51"/>
      <c r="W33" s="51"/>
    </row>
    <row r="34" spans="1:23" ht="25.2" customHeight="1" x14ac:dyDescent="0.4">
      <c r="A34" s="123"/>
      <c r="B34" s="83" t="s">
        <v>49</v>
      </c>
      <c r="C34" s="5" t="s">
        <v>43</v>
      </c>
      <c r="D34" s="28" t="s">
        <v>50</v>
      </c>
      <c r="E34" s="6">
        <v>4</v>
      </c>
      <c r="F34" s="7">
        <v>4</v>
      </c>
      <c r="G34" s="85"/>
      <c r="H34" s="8"/>
      <c r="I34" s="149"/>
      <c r="J34" s="8"/>
      <c r="K34" s="20"/>
      <c r="L34" s="87"/>
      <c r="M34" s="127"/>
      <c r="N34" s="129"/>
      <c r="Q34" s="51"/>
      <c r="R34" s="51"/>
      <c r="S34" s="51"/>
      <c r="T34" s="51"/>
      <c r="U34" s="51"/>
      <c r="V34" s="51"/>
      <c r="W34" s="51"/>
    </row>
    <row r="35" spans="1:23" ht="25.2" customHeight="1" x14ac:dyDescent="0.4">
      <c r="A35" s="123"/>
      <c r="B35" s="83" t="s">
        <v>60</v>
      </c>
      <c r="C35" s="48" t="s">
        <v>43</v>
      </c>
      <c r="D35" s="29" t="s">
        <v>78</v>
      </c>
      <c r="E35" s="49">
        <v>4</v>
      </c>
      <c r="F35" s="13">
        <v>4</v>
      </c>
      <c r="G35" s="85"/>
      <c r="H35" s="8"/>
      <c r="I35" s="149"/>
      <c r="J35" s="8"/>
      <c r="K35" s="20"/>
      <c r="L35" s="87"/>
      <c r="M35" s="127"/>
      <c r="N35" s="129"/>
    </row>
    <row r="36" spans="1:23" ht="25.2" customHeight="1" x14ac:dyDescent="0.4">
      <c r="A36" s="123"/>
      <c r="B36" s="81" t="s">
        <v>26</v>
      </c>
      <c r="C36" s="5" t="s">
        <v>43</v>
      </c>
      <c r="D36" s="30" t="s">
        <v>51</v>
      </c>
      <c r="E36" s="6">
        <v>4</v>
      </c>
      <c r="F36" s="7">
        <v>4</v>
      </c>
      <c r="G36" s="85"/>
      <c r="H36" s="8"/>
      <c r="I36" s="150"/>
      <c r="J36" s="8"/>
      <c r="K36" s="20"/>
      <c r="L36" s="87"/>
      <c r="M36" s="127"/>
      <c r="N36" s="129"/>
    </row>
    <row r="37" spans="1:23" ht="25.2" customHeight="1" x14ac:dyDescent="0.4">
      <c r="A37" s="123"/>
      <c r="B37" s="83" t="s">
        <v>52</v>
      </c>
      <c r="C37" s="5" t="s">
        <v>43</v>
      </c>
      <c r="D37" s="24" t="s">
        <v>115</v>
      </c>
      <c r="E37" s="6">
        <v>4</v>
      </c>
      <c r="F37" s="7">
        <v>4</v>
      </c>
      <c r="G37" s="85"/>
      <c r="H37" s="8"/>
      <c r="I37" s="64" t="s">
        <v>98</v>
      </c>
      <c r="J37" s="8"/>
      <c r="K37" s="20"/>
      <c r="L37" s="87"/>
      <c r="M37" s="127"/>
      <c r="N37" s="129"/>
    </row>
    <row r="38" spans="1:23" ht="25.2" customHeight="1" thickBot="1" x14ac:dyDescent="0.45">
      <c r="A38" s="123"/>
      <c r="B38" s="50" t="s">
        <v>53</v>
      </c>
      <c r="C38" s="36" t="s">
        <v>32</v>
      </c>
      <c r="D38" s="37" t="s">
        <v>44</v>
      </c>
      <c r="E38" s="18">
        <v>4</v>
      </c>
      <c r="F38" s="38">
        <v>4</v>
      </c>
      <c r="G38" s="89"/>
      <c r="H38" s="21"/>
      <c r="I38" s="65">
        <v>3</v>
      </c>
      <c r="J38" s="21"/>
      <c r="K38" s="22"/>
      <c r="L38" s="91"/>
      <c r="M38" s="147"/>
      <c r="N38" s="129"/>
    </row>
    <row r="39" spans="1:23" ht="25.2" customHeight="1" x14ac:dyDescent="0.4">
      <c r="A39" s="123"/>
      <c r="B39" s="151" t="s">
        <v>46</v>
      </c>
      <c r="C39" s="1" t="s">
        <v>43</v>
      </c>
      <c r="D39" s="23" t="s">
        <v>55</v>
      </c>
      <c r="E39" s="2">
        <v>4</v>
      </c>
      <c r="F39" s="3">
        <v>4</v>
      </c>
      <c r="G39" s="77"/>
      <c r="H39" s="4"/>
      <c r="I39" s="77"/>
      <c r="J39" s="66" t="s">
        <v>97</v>
      </c>
      <c r="K39" s="19"/>
      <c r="L39" s="79"/>
      <c r="M39" s="126"/>
      <c r="N39" s="129"/>
    </row>
    <row r="40" spans="1:23" ht="25.2" customHeight="1" x14ac:dyDescent="0.4">
      <c r="A40" s="123"/>
      <c r="B40" s="134"/>
      <c r="C40" s="48" t="s">
        <v>38</v>
      </c>
      <c r="D40" s="59" t="s">
        <v>105</v>
      </c>
      <c r="E40" s="49">
        <v>4</v>
      </c>
      <c r="F40" s="13">
        <v>4</v>
      </c>
      <c r="G40" s="76"/>
      <c r="H40" s="88"/>
      <c r="I40" s="76"/>
      <c r="J40" s="152" t="s">
        <v>108</v>
      </c>
      <c r="K40" s="92"/>
      <c r="L40" s="16"/>
      <c r="M40" s="127"/>
      <c r="N40" s="129"/>
    </row>
    <row r="41" spans="1:23" ht="25.2" customHeight="1" x14ac:dyDescent="0.4">
      <c r="A41" s="123"/>
      <c r="B41" s="81" t="s">
        <v>48</v>
      </c>
      <c r="C41" s="5" t="s">
        <v>43</v>
      </c>
      <c r="D41" s="45" t="s">
        <v>85</v>
      </c>
      <c r="E41" s="6">
        <v>4</v>
      </c>
      <c r="F41" s="7">
        <v>4</v>
      </c>
      <c r="G41" s="85"/>
      <c r="H41" s="8"/>
      <c r="I41" s="85"/>
      <c r="J41" s="153"/>
      <c r="K41" s="20"/>
      <c r="L41" s="87"/>
      <c r="M41" s="127"/>
      <c r="N41" s="129"/>
    </row>
    <row r="42" spans="1:23" ht="25.2" customHeight="1" x14ac:dyDescent="0.4">
      <c r="A42" s="123"/>
      <c r="B42" s="132" t="s">
        <v>49</v>
      </c>
      <c r="C42" s="5" t="s">
        <v>43</v>
      </c>
      <c r="D42" s="24" t="s">
        <v>56</v>
      </c>
      <c r="E42" s="6">
        <v>4</v>
      </c>
      <c r="F42" s="7">
        <v>4</v>
      </c>
      <c r="G42" s="85"/>
      <c r="H42" s="8"/>
      <c r="I42" s="85"/>
      <c r="J42" s="153"/>
      <c r="K42" s="20"/>
      <c r="L42" s="87"/>
      <c r="M42" s="127"/>
      <c r="N42" s="129"/>
    </row>
    <row r="43" spans="1:23" ht="25.2" customHeight="1" x14ac:dyDescent="0.4">
      <c r="A43" s="123"/>
      <c r="B43" s="134"/>
      <c r="C43" s="5" t="s">
        <v>35</v>
      </c>
      <c r="D43" s="24" t="s">
        <v>91</v>
      </c>
      <c r="E43" s="6">
        <v>4</v>
      </c>
      <c r="F43" s="7">
        <v>4</v>
      </c>
      <c r="G43" s="85"/>
      <c r="H43" s="8"/>
      <c r="I43" s="85"/>
      <c r="J43" s="153"/>
      <c r="K43" s="20"/>
      <c r="L43" s="87"/>
      <c r="M43" s="127"/>
      <c r="N43" s="129"/>
    </row>
    <row r="44" spans="1:23" ht="25.2" customHeight="1" x14ac:dyDescent="0.4">
      <c r="A44" s="123"/>
      <c r="B44" s="81" t="s">
        <v>60</v>
      </c>
      <c r="C44" s="5" t="s">
        <v>35</v>
      </c>
      <c r="D44" s="46" t="s">
        <v>79</v>
      </c>
      <c r="E44" s="6">
        <v>4</v>
      </c>
      <c r="F44" s="7">
        <v>4</v>
      </c>
      <c r="G44" s="85"/>
      <c r="H44" s="8"/>
      <c r="I44" s="85"/>
      <c r="J44" s="153"/>
      <c r="K44" s="20"/>
      <c r="L44" s="87"/>
      <c r="M44" s="127"/>
      <c r="N44" s="129"/>
    </row>
    <row r="45" spans="1:23" ht="25.2" customHeight="1" x14ac:dyDescent="0.4">
      <c r="A45" s="123"/>
      <c r="B45" s="84" t="s">
        <v>26</v>
      </c>
      <c r="C45" s="5" t="s">
        <v>35</v>
      </c>
      <c r="D45" s="44" t="s">
        <v>75</v>
      </c>
      <c r="E45" s="6">
        <v>4</v>
      </c>
      <c r="F45" s="7">
        <v>4</v>
      </c>
      <c r="G45" s="85"/>
      <c r="H45" s="8"/>
      <c r="I45" s="85"/>
      <c r="J45" s="154"/>
      <c r="K45" s="20"/>
      <c r="L45" s="87"/>
      <c r="M45" s="127"/>
      <c r="N45" s="129"/>
    </row>
    <row r="46" spans="1:23" ht="25.2" customHeight="1" x14ac:dyDescent="0.4">
      <c r="A46" s="123"/>
      <c r="B46" s="82" t="s">
        <v>86</v>
      </c>
      <c r="C46" s="5" t="s">
        <v>35</v>
      </c>
      <c r="D46" s="30" t="s">
        <v>87</v>
      </c>
      <c r="E46" s="6">
        <v>4</v>
      </c>
      <c r="F46" s="7">
        <v>4</v>
      </c>
      <c r="G46" s="85"/>
      <c r="H46" s="8"/>
      <c r="I46" s="85"/>
      <c r="J46" s="67" t="s">
        <v>98</v>
      </c>
      <c r="K46" s="20"/>
      <c r="L46" s="87"/>
      <c r="M46" s="127"/>
      <c r="N46" s="129"/>
    </row>
    <row r="47" spans="1:23" ht="25.2" customHeight="1" thickBot="1" x14ac:dyDescent="0.45">
      <c r="A47" s="123"/>
      <c r="B47" s="83" t="s">
        <v>52</v>
      </c>
      <c r="C47" s="5" t="s">
        <v>38</v>
      </c>
      <c r="D47" s="30" t="s">
        <v>116</v>
      </c>
      <c r="E47" s="6">
        <v>4</v>
      </c>
      <c r="F47" s="38">
        <v>4</v>
      </c>
      <c r="G47" s="89"/>
      <c r="H47" s="21"/>
      <c r="I47" s="89"/>
      <c r="J47" s="68">
        <v>3</v>
      </c>
      <c r="K47" s="22"/>
      <c r="L47" s="91"/>
      <c r="M47" s="147"/>
      <c r="N47" s="129"/>
    </row>
    <row r="48" spans="1:23" ht="25.2" customHeight="1" x14ac:dyDescent="0.4">
      <c r="A48" s="123"/>
      <c r="B48" s="151" t="s">
        <v>46</v>
      </c>
      <c r="C48" s="1" t="s">
        <v>32</v>
      </c>
      <c r="D48" s="23" t="s">
        <v>57</v>
      </c>
      <c r="E48" s="2">
        <v>4</v>
      </c>
      <c r="F48" s="13">
        <v>4</v>
      </c>
      <c r="G48" s="76"/>
      <c r="H48" s="88"/>
      <c r="I48" s="76"/>
      <c r="J48" s="88"/>
      <c r="K48" s="69" t="s">
        <v>102</v>
      </c>
      <c r="L48" s="16"/>
      <c r="M48" s="127"/>
      <c r="N48" s="129"/>
    </row>
    <row r="49" spans="1:14" ht="25.2" customHeight="1" x14ac:dyDescent="0.4">
      <c r="A49" s="123"/>
      <c r="B49" s="133"/>
      <c r="C49" s="5" t="s">
        <v>35</v>
      </c>
      <c r="D49" s="31" t="s">
        <v>58</v>
      </c>
      <c r="E49" s="6">
        <v>4</v>
      </c>
      <c r="F49" s="7">
        <v>4</v>
      </c>
      <c r="G49" s="85"/>
      <c r="H49" s="8"/>
      <c r="I49" s="85"/>
      <c r="J49" s="8"/>
      <c r="K49" s="155" t="s">
        <v>109</v>
      </c>
      <c r="L49" s="87"/>
      <c r="M49" s="127"/>
      <c r="N49" s="129"/>
    </row>
    <row r="50" spans="1:14" ht="25.2" customHeight="1" x14ac:dyDescent="0.4">
      <c r="A50" s="123"/>
      <c r="B50" s="132" t="s">
        <v>49</v>
      </c>
      <c r="C50" s="5" t="s">
        <v>32</v>
      </c>
      <c r="D50" s="24" t="s">
        <v>72</v>
      </c>
      <c r="E50" s="6">
        <v>4</v>
      </c>
      <c r="F50" s="7">
        <v>4</v>
      </c>
      <c r="G50" s="85"/>
      <c r="H50" s="8"/>
      <c r="I50" s="85"/>
      <c r="J50" s="8"/>
      <c r="K50" s="156"/>
      <c r="L50" s="87"/>
      <c r="M50" s="127"/>
      <c r="N50" s="129"/>
    </row>
    <row r="51" spans="1:14" ht="25.2" customHeight="1" x14ac:dyDescent="0.4">
      <c r="A51" s="123"/>
      <c r="B51" s="134"/>
      <c r="C51" s="5" t="s">
        <v>35</v>
      </c>
      <c r="D51" s="24" t="s">
        <v>88</v>
      </c>
      <c r="E51" s="6">
        <v>4</v>
      </c>
      <c r="F51" s="7">
        <v>4</v>
      </c>
      <c r="G51" s="85"/>
      <c r="H51" s="8"/>
      <c r="I51" s="85"/>
      <c r="J51" s="8"/>
      <c r="K51" s="156"/>
      <c r="L51" s="87"/>
      <c r="M51" s="127"/>
      <c r="N51" s="129"/>
    </row>
    <row r="52" spans="1:14" ht="25.2" customHeight="1" x14ac:dyDescent="0.4">
      <c r="A52" s="123"/>
      <c r="B52" s="82" t="s">
        <v>48</v>
      </c>
      <c r="C52" s="5" t="s">
        <v>59</v>
      </c>
      <c r="D52" s="32" t="s">
        <v>106</v>
      </c>
      <c r="E52" s="6">
        <v>4</v>
      </c>
      <c r="F52" s="7">
        <v>4</v>
      </c>
      <c r="G52" s="85"/>
      <c r="H52" s="8"/>
      <c r="I52" s="85"/>
      <c r="J52" s="8"/>
      <c r="K52" s="156"/>
      <c r="L52" s="87"/>
      <c r="M52" s="127"/>
      <c r="N52" s="129"/>
    </row>
    <row r="53" spans="1:14" ht="25.2" customHeight="1" x14ac:dyDescent="0.4">
      <c r="A53" s="123"/>
      <c r="B53" s="132" t="s">
        <v>60</v>
      </c>
      <c r="C53" s="5" t="s">
        <v>35</v>
      </c>
      <c r="D53" s="31" t="s">
        <v>124</v>
      </c>
      <c r="E53" s="6">
        <v>4</v>
      </c>
      <c r="F53" s="7">
        <v>4</v>
      </c>
      <c r="G53" s="85"/>
      <c r="H53" s="8"/>
      <c r="I53" s="85"/>
      <c r="J53" s="8"/>
      <c r="K53" s="156"/>
      <c r="L53" s="87"/>
      <c r="M53" s="127"/>
      <c r="N53" s="129"/>
    </row>
    <row r="54" spans="1:14" ht="25.2" customHeight="1" x14ac:dyDescent="0.4">
      <c r="A54" s="123"/>
      <c r="B54" s="134"/>
      <c r="C54" s="5" t="s">
        <v>38</v>
      </c>
      <c r="D54" s="47" t="s">
        <v>125</v>
      </c>
      <c r="E54" s="6">
        <v>4</v>
      </c>
      <c r="F54" s="7">
        <v>4</v>
      </c>
      <c r="G54" s="85"/>
      <c r="H54" s="8"/>
      <c r="I54" s="85"/>
      <c r="J54" s="8"/>
      <c r="K54" s="156"/>
      <c r="L54" s="87"/>
      <c r="M54" s="127"/>
      <c r="N54" s="129"/>
    </row>
    <row r="55" spans="1:14" ht="25.2" customHeight="1" x14ac:dyDescent="0.4">
      <c r="A55" s="123"/>
      <c r="B55" s="133" t="s">
        <v>26</v>
      </c>
      <c r="C55" s="48" t="s">
        <v>35</v>
      </c>
      <c r="D55" s="43" t="s">
        <v>76</v>
      </c>
      <c r="E55" s="49">
        <v>4</v>
      </c>
      <c r="F55" s="13">
        <v>4</v>
      </c>
      <c r="G55" s="85"/>
      <c r="H55" s="8"/>
      <c r="I55" s="85"/>
      <c r="J55" s="8"/>
      <c r="K55" s="156"/>
      <c r="L55" s="87"/>
      <c r="M55" s="127"/>
      <c r="N55" s="129"/>
    </row>
    <row r="56" spans="1:14" ht="25.2" customHeight="1" x14ac:dyDescent="0.4">
      <c r="A56" s="123"/>
      <c r="B56" s="134"/>
      <c r="C56" s="48" t="s">
        <v>38</v>
      </c>
      <c r="D56" s="43" t="s">
        <v>84</v>
      </c>
      <c r="E56" s="49">
        <v>4</v>
      </c>
      <c r="F56" s="13">
        <v>4</v>
      </c>
      <c r="G56" s="85"/>
      <c r="H56" s="8"/>
      <c r="I56" s="85"/>
      <c r="J56" s="8"/>
      <c r="K56" s="157"/>
      <c r="L56" s="87"/>
      <c r="M56" s="127"/>
      <c r="N56" s="129"/>
    </row>
    <row r="57" spans="1:14" ht="25.2" customHeight="1" x14ac:dyDescent="0.4">
      <c r="A57" s="123"/>
      <c r="B57" s="82" t="s">
        <v>86</v>
      </c>
      <c r="C57" s="5" t="s">
        <v>38</v>
      </c>
      <c r="D57" s="24" t="s">
        <v>54</v>
      </c>
      <c r="E57" s="6">
        <v>4</v>
      </c>
      <c r="F57" s="7">
        <v>3</v>
      </c>
      <c r="G57" s="85"/>
      <c r="H57" s="8"/>
      <c r="I57" s="85"/>
      <c r="J57" s="8"/>
      <c r="K57" s="70" t="s">
        <v>98</v>
      </c>
      <c r="L57" s="87"/>
      <c r="M57" s="127"/>
      <c r="N57" s="129"/>
    </row>
    <row r="58" spans="1:14" ht="25.2" customHeight="1" x14ac:dyDescent="0.4">
      <c r="A58" s="123"/>
      <c r="B58" s="14" t="s">
        <v>61</v>
      </c>
      <c r="C58" s="5" t="s">
        <v>35</v>
      </c>
      <c r="D58" s="26" t="s">
        <v>117</v>
      </c>
      <c r="E58" s="6">
        <v>4</v>
      </c>
      <c r="F58" s="7">
        <v>3</v>
      </c>
      <c r="G58" s="85"/>
      <c r="H58" s="8"/>
      <c r="I58" s="85"/>
      <c r="J58" s="8"/>
      <c r="K58" s="70">
        <v>3</v>
      </c>
      <c r="L58" s="87"/>
      <c r="M58" s="127"/>
      <c r="N58" s="129"/>
    </row>
    <row r="59" spans="1:14" ht="25.2" customHeight="1" x14ac:dyDescent="0.4">
      <c r="A59" s="123"/>
      <c r="B59" s="144" t="s">
        <v>40</v>
      </c>
      <c r="C59" s="48" t="s">
        <v>35</v>
      </c>
      <c r="D59" s="39" t="s">
        <v>65</v>
      </c>
      <c r="E59" s="49">
        <v>3</v>
      </c>
      <c r="F59" s="13">
        <v>2</v>
      </c>
      <c r="G59" s="85"/>
      <c r="H59" s="8"/>
      <c r="I59" s="85"/>
      <c r="J59" s="8"/>
      <c r="K59" s="105" t="s">
        <v>98</v>
      </c>
      <c r="L59" s="87"/>
      <c r="M59" s="73"/>
      <c r="N59" s="129"/>
    </row>
    <row r="60" spans="1:14" ht="25.2" customHeight="1" x14ac:dyDescent="0.4">
      <c r="A60" s="123"/>
      <c r="B60" s="145"/>
      <c r="C60" s="48" t="s">
        <v>35</v>
      </c>
      <c r="D60" s="39" t="s">
        <v>66</v>
      </c>
      <c r="E60" s="49">
        <v>3</v>
      </c>
      <c r="F60" s="13">
        <v>2</v>
      </c>
      <c r="G60" s="85"/>
      <c r="H60" s="8"/>
      <c r="I60" s="85"/>
      <c r="J60" s="8"/>
      <c r="K60" s="105">
        <v>2</v>
      </c>
      <c r="L60" s="87"/>
      <c r="M60" s="73"/>
      <c r="N60" s="129"/>
    </row>
    <row r="61" spans="1:14" ht="25.2" customHeight="1" x14ac:dyDescent="0.4">
      <c r="A61" s="123"/>
      <c r="B61" s="158" t="s">
        <v>46</v>
      </c>
      <c r="C61" s="48" t="s">
        <v>35</v>
      </c>
      <c r="D61" s="39" t="s">
        <v>80</v>
      </c>
      <c r="E61" s="49">
        <v>4</v>
      </c>
      <c r="F61" s="13">
        <v>4</v>
      </c>
      <c r="G61" s="85"/>
      <c r="H61" s="8"/>
      <c r="I61" s="85"/>
      <c r="J61" s="8"/>
      <c r="K61" s="20"/>
      <c r="L61" s="71" t="s">
        <v>102</v>
      </c>
      <c r="M61" s="127"/>
      <c r="N61" s="129"/>
    </row>
    <row r="62" spans="1:14" ht="25.2" customHeight="1" x14ac:dyDescent="0.4">
      <c r="A62" s="123"/>
      <c r="B62" s="145"/>
      <c r="C62" s="5" t="s">
        <v>38</v>
      </c>
      <c r="D62" s="26" t="s">
        <v>64</v>
      </c>
      <c r="E62" s="6">
        <v>4</v>
      </c>
      <c r="F62" s="7">
        <v>4</v>
      </c>
      <c r="G62" s="85"/>
      <c r="H62" s="8"/>
      <c r="I62" s="85"/>
      <c r="J62" s="8"/>
      <c r="K62" s="20"/>
      <c r="L62" s="159" t="s">
        <v>109</v>
      </c>
      <c r="M62" s="127"/>
      <c r="N62" s="129"/>
    </row>
    <row r="63" spans="1:14" ht="25.2" customHeight="1" x14ac:dyDescent="0.4">
      <c r="A63" s="123"/>
      <c r="B63" s="144" t="s">
        <v>48</v>
      </c>
      <c r="C63" s="5" t="s">
        <v>35</v>
      </c>
      <c r="D63" s="26" t="s">
        <v>99</v>
      </c>
      <c r="E63" s="6">
        <v>4</v>
      </c>
      <c r="F63" s="7">
        <v>4</v>
      </c>
      <c r="G63" s="85"/>
      <c r="H63" s="8"/>
      <c r="I63" s="85"/>
      <c r="J63" s="8"/>
      <c r="K63" s="20"/>
      <c r="L63" s="160"/>
      <c r="M63" s="127"/>
      <c r="N63" s="129"/>
    </row>
    <row r="64" spans="1:14" ht="25.2" customHeight="1" x14ac:dyDescent="0.4">
      <c r="A64" s="123"/>
      <c r="B64" s="145"/>
      <c r="C64" s="5" t="s">
        <v>38</v>
      </c>
      <c r="D64" s="26" t="s">
        <v>92</v>
      </c>
      <c r="E64" s="6">
        <v>4</v>
      </c>
      <c r="F64" s="7">
        <v>4</v>
      </c>
      <c r="G64" s="85"/>
      <c r="H64" s="8"/>
      <c r="I64" s="85"/>
      <c r="J64" s="8"/>
      <c r="K64" s="20"/>
      <c r="L64" s="160"/>
      <c r="M64" s="127"/>
      <c r="N64" s="129"/>
    </row>
    <row r="65" spans="1:15" ht="25.2" customHeight="1" x14ac:dyDescent="0.4">
      <c r="A65" s="123"/>
      <c r="B65" s="144" t="s">
        <v>49</v>
      </c>
      <c r="C65" s="5" t="s">
        <v>59</v>
      </c>
      <c r="D65" s="26" t="s">
        <v>81</v>
      </c>
      <c r="E65" s="6">
        <v>4</v>
      </c>
      <c r="F65" s="7">
        <v>4</v>
      </c>
      <c r="G65" s="85"/>
      <c r="H65" s="8"/>
      <c r="I65" s="85"/>
      <c r="J65" s="8"/>
      <c r="K65" s="20"/>
      <c r="L65" s="160"/>
      <c r="M65" s="127"/>
      <c r="N65" s="129"/>
    </row>
    <row r="66" spans="1:15" ht="25.2" customHeight="1" x14ac:dyDescent="0.4">
      <c r="A66" s="123"/>
      <c r="B66" s="145"/>
      <c r="C66" s="5" t="s">
        <v>38</v>
      </c>
      <c r="D66" s="26" t="s">
        <v>82</v>
      </c>
      <c r="E66" s="6">
        <v>4</v>
      </c>
      <c r="F66" s="7">
        <v>4</v>
      </c>
      <c r="G66" s="85"/>
      <c r="H66" s="8"/>
      <c r="I66" s="85"/>
      <c r="J66" s="8"/>
      <c r="K66" s="20"/>
      <c r="L66" s="160"/>
      <c r="M66" s="127"/>
      <c r="N66" s="129"/>
    </row>
    <row r="67" spans="1:15" ht="25.2" customHeight="1" x14ac:dyDescent="0.4">
      <c r="A67" s="123"/>
      <c r="B67" s="132" t="s">
        <v>60</v>
      </c>
      <c r="C67" s="5" t="s">
        <v>35</v>
      </c>
      <c r="D67" s="26" t="s">
        <v>122</v>
      </c>
      <c r="E67" s="6">
        <v>4</v>
      </c>
      <c r="F67" s="7">
        <v>4</v>
      </c>
      <c r="G67" s="85"/>
      <c r="H67" s="8"/>
      <c r="I67" s="85"/>
      <c r="J67" s="8"/>
      <c r="K67" s="20"/>
      <c r="L67" s="160"/>
      <c r="M67" s="127"/>
      <c r="N67" s="129"/>
    </row>
    <row r="68" spans="1:15" ht="25.2" customHeight="1" x14ac:dyDescent="0.4">
      <c r="A68" s="123"/>
      <c r="B68" s="134"/>
      <c r="C68" s="5" t="s">
        <v>38</v>
      </c>
      <c r="D68" s="24" t="s">
        <v>123</v>
      </c>
      <c r="E68" s="6">
        <v>4</v>
      </c>
      <c r="F68" s="7">
        <v>4</v>
      </c>
      <c r="G68" s="85"/>
      <c r="H68" s="8"/>
      <c r="I68" s="85"/>
      <c r="J68" s="8"/>
      <c r="K68" s="20"/>
      <c r="L68" s="160"/>
      <c r="M68" s="127"/>
      <c r="N68" s="129"/>
    </row>
    <row r="69" spans="1:15" ht="25.2" customHeight="1" x14ac:dyDescent="0.4">
      <c r="A69" s="123"/>
      <c r="B69" s="84" t="s">
        <v>26</v>
      </c>
      <c r="C69" s="5" t="s">
        <v>38</v>
      </c>
      <c r="D69" s="30" t="s">
        <v>83</v>
      </c>
      <c r="E69" s="6">
        <v>4</v>
      </c>
      <c r="F69" s="7">
        <v>4</v>
      </c>
      <c r="G69" s="85"/>
      <c r="H69" s="8"/>
      <c r="I69" s="85"/>
      <c r="J69" s="8"/>
      <c r="K69" s="20"/>
      <c r="L69" s="161"/>
      <c r="M69" s="127"/>
      <c r="N69" s="129"/>
    </row>
    <row r="70" spans="1:15" ht="25.2" customHeight="1" x14ac:dyDescent="0.4">
      <c r="A70" s="123"/>
      <c r="B70" s="81" t="s">
        <v>86</v>
      </c>
      <c r="C70" s="5" t="s">
        <v>38</v>
      </c>
      <c r="D70" s="30" t="s">
        <v>96</v>
      </c>
      <c r="E70" s="6">
        <v>4</v>
      </c>
      <c r="F70" s="15">
        <v>3</v>
      </c>
      <c r="G70" s="85"/>
      <c r="H70" s="8"/>
      <c r="I70" s="85"/>
      <c r="J70" s="8"/>
      <c r="K70" s="20"/>
      <c r="L70" s="72" t="s">
        <v>98</v>
      </c>
      <c r="M70" s="127"/>
      <c r="N70" s="129"/>
    </row>
    <row r="71" spans="1:15" ht="25.2" customHeight="1" x14ac:dyDescent="0.4">
      <c r="A71" s="123"/>
      <c r="B71" s="83" t="s">
        <v>61</v>
      </c>
      <c r="C71" s="5" t="s">
        <v>35</v>
      </c>
      <c r="D71" s="30" t="s">
        <v>104</v>
      </c>
      <c r="E71" s="6">
        <v>4</v>
      </c>
      <c r="F71" s="7">
        <v>3</v>
      </c>
      <c r="G71" s="85"/>
      <c r="H71" s="8"/>
      <c r="I71" s="85"/>
      <c r="J71" s="8"/>
      <c r="K71" s="20"/>
      <c r="L71" s="106">
        <v>3</v>
      </c>
      <c r="M71" s="127"/>
      <c r="N71" s="129"/>
    </row>
    <row r="72" spans="1:15" ht="25.2" customHeight="1" x14ac:dyDescent="0.4">
      <c r="A72" s="123"/>
      <c r="B72" s="144" t="s">
        <v>62</v>
      </c>
      <c r="C72" s="5" t="s">
        <v>32</v>
      </c>
      <c r="D72" s="26" t="s">
        <v>100</v>
      </c>
      <c r="E72" s="6">
        <v>3</v>
      </c>
      <c r="F72" s="15">
        <v>2</v>
      </c>
      <c r="G72" s="85"/>
      <c r="H72" s="8"/>
      <c r="I72" s="85"/>
      <c r="J72" s="8"/>
      <c r="K72" s="20"/>
      <c r="L72" s="107" t="s">
        <v>98</v>
      </c>
      <c r="M72" s="127"/>
      <c r="N72" s="129"/>
    </row>
    <row r="73" spans="1:15" ht="25.2" customHeight="1" x14ac:dyDescent="0.4">
      <c r="A73" s="123"/>
      <c r="B73" s="158"/>
      <c r="C73" s="5" t="s">
        <v>35</v>
      </c>
      <c r="D73" s="26" t="s">
        <v>89</v>
      </c>
      <c r="E73" s="6">
        <v>3</v>
      </c>
      <c r="F73" s="15">
        <v>2</v>
      </c>
      <c r="G73" s="85"/>
      <c r="H73" s="8"/>
      <c r="I73" s="85"/>
      <c r="J73" s="8"/>
      <c r="K73" s="20"/>
      <c r="L73" s="163">
        <v>2</v>
      </c>
      <c r="M73" s="127"/>
      <c r="N73" s="129"/>
    </row>
    <row r="74" spans="1:15" ht="25.2" customHeight="1" thickBot="1" x14ac:dyDescent="0.45">
      <c r="A74" s="123"/>
      <c r="B74" s="162"/>
      <c r="C74" s="36" t="s">
        <v>38</v>
      </c>
      <c r="D74" s="40" t="s">
        <v>90</v>
      </c>
      <c r="E74" s="18">
        <v>3</v>
      </c>
      <c r="F74" s="108">
        <v>2</v>
      </c>
      <c r="G74" s="85"/>
      <c r="H74" s="8"/>
      <c r="I74" s="85"/>
      <c r="J74" s="8"/>
      <c r="K74" s="20"/>
      <c r="L74" s="164"/>
      <c r="M74" s="127"/>
      <c r="N74" s="129"/>
    </row>
    <row r="75" spans="1:15" ht="25.35" customHeight="1" x14ac:dyDescent="0.4">
      <c r="A75" s="123"/>
      <c r="B75" s="134" t="s">
        <v>60</v>
      </c>
      <c r="C75" s="48" t="s">
        <v>32</v>
      </c>
      <c r="D75" s="33" t="s">
        <v>111</v>
      </c>
      <c r="E75" s="49">
        <v>4</v>
      </c>
      <c r="F75" s="60">
        <v>4</v>
      </c>
      <c r="G75" s="167" t="s">
        <v>126</v>
      </c>
      <c r="H75" s="168"/>
      <c r="I75" s="168"/>
      <c r="J75" s="168"/>
      <c r="K75" s="168"/>
      <c r="L75" s="168"/>
      <c r="M75" s="168"/>
      <c r="N75" s="169"/>
      <c r="O75" s="58"/>
    </row>
    <row r="76" spans="1:15" ht="25.35" customHeight="1" x14ac:dyDescent="0.4">
      <c r="A76" s="123"/>
      <c r="B76" s="125"/>
      <c r="C76" s="5" t="s">
        <v>35</v>
      </c>
      <c r="D76" s="30" t="s">
        <v>112</v>
      </c>
      <c r="E76" s="61">
        <v>4</v>
      </c>
      <c r="F76" s="62">
        <v>4</v>
      </c>
      <c r="G76" s="170"/>
      <c r="H76" s="171"/>
      <c r="I76" s="171"/>
      <c r="J76" s="171"/>
      <c r="K76" s="171"/>
      <c r="L76" s="171"/>
      <c r="M76" s="171"/>
      <c r="N76" s="172"/>
    </row>
    <row r="77" spans="1:15" ht="25.35" customHeight="1" x14ac:dyDescent="0.4">
      <c r="A77" s="123"/>
      <c r="B77" s="81" t="s">
        <v>61</v>
      </c>
      <c r="C77" s="5" t="s">
        <v>38</v>
      </c>
      <c r="D77" s="30" t="s">
        <v>113</v>
      </c>
      <c r="E77" s="61">
        <v>4</v>
      </c>
      <c r="F77" s="62">
        <v>4</v>
      </c>
      <c r="G77" s="170"/>
      <c r="H77" s="171"/>
      <c r="I77" s="171"/>
      <c r="J77" s="171"/>
      <c r="K77" s="171"/>
      <c r="L77" s="171"/>
      <c r="M77" s="171"/>
      <c r="N77" s="172"/>
    </row>
    <row r="78" spans="1:15" ht="25.35" customHeight="1" x14ac:dyDescent="0.4">
      <c r="A78" s="123"/>
      <c r="B78" s="125" t="s">
        <v>26</v>
      </c>
      <c r="C78" s="5" t="s">
        <v>35</v>
      </c>
      <c r="D78" s="30" t="s">
        <v>121</v>
      </c>
      <c r="E78" s="61">
        <v>4</v>
      </c>
      <c r="F78" s="62">
        <v>3</v>
      </c>
      <c r="G78" s="170"/>
      <c r="H78" s="171"/>
      <c r="I78" s="171"/>
      <c r="J78" s="171"/>
      <c r="K78" s="171"/>
      <c r="L78" s="171"/>
      <c r="M78" s="171"/>
      <c r="N78" s="172"/>
    </row>
    <row r="79" spans="1:15" ht="25.35" customHeight="1" x14ac:dyDescent="0.4">
      <c r="A79" s="123"/>
      <c r="B79" s="125"/>
      <c r="C79" s="5" t="s">
        <v>38</v>
      </c>
      <c r="D79" s="30" t="s">
        <v>110</v>
      </c>
      <c r="E79" s="61">
        <v>4</v>
      </c>
      <c r="F79" s="62">
        <v>3</v>
      </c>
      <c r="G79" s="170"/>
      <c r="H79" s="171"/>
      <c r="I79" s="171"/>
      <c r="J79" s="171"/>
      <c r="K79" s="171"/>
      <c r="L79" s="171"/>
      <c r="M79" s="171"/>
      <c r="N79" s="172"/>
    </row>
    <row r="80" spans="1:15" ht="25.35" customHeight="1" x14ac:dyDescent="0.4">
      <c r="A80" s="123"/>
      <c r="B80" s="81" t="s">
        <v>118</v>
      </c>
      <c r="C80" s="5" t="s">
        <v>35</v>
      </c>
      <c r="D80" s="30" t="s">
        <v>119</v>
      </c>
      <c r="E80" s="61">
        <v>3</v>
      </c>
      <c r="F80" s="62">
        <v>2</v>
      </c>
      <c r="G80" s="170"/>
      <c r="H80" s="171"/>
      <c r="I80" s="171"/>
      <c r="J80" s="171"/>
      <c r="K80" s="171"/>
      <c r="L80" s="171"/>
      <c r="M80" s="171"/>
      <c r="N80" s="172"/>
    </row>
    <row r="81" spans="1:14" ht="25.35" customHeight="1" thickBot="1" x14ac:dyDescent="0.45">
      <c r="A81" s="146"/>
      <c r="B81" s="61" t="s">
        <v>40</v>
      </c>
      <c r="C81" s="5" t="s">
        <v>35</v>
      </c>
      <c r="D81" s="30" t="s">
        <v>120</v>
      </c>
      <c r="E81" s="61">
        <v>3</v>
      </c>
      <c r="F81" s="62">
        <v>2</v>
      </c>
      <c r="G81" s="173"/>
      <c r="H81" s="174"/>
      <c r="I81" s="174"/>
      <c r="J81" s="174"/>
      <c r="K81" s="174"/>
      <c r="L81" s="174"/>
      <c r="M81" s="174"/>
      <c r="N81" s="175"/>
    </row>
    <row r="82" spans="1:14" ht="17.25" customHeight="1" x14ac:dyDescent="0.4">
      <c r="A82" s="176" t="s">
        <v>67</v>
      </c>
      <c r="B82" s="177"/>
      <c r="C82" s="177"/>
      <c r="D82" s="177"/>
      <c r="E82" s="177"/>
      <c r="F82" s="178"/>
      <c r="G82" s="76">
        <f>SUM(G5:G24,G26,G29:G30)</f>
        <v>30</v>
      </c>
      <c r="H82" s="88">
        <f>SUM(H5:H24,H26,H29:H30)</f>
        <v>30</v>
      </c>
      <c r="I82" s="92">
        <v>30</v>
      </c>
      <c r="J82" s="52">
        <v>30</v>
      </c>
      <c r="K82" s="52">
        <v>27</v>
      </c>
      <c r="L82" s="52">
        <v>27</v>
      </c>
      <c r="M82" s="78">
        <f>SUM(G82:L82)</f>
        <v>174</v>
      </c>
      <c r="N82" s="4">
        <f>SUM(N5:N30)</f>
        <v>84</v>
      </c>
    </row>
    <row r="83" spans="1:14" ht="17.25" customHeight="1" x14ac:dyDescent="0.4">
      <c r="A83" s="179" t="s">
        <v>68</v>
      </c>
      <c r="B83" s="180"/>
      <c r="C83" s="180"/>
      <c r="D83" s="180"/>
      <c r="E83" s="180"/>
      <c r="F83" s="181"/>
      <c r="G83" s="85">
        <v>3</v>
      </c>
      <c r="H83" s="8">
        <v>3</v>
      </c>
      <c r="I83" s="20">
        <v>3</v>
      </c>
      <c r="J83" s="86">
        <v>3</v>
      </c>
      <c r="K83" s="86">
        <v>3</v>
      </c>
      <c r="L83" s="86">
        <v>3</v>
      </c>
      <c r="M83" s="86">
        <f>SUM(G83:L83)</f>
        <v>18</v>
      </c>
      <c r="N83" s="8">
        <v>18</v>
      </c>
    </row>
    <row r="84" spans="1:14" ht="18" customHeight="1" thickBot="1" x14ac:dyDescent="0.45">
      <c r="A84" s="182" t="s">
        <v>69</v>
      </c>
      <c r="B84" s="183"/>
      <c r="C84" s="183"/>
      <c r="D84" s="183"/>
      <c r="E84" s="183"/>
      <c r="F84" s="184"/>
      <c r="G84" s="89">
        <f t="shared" ref="G84:L84" si="0">G82+G83</f>
        <v>33</v>
      </c>
      <c r="H84" s="21">
        <f t="shared" si="0"/>
        <v>33</v>
      </c>
      <c r="I84" s="22">
        <f t="shared" si="0"/>
        <v>33</v>
      </c>
      <c r="J84" s="90">
        <f t="shared" si="0"/>
        <v>33</v>
      </c>
      <c r="K84" s="90">
        <f t="shared" si="0"/>
        <v>30</v>
      </c>
      <c r="L84" s="90">
        <f t="shared" si="0"/>
        <v>30</v>
      </c>
      <c r="M84" s="90">
        <f>SUM(G84:L84)</f>
        <v>192</v>
      </c>
      <c r="N84" s="21"/>
    </row>
    <row r="85" spans="1:14" x14ac:dyDescent="0.4">
      <c r="A85" s="165" t="s">
        <v>101</v>
      </c>
      <c r="B85" s="165"/>
      <c r="C85" s="165"/>
      <c r="D85" s="165"/>
      <c r="E85" s="165"/>
      <c r="F85" s="165"/>
      <c r="G85" s="165"/>
      <c r="H85" s="165"/>
      <c r="I85" s="165"/>
      <c r="J85" s="165"/>
      <c r="K85" s="165"/>
      <c r="L85" s="165"/>
      <c r="M85" s="165"/>
      <c r="N85" s="165"/>
    </row>
    <row r="86" spans="1:14" x14ac:dyDescent="0.4">
      <c r="A86" s="166"/>
      <c r="B86" s="166"/>
      <c r="C86" s="166"/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6"/>
    </row>
    <row r="87" spans="1:14" x14ac:dyDescent="0.4">
      <c r="A87" s="166"/>
      <c r="B87" s="166"/>
      <c r="C87" s="166"/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6"/>
    </row>
    <row r="88" spans="1:14" x14ac:dyDescent="0.4">
      <c r="A88" s="166"/>
      <c r="B88" s="166"/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6"/>
    </row>
    <row r="89" spans="1:14" x14ac:dyDescent="0.4">
      <c r="A89" s="166"/>
      <c r="B89" s="166"/>
      <c r="C89" s="166"/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</row>
    <row r="90" spans="1:14" x14ac:dyDescent="0.4">
      <c r="A90" s="166"/>
      <c r="B90" s="166"/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</row>
    <row r="91" spans="1:14" x14ac:dyDescent="0.4">
      <c r="A91" s="166"/>
      <c r="B91" s="166"/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</row>
    <row r="92" spans="1:14" x14ac:dyDescent="0.4">
      <c r="A92" s="166"/>
      <c r="B92" s="166"/>
      <c r="C92" s="166"/>
      <c r="D92" s="166"/>
      <c r="E92" s="166"/>
      <c r="F92" s="166"/>
      <c r="G92" s="166"/>
      <c r="H92" s="166"/>
      <c r="I92" s="166"/>
      <c r="J92" s="166"/>
      <c r="K92" s="166"/>
      <c r="L92" s="166"/>
      <c r="M92" s="166"/>
      <c r="N92" s="166"/>
    </row>
    <row r="93" spans="1:14" x14ac:dyDescent="0.4">
      <c r="A93" s="166"/>
      <c r="B93" s="166"/>
      <c r="C93" s="166"/>
      <c r="D93" s="166"/>
      <c r="E93" s="166"/>
      <c r="F93" s="166"/>
      <c r="G93" s="166"/>
      <c r="H93" s="166"/>
      <c r="I93" s="166"/>
      <c r="J93" s="166"/>
      <c r="K93" s="166"/>
      <c r="L93" s="166"/>
      <c r="M93" s="166"/>
      <c r="N93" s="166"/>
    </row>
  </sheetData>
  <mergeCells count="72">
    <mergeCell ref="A85:N93"/>
    <mergeCell ref="B75:B76"/>
    <mergeCell ref="G75:N81"/>
    <mergeCell ref="B78:B79"/>
    <mergeCell ref="A82:F82"/>
    <mergeCell ref="A83:F83"/>
    <mergeCell ref="A84:F84"/>
    <mergeCell ref="B61:B62"/>
    <mergeCell ref="M61:M74"/>
    <mergeCell ref="L62:L69"/>
    <mergeCell ref="B63:B64"/>
    <mergeCell ref="B65:B66"/>
    <mergeCell ref="B67:B68"/>
    <mergeCell ref="B72:B74"/>
    <mergeCell ref="L73:L74"/>
    <mergeCell ref="B59:B60"/>
    <mergeCell ref="A31:A81"/>
    <mergeCell ref="M31:M38"/>
    <mergeCell ref="N31:N74"/>
    <mergeCell ref="B32:B33"/>
    <mergeCell ref="I32:I36"/>
    <mergeCell ref="B39:B40"/>
    <mergeCell ref="M39:M47"/>
    <mergeCell ref="J40:J45"/>
    <mergeCell ref="B42:B43"/>
    <mergeCell ref="B48:B49"/>
    <mergeCell ref="M48:M58"/>
    <mergeCell ref="K49:K56"/>
    <mergeCell ref="B50:B51"/>
    <mergeCell ref="B53:B54"/>
    <mergeCell ref="B55:B56"/>
    <mergeCell ref="M29:M30"/>
    <mergeCell ref="N29:N30"/>
    <mergeCell ref="B15:B18"/>
    <mergeCell ref="M15:M18"/>
    <mergeCell ref="N15:N18"/>
    <mergeCell ref="B19:B24"/>
    <mergeCell ref="M19:M24"/>
    <mergeCell ref="N19:N24"/>
    <mergeCell ref="B25:B28"/>
    <mergeCell ref="G25:H25"/>
    <mergeCell ref="M25:M28"/>
    <mergeCell ref="N25:N28"/>
    <mergeCell ref="I27:J27"/>
    <mergeCell ref="A5:A30"/>
    <mergeCell ref="B5:B6"/>
    <mergeCell ref="M5:M6"/>
    <mergeCell ref="N5:N6"/>
    <mergeCell ref="B7:B8"/>
    <mergeCell ref="M7:M8"/>
    <mergeCell ref="N7:N8"/>
    <mergeCell ref="B9:B10"/>
    <mergeCell ref="M9:M10"/>
    <mergeCell ref="N9:N10"/>
    <mergeCell ref="B11:B14"/>
    <mergeCell ref="M11:M12"/>
    <mergeCell ref="N11:N12"/>
    <mergeCell ref="M13:M14"/>
    <mergeCell ref="N13:N14"/>
    <mergeCell ref="B29:B30"/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</mergeCells>
  <phoneticPr fontId="3" type="noConversion"/>
  <pageMargins left="0.7" right="0.7" top="0.75" bottom="0.75" header="0.3" footer="0.3"/>
  <pageSetup paperSize="12" scale="4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2026신입생3개년(안)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USER</cp:lastModifiedBy>
  <cp:lastPrinted>2025-09-24T00:22:23Z</cp:lastPrinted>
  <dcterms:created xsi:type="dcterms:W3CDTF">2024-08-22T06:10:42Z</dcterms:created>
  <dcterms:modified xsi:type="dcterms:W3CDTF">2026-01-29T08:25:22Z</dcterms:modified>
</cp:coreProperties>
</file>