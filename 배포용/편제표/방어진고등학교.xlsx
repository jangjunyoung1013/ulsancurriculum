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2025년 방어진고\업무\교육과정\교육과정 편제표\2026학년도\3차 제출(9.15.)\"/>
    </mc:Choice>
  </mc:AlternateContent>
  <xr:revisionPtr revIDLastSave="0" documentId="13_ncr:1_{0AB2C3C9-A08C-4E68-91FC-3049A15D28E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6학년도 신입생 3개년 교육과정 편제표(안)" sheetId="19" r:id="rId1"/>
  </sheets>
  <definedNames>
    <definedName name="_xlnm.Print_Area" localSheetId="0">'2026학년도 신입생 3개년 교육과정 편제표(안)'!$A$1:$N$75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4" i="19" l="1"/>
  <c r="N73" i="19"/>
  <c r="L73" i="19"/>
  <c r="L75" i="19" s="1"/>
  <c r="K73" i="19"/>
  <c r="K75" i="19" s="1"/>
  <c r="J73" i="19"/>
  <c r="J75" i="19" s="1"/>
  <c r="I73" i="19"/>
  <c r="I75" i="19" s="1"/>
  <c r="H73" i="19"/>
  <c r="G73" i="19"/>
  <c r="G75" i="19" s="1"/>
  <c r="M29" i="19"/>
  <c r="M25" i="19"/>
  <c r="M19" i="19"/>
  <c r="M15" i="19"/>
  <c r="M13" i="19"/>
  <c r="M11" i="19"/>
  <c r="M9" i="19"/>
  <c r="M7" i="19"/>
  <c r="M5" i="19"/>
  <c r="M73" i="19" l="1"/>
  <c r="H75" i="19"/>
  <c r="M75" i="19" s="1"/>
</calcChain>
</file>

<file path=xl/sharedStrings.xml><?xml version="1.0" encoding="utf-8"?>
<sst xmlns="http://schemas.openxmlformats.org/spreadsheetml/2006/main" count="220" uniqueCount="122">
  <si>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</si>
  <si>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</si>
  <si>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</si>
  <si>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</si>
  <si>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</si>
  <si>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</si>
  <si>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</si>
  <si>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</si>
  <si>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학
교
지
정
교
육
과
정</t>
    <phoneticPr fontId="2" type="noConversion"/>
  </si>
  <si>
    <t>국어</t>
  </si>
  <si>
    <t>공통</t>
    <phoneticPr fontId="2" type="noConversion"/>
  </si>
  <si>
    <t>일반</t>
    <phoneticPr fontId="2" type="noConversion"/>
  </si>
  <si>
    <t>수학</t>
  </si>
  <si>
    <t>영어</t>
  </si>
  <si>
    <t>과학</t>
    <phoneticPr fontId="2" type="noConversion"/>
  </si>
  <si>
    <t>진로</t>
    <phoneticPr fontId="2" type="noConversion"/>
  </si>
  <si>
    <t>음악</t>
    <phoneticPr fontId="2" type="noConversion"/>
  </si>
  <si>
    <t>교양</t>
    <phoneticPr fontId="2" type="noConversion"/>
  </si>
  <si>
    <t>창의적 체험활동</t>
  </si>
  <si>
    <t>택1</t>
    <phoneticPr fontId="2" type="noConversion"/>
  </si>
  <si>
    <t>한문</t>
    <phoneticPr fontId="2" type="noConversion"/>
  </si>
  <si>
    <t>인공지능 기초</t>
    <phoneticPr fontId="2" type="noConversion"/>
  </si>
  <si>
    <t>공통국어1</t>
    <phoneticPr fontId="2" type="noConversion"/>
  </si>
  <si>
    <t>공통국어2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</si>
  <si>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</si>
  <si>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</si>
  <si>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</si>
  <si>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</si>
  <si>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</si>
  <si>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</si>
  <si>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</si>
  <si>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통합과학1</t>
    <phoneticPr fontId="2" type="noConversion"/>
  </si>
  <si>
    <t>과학탐구실험1</t>
    <phoneticPr fontId="2" type="noConversion"/>
  </si>
  <si>
    <t>과학탐구실험2</t>
    <phoneticPr fontId="2" type="noConversion"/>
  </si>
  <si>
    <t>음악 연주와 창작</t>
    <phoneticPr fontId="2" type="noConversion"/>
  </si>
  <si>
    <t>진로와 직업</t>
    <phoneticPr fontId="2" type="noConversion"/>
  </si>
  <si>
    <t>독서와 작문</t>
    <phoneticPr fontId="2" type="noConversion"/>
  </si>
  <si>
    <t>스포츠 생활1</t>
    <phoneticPr fontId="2" type="noConversion"/>
  </si>
  <si>
    <t>스포츠 생활2</t>
    <phoneticPr fontId="2" type="noConversion"/>
  </si>
  <si>
    <t>융합</t>
    <phoneticPr fontId="2" type="noConversion"/>
  </si>
  <si>
    <t>스포츠 문화</t>
    <phoneticPr fontId="2" type="noConversion"/>
  </si>
  <si>
    <t>스포츠 과학</t>
    <phoneticPr fontId="2" type="noConversion"/>
  </si>
  <si>
    <t>화법과 언어</t>
    <phoneticPr fontId="2" type="noConversion"/>
  </si>
  <si>
    <t>진로</t>
  </si>
  <si>
    <t>일반</t>
  </si>
  <si>
    <t>융합</t>
  </si>
  <si>
    <t>문학</t>
    <phoneticPr fontId="2" type="noConversion"/>
  </si>
  <si>
    <t>택6</t>
    <phoneticPr fontId="2" type="noConversion"/>
  </si>
  <si>
    <t>대수</t>
  </si>
  <si>
    <t>4
4
4
4
4
4</t>
    <phoneticPr fontId="2" type="noConversion"/>
  </si>
  <si>
    <r>
      <t>영어</t>
    </r>
    <r>
      <rPr>
        <sz val="10"/>
        <color theme="1"/>
        <rFont val="돋움"/>
        <family val="3"/>
        <charset val="129"/>
      </rPr>
      <t>Ⅰ</t>
    </r>
    <phoneticPr fontId="2" type="noConversion"/>
  </si>
  <si>
    <t>주제 탐구 독서</t>
    <phoneticPr fontId="2" type="noConversion"/>
  </si>
  <si>
    <r>
      <t>미적분</t>
    </r>
    <r>
      <rPr>
        <sz val="10"/>
        <color theme="1"/>
        <rFont val="나눔고딕"/>
        <family val="1"/>
        <charset val="129"/>
      </rPr>
      <t>Ⅰ, 확률과 통계</t>
    </r>
    <phoneticPr fontId="2" type="noConversion"/>
  </si>
  <si>
    <t>영어Ⅱ</t>
  </si>
  <si>
    <t>세계사, 세계시민과 지리</t>
    <phoneticPr fontId="2" type="noConversion"/>
  </si>
  <si>
    <t>택5</t>
    <phoneticPr fontId="2" type="noConversion"/>
  </si>
  <si>
    <t>문학과 영상</t>
    <phoneticPr fontId="2" type="noConversion"/>
  </si>
  <si>
    <t>독서 토론과 글쓰기, 언어생활 탐구</t>
    <phoneticPr fontId="2" type="noConversion"/>
  </si>
  <si>
    <t>4
4
4
4
4</t>
    <phoneticPr fontId="2" type="noConversion"/>
  </si>
  <si>
    <t>정보</t>
    <phoneticPr fontId="2" type="noConversion"/>
  </si>
  <si>
    <t>미술</t>
    <phoneticPr fontId="2" type="noConversion"/>
  </si>
  <si>
    <t>생태와 환경</t>
    <phoneticPr fontId="2" type="noConversion"/>
  </si>
  <si>
    <t xml:space="preserve">4
4
4
4
4
</t>
    <phoneticPr fontId="2" type="noConversion"/>
  </si>
  <si>
    <t>기준
학점</t>
  </si>
  <si>
    <t>운영학점</t>
  </si>
  <si>
    <t>이수 
학점</t>
  </si>
  <si>
    <t>필수
이수
학점</t>
  </si>
  <si>
    <t>통합사회2</t>
    <phoneticPr fontId="2" type="noConversion"/>
  </si>
  <si>
    <t>통합과학2</t>
    <phoneticPr fontId="2" type="noConversion"/>
  </si>
  <si>
    <t>체육</t>
  </si>
  <si>
    <t>체육1</t>
    <phoneticPr fontId="2" type="noConversion"/>
  </si>
  <si>
    <t>체육2</t>
    <phoneticPr fontId="2" type="noConversion"/>
  </si>
  <si>
    <t>예술</t>
    <phoneticPr fontId="2" type="noConversion"/>
  </si>
  <si>
    <t>미술 창작</t>
    <phoneticPr fontId="2" type="noConversion"/>
  </si>
  <si>
    <t>이수학점 소계</t>
  </si>
  <si>
    <t>학기별 총 이수 학점</t>
  </si>
  <si>
    <t>학
생
선
택
교
육
과
정</t>
    <phoneticPr fontId="2" type="noConversion"/>
  </si>
  <si>
    <t>영어 독해와 작문</t>
    <phoneticPr fontId="2" type="noConversion"/>
  </si>
  <si>
    <t>지식 재산 일반</t>
    <phoneticPr fontId="2" type="noConversion"/>
  </si>
  <si>
    <t>데이터 과학</t>
    <phoneticPr fontId="2" type="noConversion"/>
  </si>
  <si>
    <t>기하</t>
    <phoneticPr fontId="2" type="noConversion"/>
  </si>
  <si>
    <r>
      <t>미적분</t>
    </r>
    <r>
      <rPr>
        <sz val="10"/>
        <color theme="1"/>
        <rFont val="나눔고딕"/>
        <family val="1"/>
        <charset val="129"/>
      </rPr>
      <t>Ⅱ</t>
    </r>
    <phoneticPr fontId="2" type="noConversion"/>
  </si>
  <si>
    <t xml:space="preserve"> 교양</t>
    <phoneticPr fontId="2" type="noConversion"/>
  </si>
  <si>
    <t>국어</t>
    <phoneticPr fontId="2" type="noConversion"/>
  </si>
  <si>
    <t>수학</t>
    <phoneticPr fontId="2" type="noConversion"/>
  </si>
  <si>
    <t>영어</t>
    <phoneticPr fontId="2" type="noConversion"/>
  </si>
  <si>
    <t>사회</t>
    <phoneticPr fontId="2" type="noConversion"/>
  </si>
  <si>
    <t>수학과제 탐구</t>
    <phoneticPr fontId="2" type="noConversion"/>
  </si>
  <si>
    <t>심화 영어 독해와 작문, 영미 문학 읽기</t>
    <phoneticPr fontId="2" type="noConversion"/>
  </si>
  <si>
    <t>과학의 역사와 문화, 융합과학 탐구, 기후변화와 환경생태</t>
    <phoneticPr fontId="2" type="noConversion"/>
  </si>
  <si>
    <t>전자기와 양자, 화학 반응의 세계, 생물의 유전, 행성우주과학</t>
    <phoneticPr fontId="2" type="noConversion"/>
  </si>
  <si>
    <t>법과 사회, 한국지리 탐구, 동아시아 역사 기행</t>
    <phoneticPr fontId="2" type="noConversion"/>
  </si>
  <si>
    <t>현대사회와 윤리</t>
    <phoneticPr fontId="2" type="noConversion"/>
  </si>
  <si>
    <t>정치, 경제, 윤리와 사상</t>
    <phoneticPr fontId="2" type="noConversion"/>
  </si>
  <si>
    <t>사회와 문화</t>
    <phoneticPr fontId="2" type="noConversion"/>
  </si>
  <si>
    <r>
      <t>교차집중(</t>
    </r>
    <r>
      <rPr>
        <b/>
        <sz val="9"/>
        <rFont val="맑은 고딕"/>
        <family val="3"/>
        <charset val="129"/>
      </rPr>
      <t>↔)</t>
    </r>
    <phoneticPr fontId="2" type="noConversion"/>
  </si>
  <si>
    <t>일본어, 중국어</t>
    <phoneticPr fontId="2" type="noConversion"/>
  </si>
  <si>
    <t>음악 감상과 비평, 미술 감상과 비평</t>
    <phoneticPr fontId="2" type="noConversion"/>
  </si>
  <si>
    <t>음악과 미디어, 미술과 매체</t>
    <phoneticPr fontId="2" type="noConversion"/>
  </si>
  <si>
    <t>제2외국어/한문</t>
    <phoneticPr fontId="2" type="noConversion"/>
  </si>
  <si>
    <t>기술·가정/정보</t>
    <phoneticPr fontId="2" type="noConversion"/>
  </si>
  <si>
    <r>
      <t>성공적인 직업 생활</t>
    </r>
    <r>
      <rPr>
        <sz val="10"/>
        <color theme="1"/>
        <rFont val="맑은 고딕"/>
        <family val="3"/>
        <charset val="129"/>
      </rPr>
      <t>★</t>
    </r>
    <r>
      <rPr>
        <sz val="10"/>
        <color theme="1"/>
        <rFont val="나눔고딕"/>
        <family val="3"/>
        <charset val="129"/>
      </rPr>
      <t>, 인간과 철학, 논리와 사고</t>
    </r>
    <phoneticPr fontId="2" type="noConversion"/>
  </si>
  <si>
    <t>☞ 표기방법 안내</t>
  </si>
  <si>
    <t>물리학, 화학, 생명과학, 지구과학</t>
    <phoneticPr fontId="2" type="noConversion"/>
  </si>
  <si>
    <t>역학과 에너지, 물질과 에너지, 세포와 물질대사, 지구시스템과학</t>
    <phoneticPr fontId="2" type="noConversion"/>
  </si>
  <si>
    <t xml:space="preserve"> - 특수 목적 고등학교 선택 과목을 선택과목으로 가져올 때 * 표기</t>
    <phoneticPr fontId="2" type="noConversion"/>
  </si>
  <si>
    <t xml:space="preserve"> - 전문교과를 진로선택과목으로 가져올 때 ★ 표기</t>
    <phoneticPr fontId="2" type="noConversion"/>
  </si>
  <si>
    <r>
      <t xml:space="preserve"> </t>
    </r>
    <r>
      <rPr>
        <sz val="9"/>
        <color rgb="FF000000"/>
        <rFont val="나눔고딕"/>
        <charset val="129"/>
      </rPr>
      <t>◦ 교과특성화학교 관련 과목은 ■ 표기</t>
    </r>
    <phoneticPr fontId="2" type="noConversion"/>
  </si>
  <si>
    <t xml:space="preserve"> ◦ 교육감승인과목을 진로선택으로 가져올 때 ☆ 표기</t>
    <phoneticPr fontId="2" type="noConversion"/>
  </si>
  <si>
    <t>☞ 교차집중표기법: 교차집중(↔)</t>
    <phoneticPr fontId="2" type="noConversion"/>
  </si>
  <si>
    <t>방어진고등학교</t>
    <phoneticPr fontId="2" type="noConversion"/>
  </si>
  <si>
    <t>역사로 탐구하는 현대 세계</t>
    <phoneticPr fontId="2" type="noConversion"/>
  </si>
  <si>
    <t>인문학과 윤리, 국제 관계의 이해, 도시의 미래 탐구</t>
    <phoneticPr fontId="2" type="noConversion"/>
  </si>
  <si>
    <t>세계유산 탐구☆, 사회문제 탐구, 윤리문제 탐구, 여행지리</t>
    <phoneticPr fontId="2" type="noConversion"/>
  </si>
  <si>
    <t>물리 과제연구☆, 화학 과제연구☆, 생명과학 과제연구☆, 지구과학 과제연구☆</t>
    <phoneticPr fontId="2" type="noConversion"/>
  </si>
  <si>
    <t>소인수 교육과정/공동 교육과정
이수 시기별 3학점
(단, 보건, 인간과 경제활동의 경우 2학점)</t>
    <phoneticPr fontId="2" type="noConversion"/>
  </si>
  <si>
    <t>보건</t>
    <phoneticPr fontId="2" type="noConversion"/>
  </si>
  <si>
    <t>인간과 경제활동</t>
    <phoneticPr fontId="2" type="noConversion"/>
  </si>
  <si>
    <t>일본어 회화, 중국어 회화</t>
    <phoneticPr fontId="2" type="noConversion"/>
  </si>
  <si>
    <t>인공지능 수학</t>
    <phoneticPr fontId="2" type="noConversion"/>
  </si>
  <si>
    <t>경제 수학</t>
    <phoneticPr fontId="2" type="noConversion"/>
  </si>
  <si>
    <t>2026학년도 신입생 3개년 교육과정 편제표(안)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</si>
</sst>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1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돋움"/>
      <family val="3"/>
      <charset val="129"/>
    </font>
    <font>
      <b/>
      <sz val="10"/>
      <name val="나눔고딕"/>
      <family val="3"/>
      <charset val="129"/>
    </font>
    <font>
      <sz val="10"/>
      <name val="나눔고딕"/>
      <family val="3"/>
      <charset val="129"/>
    </font>
    <font>
      <b/>
      <sz val="9"/>
      <name val="나눔고딕"/>
      <family val="3"/>
      <charset val="129"/>
    </font>
    <font>
      <b/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나눔고딕"/>
      <family val="3"/>
      <charset val="129"/>
    </font>
    <font>
      <sz val="9"/>
      <color rgb="FF000000"/>
      <name val="나눔고딕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FD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66FFFF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theme="1"/>
      </left>
      <right style="thick">
        <color indexed="64"/>
      </right>
      <top/>
      <bottom style="thin">
        <color theme="1"/>
      </bottom>
      <diagonal/>
    </border>
    <border>
      <left style="thin">
        <color theme="1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indexed="64"/>
      </right>
      <top style="thin">
        <color theme="1"/>
      </top>
      <bottom/>
      <diagonal/>
    </border>
    <border>
      <left/>
      <right style="thick">
        <color indexed="64"/>
      </right>
      <top style="thin">
        <color theme="1"/>
      </top>
      <bottom/>
      <diagonal/>
    </border>
    <border>
      <left style="thin">
        <color theme="1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medium">
        <color theme="1"/>
      </right>
      <top style="thick">
        <color theme="1"/>
      </top>
      <bottom style="thin">
        <color theme="1"/>
      </bottom>
      <diagonal/>
    </border>
    <border>
      <left style="medium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 style="medium">
        <color theme="1"/>
      </right>
      <top style="thin">
        <color theme="1"/>
      </top>
      <bottom style="thick">
        <color theme="1"/>
      </bottom>
      <diagonal/>
    </border>
    <border>
      <left style="medium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ck">
        <color theme="1"/>
      </left>
      <right style="medium">
        <color theme="1"/>
      </right>
      <top style="thick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thick">
        <color theme="1"/>
      </top>
      <bottom style="medium">
        <color theme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theme="1"/>
      </right>
      <top style="thick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n">
        <color theme="1"/>
      </bottom>
      <diagonal/>
    </border>
    <border>
      <left style="thin">
        <color theme="1"/>
      </left>
      <right/>
      <top style="thick">
        <color indexed="64"/>
      </top>
      <bottom style="thin">
        <color theme="1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theme="1"/>
      </left>
      <right style="thick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theme="1"/>
      </bottom>
      <diagonal/>
    </border>
    <border>
      <left style="thin">
        <color theme="1"/>
      </left>
      <right style="thick">
        <color indexed="64"/>
      </right>
      <top style="thick">
        <color indexed="64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indexed="64"/>
      </top>
      <bottom style="thin">
        <color theme="1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theme="1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theme="1"/>
      </right>
      <top style="thin">
        <color theme="1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indexed="64"/>
      </bottom>
      <diagonal/>
    </border>
    <border>
      <left style="thin">
        <color theme="1"/>
      </left>
      <right style="thick">
        <color indexed="64"/>
      </right>
      <top style="thin">
        <color theme="1"/>
      </top>
      <bottom style="thick">
        <color indexed="64"/>
      </bottom>
      <diagonal/>
    </border>
    <border>
      <left style="thin">
        <color theme="1"/>
      </left>
      <right/>
      <top style="thin">
        <color theme="1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/>
      <bottom style="thick">
        <color indexed="64"/>
      </bottom>
      <diagonal/>
    </border>
    <border>
      <left style="thin">
        <color theme="1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ck">
        <color theme="1"/>
      </right>
      <top style="medium">
        <color theme="1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theme="1"/>
      </left>
      <right style="thick">
        <color theme="1"/>
      </right>
      <top style="thick">
        <color indexed="64"/>
      </top>
      <bottom style="thin">
        <color indexed="64"/>
      </bottom>
      <diagonal/>
    </border>
    <border>
      <left style="thin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theme="1"/>
      </right>
      <top style="thick">
        <color indexed="64"/>
      </top>
      <bottom style="thin">
        <color indexed="64"/>
      </bottom>
      <diagonal/>
    </border>
    <border>
      <left style="thick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4">
    <xf numFmtId="0" fontId="0" fillId="0" borderId="0" xfId="0">
      <alignment vertical="center"/>
    </xf>
    <xf numFmtId="176" fontId="4" fillId="3" borderId="2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3" borderId="11" xfId="0" applyNumberFormat="1" applyFont="1" applyFill="1" applyBorder="1" applyAlignment="1">
      <alignment horizontal="center" vertical="center" wrapText="1"/>
    </xf>
    <xf numFmtId="176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176" fontId="4" fillId="0" borderId="12" xfId="0" applyNumberFormat="1" applyFont="1" applyBorder="1" applyAlignment="1">
      <alignment horizontal="center" vertical="center" wrapText="1"/>
    </xf>
    <xf numFmtId="176" fontId="4" fillId="3" borderId="14" xfId="0" applyNumberFormat="1" applyFont="1" applyFill="1" applyBorder="1" applyAlignment="1">
      <alignment horizontal="center" vertical="center" wrapText="1"/>
    </xf>
    <xf numFmtId="176" fontId="4" fillId="3" borderId="17" xfId="0" applyNumberFormat="1" applyFont="1" applyFill="1" applyBorder="1" applyAlignment="1">
      <alignment horizontal="center" vertical="center" wrapText="1"/>
    </xf>
    <xf numFmtId="176" fontId="4" fillId="3" borderId="10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3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3" borderId="23" xfId="0" applyNumberFormat="1" applyFont="1" applyFill="1" applyBorder="1" applyAlignment="1">
      <alignment horizontal="center" vertical="center" wrapText="1"/>
    </xf>
    <xf numFmtId="176" fontId="4" fillId="0" borderId="25" xfId="0" applyNumberFormat="1" applyFont="1" applyBorder="1" applyAlignment="1">
      <alignment horizontal="center" vertical="center" wrapText="1"/>
    </xf>
    <xf numFmtId="176" fontId="4" fillId="3" borderId="26" xfId="0" applyNumberFormat="1" applyFont="1" applyFill="1" applyBorder="1" applyAlignment="1">
      <alignment horizontal="center" vertical="center" wrapText="1"/>
    </xf>
    <xf numFmtId="176" fontId="4" fillId="3" borderId="21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4" fillId="3" borderId="17" xfId="0" applyNumberFormat="1" applyFont="1" applyFill="1" applyBorder="1" applyAlignment="1">
      <alignment vertical="center" wrapText="1"/>
    </xf>
    <xf numFmtId="176" fontId="4" fillId="3" borderId="14" xfId="0" applyNumberFormat="1" applyFont="1" applyFill="1" applyBorder="1" applyAlignment="1">
      <alignment vertical="center" wrapText="1"/>
    </xf>
    <xf numFmtId="176" fontId="4" fillId="3" borderId="10" xfId="0" applyNumberFormat="1" applyFont="1" applyFill="1" applyBorder="1" applyAlignment="1">
      <alignment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3" borderId="13" xfId="0" applyNumberFormat="1" applyFont="1" applyFill="1" applyBorder="1" applyAlignment="1">
      <alignment horizontal="center" vertical="center" wrapText="1"/>
    </xf>
    <xf numFmtId="176" fontId="4" fillId="3" borderId="9" xfId="0" applyNumberFormat="1" applyFont="1" applyFill="1" applyBorder="1" applyAlignment="1">
      <alignment horizontal="center" vertical="center" wrapText="1"/>
    </xf>
    <xf numFmtId="176" fontId="4" fillId="3" borderId="16" xfId="0" applyNumberFormat="1" applyFont="1" applyFill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vertical="center" wrapText="1"/>
    </xf>
    <xf numFmtId="176" fontId="13" fillId="0" borderId="2" xfId="0" applyNumberFormat="1" applyFont="1" applyBorder="1" applyAlignment="1">
      <alignment horizontal="center" vertical="center" wrapText="1"/>
    </xf>
    <xf numFmtId="176" fontId="4" fillId="3" borderId="24" xfId="0" applyNumberFormat="1" applyFont="1" applyFill="1" applyBorder="1" applyAlignment="1">
      <alignment horizontal="center" vertical="center" wrapText="1"/>
    </xf>
    <xf numFmtId="176" fontId="7" fillId="0" borderId="12" xfId="0" applyNumberFormat="1" applyFont="1" applyBorder="1" applyAlignment="1">
      <alignment horizontal="center" vertical="center" wrapText="1"/>
    </xf>
    <xf numFmtId="176" fontId="7" fillId="0" borderId="13" xfId="0" applyNumberFormat="1" applyFont="1" applyBorder="1" applyAlignment="1">
      <alignment horizontal="center" vertical="center" wrapText="1"/>
    </xf>
    <xf numFmtId="176" fontId="4" fillId="3" borderId="16" xfId="0" applyNumberFormat="1" applyFont="1" applyFill="1" applyBorder="1" applyAlignment="1">
      <alignment vertical="center" wrapText="1"/>
    </xf>
    <xf numFmtId="176" fontId="4" fillId="3" borderId="13" xfId="0" applyNumberFormat="1" applyFont="1" applyFill="1" applyBorder="1" applyAlignment="1">
      <alignment vertical="center" wrapText="1"/>
    </xf>
    <xf numFmtId="176" fontId="4" fillId="3" borderId="9" xfId="0" applyNumberFormat="1" applyFont="1" applyFill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76" fontId="13" fillId="0" borderId="23" xfId="0" applyNumberFormat="1" applyFont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vertical="center" wrapText="1"/>
    </xf>
    <xf numFmtId="176" fontId="4" fillId="3" borderId="23" xfId="0" applyNumberFormat="1" applyFont="1" applyFill="1" applyBorder="1" applyAlignment="1">
      <alignment vertical="center" wrapText="1"/>
    </xf>
    <xf numFmtId="0" fontId="0" fillId="0" borderId="23" xfId="0" applyBorder="1">
      <alignment vertical="center"/>
    </xf>
    <xf numFmtId="176" fontId="4" fillId="3" borderId="25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176" fontId="7" fillId="0" borderId="27" xfId="0" applyNumberFormat="1" applyFont="1" applyBorder="1" applyAlignment="1">
      <alignment horizontal="center" vertical="center" wrapText="1"/>
    </xf>
    <xf numFmtId="176" fontId="7" fillId="0" borderId="21" xfId="0" applyNumberFormat="1" applyFont="1" applyBorder="1" applyAlignment="1">
      <alignment horizontal="center" vertical="center" wrapText="1"/>
    </xf>
    <xf numFmtId="176" fontId="6" fillId="0" borderId="45" xfId="0" applyNumberFormat="1" applyFont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5" fillId="0" borderId="26" xfId="0" applyNumberFormat="1" applyFont="1" applyBorder="1" applyAlignment="1">
      <alignment horizontal="center" vertical="center" wrapText="1"/>
    </xf>
    <xf numFmtId="176" fontId="5" fillId="0" borderId="23" xfId="0" applyNumberFormat="1" applyFont="1" applyBorder="1" applyAlignment="1">
      <alignment horizontal="center" vertical="center" wrapText="1"/>
    </xf>
    <xf numFmtId="176" fontId="5" fillId="0" borderId="48" xfId="0" applyNumberFormat="1" applyFont="1" applyBorder="1" applyAlignment="1">
      <alignment horizontal="center" vertical="center" wrapText="1"/>
    </xf>
    <xf numFmtId="176" fontId="4" fillId="3" borderId="34" xfId="0" applyNumberFormat="1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176" fontId="4" fillId="3" borderId="36" xfId="0" applyNumberFormat="1" applyFont="1" applyFill="1" applyBorder="1" applyAlignment="1">
      <alignment horizontal="center" vertical="center" wrapText="1"/>
    </xf>
    <xf numFmtId="176" fontId="13" fillId="3" borderId="44" xfId="0" applyNumberFormat="1" applyFont="1" applyFill="1" applyBorder="1" applyAlignment="1">
      <alignment horizontal="center" vertical="center" wrapText="1"/>
    </xf>
    <xf numFmtId="176" fontId="13" fillId="3" borderId="46" xfId="0" applyNumberFormat="1" applyFont="1" applyFill="1" applyBorder="1" applyAlignment="1">
      <alignment horizontal="center" vertical="center" wrapText="1"/>
    </xf>
    <xf numFmtId="176" fontId="10" fillId="9" borderId="51" xfId="0" applyNumberFormat="1" applyFont="1" applyFill="1" applyBorder="1" applyAlignment="1">
      <alignment horizontal="center" vertical="center" wrapText="1"/>
    </xf>
    <xf numFmtId="176" fontId="4" fillId="9" borderId="52" xfId="0" applyNumberFormat="1" applyFont="1" applyFill="1" applyBorder="1" applyAlignment="1">
      <alignment horizontal="center" vertical="center" wrapText="1"/>
    </xf>
    <xf numFmtId="0" fontId="0" fillId="0" borderId="26" xfId="0" applyBorder="1">
      <alignment vertical="center"/>
    </xf>
    <xf numFmtId="176" fontId="10" fillId="10" borderId="51" xfId="0" applyNumberFormat="1" applyFont="1" applyFill="1" applyBorder="1" applyAlignment="1">
      <alignment horizontal="center" vertical="center" wrapText="1"/>
    </xf>
    <xf numFmtId="176" fontId="9" fillId="10" borderId="55" xfId="0" applyNumberFormat="1" applyFont="1" applyFill="1" applyBorder="1" applyAlignment="1">
      <alignment horizontal="center" vertical="center" wrapText="1"/>
    </xf>
    <xf numFmtId="176" fontId="10" fillId="8" borderId="57" xfId="0" applyNumberFormat="1" applyFont="1" applyFill="1" applyBorder="1" applyAlignment="1">
      <alignment horizontal="center" vertical="center" wrapText="1"/>
    </xf>
    <xf numFmtId="176" fontId="10" fillId="8" borderId="58" xfId="0" applyNumberFormat="1" applyFont="1" applyFill="1" applyBorder="1" applyAlignment="1">
      <alignment horizontal="center" vertical="center" wrapText="1"/>
    </xf>
    <xf numFmtId="176" fontId="9" fillId="8" borderId="59" xfId="0" applyNumberFormat="1" applyFont="1" applyFill="1" applyBorder="1" applyAlignment="1">
      <alignment horizontal="center" vertical="center" wrapText="1"/>
    </xf>
    <xf numFmtId="176" fontId="9" fillId="8" borderId="60" xfId="0" applyNumberFormat="1" applyFont="1" applyFill="1" applyBorder="1" applyAlignment="1">
      <alignment horizontal="center" vertical="center" wrapText="1"/>
    </xf>
    <xf numFmtId="176" fontId="7" fillId="0" borderId="28" xfId="0" applyNumberFormat="1" applyFont="1" applyBorder="1" applyAlignment="1">
      <alignment horizontal="center" vertical="center" wrapText="1"/>
    </xf>
    <xf numFmtId="176" fontId="7" fillId="0" borderId="25" xfId="0" applyNumberFormat="1" applyFont="1" applyBorder="1" applyAlignment="1">
      <alignment horizontal="center" vertical="center" wrapText="1"/>
    </xf>
    <xf numFmtId="176" fontId="10" fillId="12" borderId="63" xfId="0" applyNumberFormat="1" applyFont="1" applyFill="1" applyBorder="1" applyAlignment="1">
      <alignment horizontal="center" vertical="center" wrapText="1"/>
    </xf>
    <xf numFmtId="176" fontId="10" fillId="12" borderId="64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4" fillId="0" borderId="45" xfId="0" applyNumberFormat="1" applyFont="1" applyBorder="1" applyAlignment="1">
      <alignment horizontal="center" vertical="center" wrapText="1"/>
    </xf>
    <xf numFmtId="176" fontId="4" fillId="0" borderId="46" xfId="0" applyNumberFormat="1" applyFont="1" applyBorder="1" applyAlignment="1">
      <alignment horizontal="center" vertical="center" wrapText="1"/>
    </xf>
    <xf numFmtId="176" fontId="4" fillId="0" borderId="48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5" fillId="2" borderId="48" xfId="0" applyNumberFormat="1" applyFont="1" applyFill="1" applyBorder="1" applyAlignment="1">
      <alignment horizontal="center" vertical="center" shrinkToFit="1"/>
    </xf>
    <xf numFmtId="176" fontId="5" fillId="2" borderId="45" xfId="0" applyNumberFormat="1" applyFont="1" applyFill="1" applyBorder="1" applyAlignment="1">
      <alignment horizontal="center" vertical="center" shrinkToFit="1"/>
    </xf>
    <xf numFmtId="0" fontId="17" fillId="0" borderId="0" xfId="0" applyFont="1" applyAlignment="1">
      <alignment horizontal="left" vertical="top"/>
    </xf>
    <xf numFmtId="176" fontId="4" fillId="3" borderId="1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left" vertical="center" shrinkToFit="1"/>
    </xf>
    <xf numFmtId="176" fontId="4" fillId="4" borderId="11" xfId="0" applyNumberFormat="1" applyFont="1" applyFill="1" applyBorder="1" applyAlignment="1">
      <alignment horizontal="left" vertical="center" wrapText="1"/>
    </xf>
    <xf numFmtId="176" fontId="4" fillId="4" borderId="12" xfId="0" applyNumberFormat="1" applyFont="1" applyFill="1" applyBorder="1" applyAlignment="1">
      <alignment horizontal="left" vertical="center" wrapText="1" shrinkToFit="1"/>
    </xf>
    <xf numFmtId="176" fontId="4" fillId="4" borderId="12" xfId="0" applyNumberFormat="1" applyFont="1" applyFill="1" applyBorder="1" applyAlignment="1">
      <alignment horizontal="left" vertical="center" wrapText="1"/>
    </xf>
    <xf numFmtId="176" fontId="4" fillId="4" borderId="8" xfId="0" applyNumberFormat="1" applyFont="1" applyFill="1" applyBorder="1" applyAlignment="1">
      <alignment horizontal="left" vertical="center" wrapText="1" shrinkToFit="1"/>
    </xf>
    <xf numFmtId="176" fontId="4" fillId="9" borderId="2" xfId="0" applyNumberFormat="1" applyFont="1" applyFill="1" applyBorder="1" applyAlignment="1">
      <alignment horizontal="left" vertical="center" wrapText="1"/>
    </xf>
    <xf numFmtId="176" fontId="4" fillId="5" borderId="11" xfId="0" applyNumberFormat="1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176" fontId="4" fillId="5" borderId="12" xfId="0" applyNumberFormat="1" applyFont="1" applyFill="1" applyBorder="1" applyAlignment="1">
      <alignment horizontal="left" vertical="center" wrapText="1"/>
    </xf>
    <xf numFmtId="176" fontId="4" fillId="10" borderId="2" xfId="0" applyNumberFormat="1" applyFont="1" applyFill="1" applyBorder="1" applyAlignment="1">
      <alignment horizontal="left" vertical="center" wrapText="1"/>
    </xf>
    <xf numFmtId="176" fontId="4" fillId="6" borderId="12" xfId="0" applyNumberFormat="1" applyFont="1" applyFill="1" applyBorder="1" applyAlignment="1">
      <alignment horizontal="left" vertical="center" shrinkToFit="1"/>
    </xf>
    <xf numFmtId="176" fontId="4" fillId="6" borderId="12" xfId="0" applyNumberFormat="1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shrinkToFit="1"/>
    </xf>
    <xf numFmtId="0" fontId="4" fillId="6" borderId="12" xfId="0" applyFont="1" applyFill="1" applyBorder="1" applyAlignment="1">
      <alignment horizontal="left" vertical="center" wrapText="1" shrinkToFit="1"/>
    </xf>
    <xf numFmtId="176" fontId="4" fillId="7" borderId="11" xfId="0" applyNumberFormat="1" applyFont="1" applyFill="1" applyBorder="1" applyAlignment="1">
      <alignment horizontal="left" vertical="center" shrinkToFit="1"/>
    </xf>
    <xf numFmtId="176" fontId="4" fillId="7" borderId="12" xfId="0" applyNumberFormat="1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 shrinkToFit="1"/>
    </xf>
    <xf numFmtId="176" fontId="4" fillId="8" borderId="2" xfId="0" applyNumberFormat="1" applyFont="1" applyFill="1" applyBorder="1" applyAlignment="1">
      <alignment horizontal="left" vertical="center" wrapText="1"/>
    </xf>
    <xf numFmtId="176" fontId="4" fillId="12" borderId="1" xfId="0" applyNumberFormat="1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 shrinkToFit="1"/>
    </xf>
    <xf numFmtId="176" fontId="4" fillId="8" borderId="20" xfId="0" applyNumberFormat="1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176" fontId="4" fillId="0" borderId="72" xfId="0" applyNumberFormat="1" applyFont="1" applyBorder="1" applyAlignment="1">
      <alignment horizontal="center" vertical="center" wrapText="1"/>
    </xf>
    <xf numFmtId="176" fontId="4" fillId="0" borderId="84" xfId="0" applyNumberFormat="1" applyFont="1" applyBorder="1" applyAlignment="1">
      <alignment horizontal="center" vertical="center" wrapText="1"/>
    </xf>
    <xf numFmtId="176" fontId="4" fillId="3" borderId="76" xfId="0" applyNumberFormat="1" applyFont="1" applyFill="1" applyBorder="1" applyAlignment="1">
      <alignment horizontal="center" vertical="center" wrapText="1"/>
    </xf>
    <xf numFmtId="176" fontId="4" fillId="3" borderId="48" xfId="0" applyNumberFormat="1" applyFont="1" applyFill="1" applyBorder="1" applyAlignment="1">
      <alignment horizontal="center" vertical="center" wrapText="1"/>
    </xf>
    <xf numFmtId="176" fontId="4" fillId="3" borderId="45" xfId="0" applyNumberFormat="1" applyFont="1" applyFill="1" applyBorder="1" applyAlignment="1">
      <alignment horizontal="left" vertical="center" shrinkToFit="1"/>
    </xf>
    <xf numFmtId="0" fontId="4" fillId="3" borderId="45" xfId="0" applyFont="1" applyFill="1" applyBorder="1" applyAlignment="1">
      <alignment horizontal="center" vertical="center" wrapText="1"/>
    </xf>
    <xf numFmtId="176" fontId="4" fillId="3" borderId="46" xfId="0" applyNumberFormat="1" applyFont="1" applyFill="1" applyBorder="1" applyAlignment="1">
      <alignment horizontal="center" vertical="center" wrapText="1"/>
    </xf>
    <xf numFmtId="176" fontId="4" fillId="3" borderId="89" xfId="0" applyNumberFormat="1" applyFont="1" applyFill="1" applyBorder="1" applyAlignment="1">
      <alignment horizontal="center" vertical="center" wrapText="1"/>
    </xf>
    <xf numFmtId="176" fontId="4" fillId="3" borderId="90" xfId="0" applyNumberFormat="1" applyFont="1" applyFill="1" applyBorder="1" applyAlignment="1">
      <alignment horizontal="center" vertical="center" wrapText="1"/>
    </xf>
    <xf numFmtId="176" fontId="4" fillId="3" borderId="45" xfId="0" applyNumberFormat="1" applyFont="1" applyFill="1" applyBorder="1" applyAlignment="1">
      <alignment horizontal="center" vertical="center" wrapText="1"/>
    </xf>
    <xf numFmtId="176" fontId="7" fillId="5" borderId="92" xfId="0" applyNumberFormat="1" applyFont="1" applyFill="1" applyBorder="1" applyAlignment="1">
      <alignment horizontal="center" vertical="center" wrapText="1"/>
    </xf>
    <xf numFmtId="176" fontId="4" fillId="3" borderId="93" xfId="0" applyNumberFormat="1" applyFont="1" applyFill="1" applyBorder="1" applyAlignment="1">
      <alignment horizontal="center" vertical="center" wrapText="1"/>
    </xf>
    <xf numFmtId="176" fontId="4" fillId="3" borderId="68" xfId="0" applyNumberFormat="1" applyFont="1" applyFill="1" applyBorder="1" applyAlignment="1">
      <alignment horizontal="center" vertical="center" wrapText="1"/>
    </xf>
    <xf numFmtId="176" fontId="4" fillId="4" borderId="69" xfId="0" applyNumberFormat="1" applyFont="1" applyFill="1" applyBorder="1" applyAlignment="1">
      <alignment horizontal="left" vertical="center" wrapText="1"/>
    </xf>
    <xf numFmtId="0" fontId="4" fillId="3" borderId="69" xfId="0" applyFont="1" applyFill="1" applyBorder="1" applyAlignment="1">
      <alignment horizontal="center" vertical="center" wrapText="1"/>
    </xf>
    <xf numFmtId="0" fontId="4" fillId="3" borderId="94" xfId="0" applyFont="1" applyFill="1" applyBorder="1" applyAlignment="1">
      <alignment horizontal="center" vertical="center" wrapText="1"/>
    </xf>
    <xf numFmtId="176" fontId="4" fillId="3" borderId="68" xfId="0" applyNumberFormat="1" applyFont="1" applyFill="1" applyBorder="1" applyAlignment="1">
      <alignment vertical="center" wrapText="1"/>
    </xf>
    <xf numFmtId="176" fontId="4" fillId="3" borderId="70" xfId="0" applyNumberFormat="1" applyFont="1" applyFill="1" applyBorder="1" applyAlignment="1">
      <alignment vertical="center" wrapText="1"/>
    </xf>
    <xf numFmtId="176" fontId="7" fillId="4" borderId="95" xfId="0" applyNumberFormat="1" applyFont="1" applyFill="1" applyBorder="1" applyAlignment="1">
      <alignment horizontal="center" vertical="center" wrapText="1"/>
    </xf>
    <xf numFmtId="176" fontId="4" fillId="3" borderId="30" xfId="0" applyNumberFormat="1" applyFont="1" applyFill="1" applyBorder="1" applyAlignment="1">
      <alignment vertical="center" wrapText="1"/>
    </xf>
    <xf numFmtId="176" fontId="4" fillId="3" borderId="96" xfId="0" applyNumberFormat="1" applyFont="1" applyFill="1" applyBorder="1" applyAlignment="1">
      <alignment vertical="center" wrapText="1"/>
    </xf>
    <xf numFmtId="176" fontId="4" fillId="9" borderId="45" xfId="0" applyNumberFormat="1" applyFont="1" applyFill="1" applyBorder="1" applyAlignment="1">
      <alignment horizontal="left" vertical="center" wrapText="1"/>
    </xf>
    <xf numFmtId="0" fontId="4" fillId="3" borderId="46" xfId="0" applyFont="1" applyFill="1" applyBorder="1" applyAlignment="1">
      <alignment horizontal="center" vertical="center" wrapText="1"/>
    </xf>
    <xf numFmtId="176" fontId="4" fillId="3" borderId="48" xfId="0" applyNumberFormat="1" applyFont="1" applyFill="1" applyBorder="1" applyAlignment="1">
      <alignment vertical="center" wrapText="1"/>
    </xf>
    <xf numFmtId="176" fontId="4" fillId="3" borderId="98" xfId="0" applyNumberFormat="1" applyFont="1" applyFill="1" applyBorder="1" applyAlignment="1">
      <alignment vertical="center" wrapText="1"/>
    </xf>
    <xf numFmtId="176" fontId="4" fillId="3" borderId="45" xfId="0" applyNumberFormat="1" applyFont="1" applyFill="1" applyBorder="1" applyAlignment="1">
      <alignment vertical="center" wrapText="1"/>
    </xf>
    <xf numFmtId="176" fontId="4" fillId="3" borderId="100" xfId="0" applyNumberFormat="1" applyFont="1" applyFill="1" applyBorder="1" applyAlignment="1">
      <alignment horizontal="center" vertical="center" wrapText="1"/>
    </xf>
    <xf numFmtId="176" fontId="4" fillId="10" borderId="45" xfId="0" applyNumberFormat="1" applyFont="1" applyFill="1" applyBorder="1" applyAlignment="1">
      <alignment horizontal="left" vertical="center" wrapText="1"/>
    </xf>
    <xf numFmtId="176" fontId="7" fillId="0" borderId="98" xfId="0" applyNumberFormat="1" applyFont="1" applyBorder="1" applyAlignment="1">
      <alignment horizontal="center" vertical="center" wrapText="1"/>
    </xf>
    <xf numFmtId="0" fontId="0" fillId="0" borderId="48" xfId="0" applyBorder="1">
      <alignment vertical="center"/>
    </xf>
    <xf numFmtId="0" fontId="10" fillId="7" borderId="88" xfId="0" applyFont="1" applyFill="1" applyBorder="1" applyAlignment="1">
      <alignment horizontal="center" vertical="center"/>
    </xf>
    <xf numFmtId="176" fontId="4" fillId="6" borderId="69" xfId="0" applyNumberFormat="1" applyFont="1" applyFill="1" applyBorder="1" applyAlignment="1">
      <alignment horizontal="left" vertical="center" shrinkToFit="1"/>
    </xf>
    <xf numFmtId="176" fontId="4" fillId="3" borderId="70" xfId="0" applyNumberFormat="1" applyFont="1" applyFill="1" applyBorder="1" applyAlignment="1">
      <alignment horizontal="center" vertical="center" wrapText="1"/>
    </xf>
    <xf numFmtId="176" fontId="4" fillId="3" borderId="69" xfId="0" applyNumberFormat="1" applyFont="1" applyFill="1" applyBorder="1" applyAlignment="1">
      <alignment horizontal="center" vertical="center" wrapText="1"/>
    </xf>
    <xf numFmtId="0" fontId="7" fillId="6" borderId="95" xfId="0" applyFont="1" applyFill="1" applyBorder="1" applyAlignment="1">
      <alignment horizontal="center" vertical="center"/>
    </xf>
    <xf numFmtId="176" fontId="4" fillId="0" borderId="104" xfId="0" applyNumberFormat="1" applyFont="1" applyBorder="1" applyAlignment="1">
      <alignment horizontal="center" vertical="center" wrapText="1"/>
    </xf>
    <xf numFmtId="176" fontId="4" fillId="3" borderId="105" xfId="0" applyNumberFormat="1" applyFont="1" applyFill="1" applyBorder="1" applyAlignment="1">
      <alignment horizontal="center" vertical="center" wrapText="1"/>
    </xf>
    <xf numFmtId="0" fontId="4" fillId="6" borderId="106" xfId="0" applyFont="1" applyFill="1" applyBorder="1" applyAlignment="1">
      <alignment horizontal="left" vertical="center" wrapText="1" shrinkToFit="1"/>
    </xf>
    <xf numFmtId="0" fontId="4" fillId="3" borderId="106" xfId="0" applyFont="1" applyFill="1" applyBorder="1" applyAlignment="1">
      <alignment horizontal="center" vertical="center" wrapText="1"/>
    </xf>
    <xf numFmtId="0" fontId="4" fillId="3" borderId="107" xfId="0" applyFont="1" applyFill="1" applyBorder="1" applyAlignment="1">
      <alignment horizontal="center" vertical="center" wrapText="1"/>
    </xf>
    <xf numFmtId="176" fontId="4" fillId="3" borderId="108" xfId="0" applyNumberFormat="1" applyFont="1" applyFill="1" applyBorder="1" applyAlignment="1">
      <alignment horizontal="center" vertical="center" wrapText="1"/>
    </xf>
    <xf numFmtId="176" fontId="4" fillId="3" borderId="106" xfId="0" applyNumberFormat="1" applyFont="1" applyFill="1" applyBorder="1" applyAlignment="1">
      <alignment horizontal="center" vertical="center" wrapText="1"/>
    </xf>
    <xf numFmtId="176" fontId="9" fillId="12" borderId="111" xfId="0" applyNumberFormat="1" applyFont="1" applyFill="1" applyBorder="1" applyAlignment="1">
      <alignment horizontal="center" vertical="center" wrapText="1"/>
    </xf>
    <xf numFmtId="176" fontId="9" fillId="12" borderId="112" xfId="0" applyNumberFormat="1" applyFont="1" applyFill="1" applyBorder="1" applyAlignment="1">
      <alignment horizontal="center" vertical="center" wrapText="1"/>
    </xf>
    <xf numFmtId="176" fontId="4" fillId="5" borderId="8" xfId="0" applyNumberFormat="1" applyFont="1" applyFill="1" applyBorder="1" applyAlignment="1">
      <alignment horizontal="left" vertical="distributed" wrapText="1"/>
    </xf>
    <xf numFmtId="176" fontId="4" fillId="0" borderId="79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left" vertical="center"/>
    </xf>
    <xf numFmtId="176" fontId="4" fillId="3" borderId="21" xfId="0" applyNumberFormat="1" applyFont="1" applyFill="1" applyBorder="1" applyAlignment="1">
      <alignment horizontal="left" vertical="center" shrinkToFit="1"/>
    </xf>
    <xf numFmtId="176" fontId="4" fillId="3" borderId="35" xfId="0" applyNumberFormat="1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10" fillId="3" borderId="67" xfId="0" applyFont="1" applyFill="1" applyBorder="1" applyAlignment="1">
      <alignment vertical="center"/>
    </xf>
    <xf numFmtId="0" fontId="7" fillId="3" borderId="19" xfId="0" applyFont="1" applyFill="1" applyBorder="1" applyAlignment="1">
      <alignment vertical="center"/>
    </xf>
    <xf numFmtId="176" fontId="10" fillId="3" borderId="89" xfId="0" applyNumberFormat="1" applyFont="1" applyFill="1" applyBorder="1" applyAlignment="1">
      <alignment vertical="center" wrapText="1"/>
    </xf>
    <xf numFmtId="0" fontId="7" fillId="3" borderId="116" xfId="0" applyFont="1" applyFill="1" applyBorder="1" applyAlignment="1">
      <alignment vertical="center"/>
    </xf>
    <xf numFmtId="0" fontId="7" fillId="3" borderId="117" xfId="0" applyFont="1" applyFill="1" applyBorder="1" applyAlignment="1">
      <alignment vertical="center"/>
    </xf>
    <xf numFmtId="0" fontId="10" fillId="3" borderId="118" xfId="0" applyFont="1" applyFill="1" applyBorder="1" applyAlignment="1">
      <alignment vertical="center"/>
    </xf>
    <xf numFmtId="0" fontId="10" fillId="3" borderId="119" xfId="0" applyFont="1" applyFill="1" applyBorder="1" applyAlignment="1">
      <alignment vertical="center"/>
    </xf>
    <xf numFmtId="176" fontId="10" fillId="3" borderId="65" xfId="0" applyNumberFormat="1" applyFont="1" applyFill="1" applyBorder="1" applyAlignment="1">
      <alignment vertical="center" wrapText="1"/>
    </xf>
    <xf numFmtId="176" fontId="4" fillId="3" borderId="1" xfId="0" applyNumberFormat="1" applyFont="1" applyFill="1" applyBorder="1" applyAlignment="1">
      <alignment vertical="center" wrapText="1"/>
    </xf>
    <xf numFmtId="176" fontId="10" fillId="3" borderId="120" xfId="0" applyNumberFormat="1" applyFont="1" applyFill="1" applyBorder="1" applyAlignment="1">
      <alignment vertical="center" wrapText="1"/>
    </xf>
    <xf numFmtId="176" fontId="10" fillId="3" borderId="121" xfId="0" applyNumberFormat="1" applyFont="1" applyFill="1" applyBorder="1" applyAlignment="1">
      <alignment vertical="center" wrapText="1"/>
    </xf>
    <xf numFmtId="176" fontId="4" fillId="3" borderId="79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36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176" fontId="4" fillId="3" borderId="83" xfId="0" applyNumberFormat="1" applyFont="1" applyFill="1" applyBorder="1" applyAlignment="1">
      <alignment horizontal="center" vertical="center" wrapText="1"/>
    </xf>
    <xf numFmtId="176" fontId="4" fillId="3" borderId="8" xfId="0" applyNumberFormat="1" applyFont="1" applyFill="1" applyBorder="1" applyAlignment="1">
      <alignment horizontal="center" vertical="center" wrapText="1"/>
    </xf>
    <xf numFmtId="176" fontId="4" fillId="0" borderId="80" xfId="0" applyNumberFormat="1" applyFont="1" applyBorder="1" applyAlignment="1">
      <alignment horizontal="center" vertical="center" wrapText="1"/>
    </xf>
    <xf numFmtId="176" fontId="4" fillId="0" borderId="78" xfId="0" applyNumberFormat="1" applyFont="1" applyBorder="1" applyAlignment="1">
      <alignment horizontal="center" vertical="center" wrapText="1"/>
    </xf>
    <xf numFmtId="176" fontId="4" fillId="3" borderId="80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36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4" xfId="0" applyNumberFormat="1" applyFont="1" applyBorder="1" applyAlignment="1">
      <alignment horizontal="center" vertical="center" wrapText="1"/>
    </xf>
    <xf numFmtId="176" fontId="5" fillId="0" borderId="45" xfId="0" applyNumberFormat="1" applyFont="1" applyBorder="1" applyAlignment="1">
      <alignment horizontal="center" vertical="center" wrapText="1"/>
    </xf>
    <xf numFmtId="176" fontId="5" fillId="0" borderId="46" xfId="0" applyNumberFormat="1" applyFont="1" applyBorder="1" applyAlignment="1">
      <alignment horizontal="center" vertical="center" wrapText="1"/>
    </xf>
    <xf numFmtId="176" fontId="5" fillId="0" borderId="65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36" xfId="0" applyNumberFormat="1" applyFont="1" applyBorder="1" applyAlignment="1">
      <alignment horizontal="center" vertical="center" wrapText="1"/>
    </xf>
    <xf numFmtId="176" fontId="5" fillId="0" borderId="33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4" xfId="0" applyNumberFormat="1" applyFont="1" applyBorder="1" applyAlignment="1">
      <alignment horizontal="center" vertical="center" wrapText="1"/>
    </xf>
    <xf numFmtId="176" fontId="5" fillId="0" borderId="44" xfId="0" applyNumberFormat="1" applyFont="1" applyBorder="1" applyAlignment="1">
      <alignment horizontal="center" vertical="center" wrapText="1"/>
    </xf>
    <xf numFmtId="176" fontId="5" fillId="0" borderId="45" xfId="0" applyNumberFormat="1" applyFont="1" applyBorder="1" applyAlignment="1">
      <alignment horizontal="center" vertical="center" wrapText="1"/>
    </xf>
    <xf numFmtId="176" fontId="5" fillId="0" borderId="46" xfId="0" applyNumberFormat="1" applyFont="1" applyBorder="1" applyAlignment="1">
      <alignment horizontal="center" vertical="center" wrapText="1"/>
    </xf>
    <xf numFmtId="176" fontId="4" fillId="0" borderId="85" xfId="0" applyNumberFormat="1" applyFont="1" applyBorder="1" applyAlignment="1">
      <alignment horizontal="center" vertical="center" wrapText="1"/>
    </xf>
    <xf numFmtId="176" fontId="4" fillId="0" borderId="82" xfId="0" applyNumberFormat="1" applyFont="1" applyBorder="1" applyAlignment="1">
      <alignment horizontal="center" vertical="center" wrapText="1"/>
    </xf>
    <xf numFmtId="176" fontId="4" fillId="0" borderId="61" xfId="0" applyNumberFormat="1" applyFont="1" applyBorder="1" applyAlignment="1">
      <alignment horizontal="center" vertical="center" wrapText="1"/>
    </xf>
    <xf numFmtId="176" fontId="4" fillId="0" borderId="62" xfId="0" applyNumberFormat="1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 wrapText="1"/>
    </xf>
    <xf numFmtId="176" fontId="4" fillId="3" borderId="97" xfId="0" applyNumberFormat="1" applyFont="1" applyFill="1" applyBorder="1" applyAlignment="1">
      <alignment horizontal="center" vertical="center" wrapText="1"/>
    </xf>
    <xf numFmtId="176" fontId="4" fillId="3" borderId="15" xfId="0" applyNumberFormat="1" applyFont="1" applyFill="1" applyBorder="1" applyAlignment="1">
      <alignment horizontal="center" vertical="center" wrapText="1"/>
    </xf>
    <xf numFmtId="176" fontId="9" fillId="5" borderId="53" xfId="0" applyNumberFormat="1" applyFont="1" applyFill="1" applyBorder="1" applyAlignment="1">
      <alignment horizontal="center" vertical="center" wrapText="1"/>
    </xf>
    <xf numFmtId="176" fontId="9" fillId="5" borderId="54" xfId="0" applyNumberFormat="1" applyFont="1" applyFill="1" applyBorder="1" applyAlignment="1">
      <alignment horizontal="center" vertical="center" wrapText="1"/>
    </xf>
    <xf numFmtId="176" fontId="4" fillId="3" borderId="80" xfId="0" applyNumberFormat="1" applyFont="1" applyFill="1" applyBorder="1" applyAlignment="1">
      <alignment horizontal="center" vertical="center" wrapText="1"/>
    </xf>
    <xf numFmtId="176" fontId="4" fillId="3" borderId="78" xfId="0" applyNumberFormat="1" applyFont="1" applyFill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90" xfId="0" applyNumberFormat="1" applyFont="1" applyBorder="1" applyAlignment="1">
      <alignment horizontal="center" vertical="center" wrapText="1"/>
    </xf>
    <xf numFmtId="176" fontId="4" fillId="3" borderId="85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41" xfId="0" applyNumberFormat="1" applyFont="1" applyBorder="1" applyAlignment="1">
      <alignment horizontal="center" vertical="center" wrapText="1"/>
    </xf>
    <xf numFmtId="176" fontId="4" fillId="0" borderId="39" xfId="0" applyNumberFormat="1" applyFont="1" applyBorder="1" applyAlignment="1">
      <alignment horizontal="center" vertical="center" wrapText="1"/>
    </xf>
    <xf numFmtId="176" fontId="4" fillId="0" borderId="113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176" fontId="4" fillId="0" borderId="114" xfId="0" applyNumberFormat="1" applyFont="1" applyBorder="1" applyAlignment="1">
      <alignment horizontal="center" vertical="center" wrapText="1"/>
    </xf>
    <xf numFmtId="176" fontId="4" fillId="0" borderId="38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176" fontId="4" fillId="0" borderId="115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4" fillId="0" borderId="66" xfId="0" applyNumberFormat="1" applyFont="1" applyBorder="1" applyAlignment="1">
      <alignment horizontal="center" vertical="center" wrapText="1"/>
    </xf>
    <xf numFmtId="176" fontId="4" fillId="0" borderId="67" xfId="0" applyNumberFormat="1" applyFont="1" applyBorder="1" applyAlignment="1">
      <alignment horizontal="center" vertical="center" wrapText="1"/>
    </xf>
    <xf numFmtId="176" fontId="4" fillId="0" borderId="100" xfId="0" applyNumberFormat="1" applyFont="1" applyBorder="1" applyAlignment="1">
      <alignment horizontal="center" vertical="center" wrapText="1"/>
    </xf>
    <xf numFmtId="176" fontId="4" fillId="0" borderId="80" xfId="0" applyNumberFormat="1" applyFont="1" applyBorder="1" applyAlignment="1">
      <alignment horizontal="center" vertical="center" wrapText="1" shrinkToFit="1"/>
    </xf>
    <xf numFmtId="176" fontId="4" fillId="0" borderId="78" xfId="0" applyNumberFormat="1" applyFont="1" applyBorder="1" applyAlignment="1">
      <alignment horizontal="center" vertical="center" wrapText="1" shrinkToFit="1"/>
    </xf>
    <xf numFmtId="0" fontId="4" fillId="0" borderId="8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0" fontId="4" fillId="7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176" fontId="4" fillId="0" borderId="86" xfId="0" applyNumberFormat="1" applyFont="1" applyBorder="1" applyAlignment="1">
      <alignment horizontal="center" vertical="center" wrapText="1"/>
    </xf>
    <xf numFmtId="176" fontId="4" fillId="0" borderId="78" xfId="0" applyNumberFormat="1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176" fontId="4" fillId="0" borderId="91" xfId="0" applyNumberFormat="1" applyFont="1" applyBorder="1" applyAlignment="1">
      <alignment horizontal="center" vertical="center" wrapText="1"/>
    </xf>
    <xf numFmtId="176" fontId="4" fillId="0" borderId="101" xfId="0" applyNumberFormat="1" applyFont="1" applyBorder="1" applyAlignment="1">
      <alignment horizontal="center" vertical="center" wrapText="1"/>
    </xf>
    <xf numFmtId="176" fontId="4" fillId="3" borderId="99" xfId="0" applyNumberFormat="1" applyFont="1" applyFill="1" applyBorder="1" applyAlignment="1">
      <alignment horizontal="center" vertical="center" wrapText="1"/>
    </xf>
    <xf numFmtId="176" fontId="4" fillId="0" borderId="103" xfId="0" applyNumberFormat="1" applyFont="1" applyBorder="1" applyAlignment="1">
      <alignment horizontal="center" vertical="center" wrapText="1"/>
    </xf>
    <xf numFmtId="176" fontId="4" fillId="0" borderId="43" xfId="0" applyNumberFormat="1" applyFont="1" applyBorder="1" applyAlignment="1">
      <alignment horizontal="center" vertical="center" wrapText="1"/>
    </xf>
    <xf numFmtId="176" fontId="4" fillId="0" borderId="110" xfId="0" applyNumberFormat="1" applyFont="1" applyBorder="1" applyAlignment="1">
      <alignment horizontal="center" vertical="center" wrapText="1"/>
    </xf>
    <xf numFmtId="0" fontId="4" fillId="6" borderId="56" xfId="0" applyFont="1" applyFill="1" applyBorder="1" applyAlignment="1">
      <alignment horizontal="center" vertical="center" wrapText="1"/>
    </xf>
    <xf numFmtId="0" fontId="4" fillId="6" borderId="50" xfId="0" applyFont="1" applyFill="1" applyBorder="1" applyAlignment="1">
      <alignment horizontal="center" vertical="center" wrapText="1"/>
    </xf>
    <xf numFmtId="0" fontId="4" fillId="6" borderId="109" xfId="0" applyFont="1" applyFill="1" applyBorder="1" applyAlignment="1">
      <alignment horizontal="center" vertical="center" wrapText="1"/>
    </xf>
    <xf numFmtId="176" fontId="4" fillId="0" borderId="80" xfId="0" applyNumberFormat="1" applyFont="1" applyBorder="1" applyAlignment="1">
      <alignment horizontal="center" vertical="center" wrapText="1"/>
    </xf>
    <xf numFmtId="176" fontId="4" fillId="3" borderId="94" xfId="0" applyNumberFormat="1" applyFont="1" applyFill="1" applyBorder="1" applyAlignment="1">
      <alignment horizontal="center" vertical="center" wrapText="1"/>
    </xf>
    <xf numFmtId="176" fontId="4" fillId="3" borderId="39" xfId="0" applyNumberFormat="1" applyFont="1" applyFill="1" applyBorder="1" applyAlignment="1">
      <alignment horizontal="center" vertical="center" wrapText="1"/>
    </xf>
    <xf numFmtId="176" fontId="4" fillId="3" borderId="40" xfId="0" applyNumberFormat="1" applyFont="1" applyFill="1" applyBorder="1" applyAlignment="1">
      <alignment horizontal="center" vertical="center" wrapText="1"/>
    </xf>
    <xf numFmtId="176" fontId="4" fillId="3" borderId="41" xfId="0" applyNumberFormat="1" applyFont="1" applyFill="1" applyBorder="1" applyAlignment="1">
      <alignment horizontal="center" vertical="center" wrapText="1"/>
    </xf>
    <xf numFmtId="176" fontId="4" fillId="3" borderId="42" xfId="0" applyNumberFormat="1" applyFont="1" applyFill="1" applyBorder="1" applyAlignment="1">
      <alignment horizontal="center" vertical="center" wrapText="1"/>
    </xf>
    <xf numFmtId="176" fontId="4" fillId="3" borderId="81" xfId="0" applyNumberFormat="1" applyFont="1" applyFill="1" applyBorder="1" applyAlignment="1">
      <alignment horizontal="center" vertical="center" wrapText="1"/>
    </xf>
    <xf numFmtId="176" fontId="4" fillId="3" borderId="82" xfId="0" applyNumberFormat="1" applyFont="1" applyFill="1" applyBorder="1" applyAlignment="1">
      <alignment horizontal="center" vertical="center" wrapText="1"/>
    </xf>
    <xf numFmtId="176" fontId="4" fillId="4" borderId="49" xfId="0" applyNumberFormat="1" applyFont="1" applyFill="1" applyBorder="1" applyAlignment="1">
      <alignment horizontal="center" vertical="center" wrapText="1"/>
    </xf>
    <xf numFmtId="176" fontId="4" fillId="4" borderId="50" xfId="0" applyNumberFormat="1" applyFont="1" applyFill="1" applyBorder="1" applyAlignment="1">
      <alignment horizontal="center" vertical="center" wrapText="1"/>
    </xf>
    <xf numFmtId="176" fontId="4" fillId="3" borderId="83" xfId="0" applyNumberFormat="1" applyFont="1" applyFill="1" applyBorder="1" applyAlignment="1">
      <alignment horizontal="center" vertical="center" wrapText="1"/>
    </xf>
    <xf numFmtId="176" fontId="4" fillId="3" borderId="8" xfId="0" applyNumberFormat="1" applyFont="1" applyFill="1" applyBorder="1" applyAlignment="1">
      <alignment horizontal="center" vertical="center" wrapText="1"/>
    </xf>
    <xf numFmtId="176" fontId="4" fillId="3" borderId="79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14" fillId="11" borderId="29" xfId="0" applyNumberFormat="1" applyFont="1" applyFill="1" applyBorder="1" applyAlignment="1">
      <alignment horizontal="center" vertical="center" wrapText="1"/>
    </xf>
    <xf numFmtId="176" fontId="14" fillId="11" borderId="32" xfId="0" applyNumberFormat="1" applyFont="1" applyFill="1" applyBorder="1" applyAlignment="1">
      <alignment horizontal="center"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176" fontId="4" fillId="0" borderId="89" xfId="0" applyNumberFormat="1" applyFont="1" applyBorder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36" xfId="0" applyNumberFormat="1" applyFont="1" applyBorder="1" applyAlignment="1">
      <alignment horizontal="center" vertical="center" wrapText="1"/>
    </xf>
    <xf numFmtId="176" fontId="4" fillId="3" borderId="80" xfId="0" applyNumberFormat="1" applyFont="1" applyFill="1" applyBorder="1" applyAlignment="1">
      <alignment horizontal="center" vertical="center" shrinkToFit="1"/>
    </xf>
    <xf numFmtId="176" fontId="4" fillId="3" borderId="85" xfId="0" applyNumberFormat="1" applyFont="1" applyFill="1" applyBorder="1" applyAlignment="1">
      <alignment horizontal="center" vertical="center" shrinkToFit="1"/>
    </xf>
    <xf numFmtId="176" fontId="4" fillId="3" borderId="78" xfId="0" applyNumberFormat="1" applyFont="1" applyFill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2" borderId="73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176" fontId="5" fillId="2" borderId="74" xfId="0" applyNumberFormat="1" applyFont="1" applyFill="1" applyBorder="1" applyAlignment="1">
      <alignment horizontal="center" vertical="center" wrapText="1"/>
    </xf>
    <xf numFmtId="176" fontId="5" fillId="2" borderId="76" xfId="0" applyNumberFormat="1" applyFont="1" applyFill="1" applyBorder="1" applyAlignment="1">
      <alignment horizontal="center" vertical="center" wrapText="1"/>
    </xf>
    <xf numFmtId="176" fontId="5" fillId="2" borderId="31" xfId="0" applyNumberFormat="1" applyFont="1" applyFill="1" applyBorder="1" applyAlignment="1">
      <alignment horizontal="center" vertical="center" wrapText="1"/>
    </xf>
    <xf numFmtId="176" fontId="5" fillId="2" borderId="30" xfId="0" applyNumberFormat="1" applyFont="1" applyFill="1" applyBorder="1" applyAlignment="1">
      <alignment horizontal="center" vertical="center" wrapText="1"/>
    </xf>
    <xf numFmtId="176" fontId="5" fillId="2" borderId="48" xfId="0" applyNumberFormat="1" applyFont="1" applyFill="1" applyBorder="1" applyAlignment="1">
      <alignment horizontal="center" vertical="center" wrapText="1"/>
    </xf>
    <xf numFmtId="176" fontId="5" fillId="2" borderId="45" xfId="0" applyNumberFormat="1" applyFont="1" applyFill="1" applyBorder="1" applyAlignment="1">
      <alignment horizontal="center" vertical="center" wrapText="1"/>
    </xf>
    <xf numFmtId="176" fontId="5" fillId="2" borderId="32" xfId="0" applyNumberFormat="1" applyFont="1" applyFill="1" applyBorder="1" applyAlignment="1">
      <alignment horizontal="center" vertical="center" wrapText="1"/>
    </xf>
    <xf numFmtId="176" fontId="5" fillId="2" borderId="4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933FF"/>
      <color rgb="FFFFCCFF"/>
      <color rgb="FFFF99FF"/>
      <color rgb="FF66FFFF"/>
      <color rgb="FFFFFF66"/>
      <color rgb="FF0066FF"/>
      <color rgb="FF00FFFF"/>
      <color rgb="FFFF9900"/>
      <color rgb="FFFFFF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23EB-0798-402F-B66A-A5CB3BEBFB15}">
  <sheetPr>
    <pageSetUpPr fitToPage="1"/>
  </sheetPr>
  <dimension ref="A1:N82"/>
  <sheetViews>
    <sheetView tabSelected="1" zoomScaleNormal="100" workbookViewId="0">
      <selection activeCell="N75" sqref="A1:N75"/>
    </sheetView>
  </sheetViews>
  <sheetFormatPr defaultRowHeight="16.5" x14ac:dyDescent="0.3"/>
  <cols>
    <col min="1" max="1" width="4" customWidth="1"/>
    <col min="2" max="2" width="12.25" customWidth="1"/>
    <col min="3" max="3" width="6.75" customWidth="1"/>
    <col min="4" max="4" width="49.125" customWidth="1"/>
    <col min="5" max="6" width="4.5" customWidth="1"/>
    <col min="7" max="12" width="5.25" customWidth="1"/>
    <col min="13" max="14" width="5" customWidth="1"/>
  </cols>
  <sheetData>
    <row r="1" spans="1:14" ht="26.25" x14ac:dyDescent="0.3">
      <c r="A1" s="282" t="s">
        <v>121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17.25" thickBot="1" x14ac:dyDescent="0.35">
      <c r="A2" s="283" t="s">
        <v>110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</row>
    <row r="3" spans="1:14" ht="17.25" thickTop="1" x14ac:dyDescent="0.3">
      <c r="A3" s="284" t="s">
        <v>0</v>
      </c>
      <c r="B3" s="286" t="s">
        <v>1</v>
      </c>
      <c r="C3" s="288" t="s">
        <v>2</v>
      </c>
      <c r="D3" s="289"/>
      <c r="E3" s="289" t="s">
        <v>63</v>
      </c>
      <c r="F3" s="292" t="s">
        <v>64</v>
      </c>
      <c r="G3" s="288" t="s">
        <v>3</v>
      </c>
      <c r="H3" s="289"/>
      <c r="I3" s="289" t="s">
        <v>4</v>
      </c>
      <c r="J3" s="289"/>
      <c r="K3" s="289" t="s">
        <v>5</v>
      </c>
      <c r="L3" s="289"/>
      <c r="M3" s="289" t="s">
        <v>65</v>
      </c>
      <c r="N3" s="292" t="s">
        <v>66</v>
      </c>
    </row>
    <row r="4" spans="1:14" ht="17.25" thickBot="1" x14ac:dyDescent="0.35">
      <c r="A4" s="285"/>
      <c r="B4" s="287"/>
      <c r="C4" s="290"/>
      <c r="D4" s="291"/>
      <c r="E4" s="291"/>
      <c r="F4" s="293"/>
      <c r="G4" s="85" t="s">
        <v>6</v>
      </c>
      <c r="H4" s="86" t="s">
        <v>7</v>
      </c>
      <c r="I4" s="86" t="s">
        <v>6</v>
      </c>
      <c r="J4" s="86" t="s">
        <v>7</v>
      </c>
      <c r="K4" s="86" t="s">
        <v>6</v>
      </c>
      <c r="L4" s="86" t="s">
        <v>7</v>
      </c>
      <c r="M4" s="291"/>
      <c r="N4" s="293"/>
    </row>
    <row r="5" spans="1:14" ht="19.899999999999999" customHeight="1" thickTop="1" x14ac:dyDescent="0.3">
      <c r="A5" s="210" t="s">
        <v>8</v>
      </c>
      <c r="B5" s="217" t="s">
        <v>9</v>
      </c>
      <c r="C5" s="20" t="s">
        <v>10</v>
      </c>
      <c r="D5" s="88" t="s">
        <v>22</v>
      </c>
      <c r="E5" s="84">
        <v>4</v>
      </c>
      <c r="F5" s="64">
        <v>4</v>
      </c>
      <c r="G5" s="23">
        <v>4</v>
      </c>
      <c r="H5" s="179"/>
      <c r="I5" s="179"/>
      <c r="J5" s="179"/>
      <c r="K5" s="179"/>
      <c r="L5" s="179"/>
      <c r="M5" s="275">
        <f>SUM(G5:L6)</f>
        <v>8</v>
      </c>
      <c r="N5" s="276">
        <v>8</v>
      </c>
    </row>
    <row r="6" spans="1:14" ht="19.899999999999999" customHeight="1" x14ac:dyDescent="0.3">
      <c r="A6" s="210"/>
      <c r="B6" s="267"/>
      <c r="C6" s="18" t="s">
        <v>10</v>
      </c>
      <c r="D6" s="89" t="s">
        <v>23</v>
      </c>
      <c r="E6" s="14">
        <v>4</v>
      </c>
      <c r="F6" s="57">
        <v>4</v>
      </c>
      <c r="G6" s="16"/>
      <c r="H6" s="180">
        <v>4</v>
      </c>
      <c r="I6" s="180"/>
      <c r="J6" s="180"/>
      <c r="K6" s="180"/>
      <c r="L6" s="180"/>
      <c r="M6" s="268"/>
      <c r="N6" s="269"/>
    </row>
    <row r="7" spans="1:14" ht="19.899999999999999" customHeight="1" x14ac:dyDescent="0.3">
      <c r="A7" s="210"/>
      <c r="B7" s="267" t="s">
        <v>12</v>
      </c>
      <c r="C7" s="18" t="s">
        <v>10</v>
      </c>
      <c r="D7" s="89" t="s">
        <v>24</v>
      </c>
      <c r="E7" s="14">
        <v>4</v>
      </c>
      <c r="F7" s="57">
        <v>4</v>
      </c>
      <c r="G7" s="16">
        <v>4</v>
      </c>
      <c r="H7" s="180"/>
      <c r="I7" s="180"/>
      <c r="J7" s="180"/>
      <c r="K7" s="180"/>
      <c r="L7" s="180"/>
      <c r="M7" s="268">
        <f>SUM(G7:L8)</f>
        <v>8</v>
      </c>
      <c r="N7" s="269">
        <v>8</v>
      </c>
    </row>
    <row r="8" spans="1:14" ht="19.899999999999999" customHeight="1" x14ac:dyDescent="0.3">
      <c r="A8" s="210"/>
      <c r="B8" s="267"/>
      <c r="C8" s="18" t="s">
        <v>10</v>
      </c>
      <c r="D8" s="89" t="s">
        <v>25</v>
      </c>
      <c r="E8" s="14">
        <v>4</v>
      </c>
      <c r="F8" s="57">
        <v>4</v>
      </c>
      <c r="G8" s="16"/>
      <c r="H8" s="180">
        <v>4</v>
      </c>
      <c r="I8" s="180"/>
      <c r="J8" s="180"/>
      <c r="K8" s="180"/>
      <c r="L8" s="180"/>
      <c r="M8" s="268"/>
      <c r="N8" s="269"/>
    </row>
    <row r="9" spans="1:14" ht="19.899999999999999" customHeight="1" x14ac:dyDescent="0.3">
      <c r="A9" s="210"/>
      <c r="B9" s="267" t="s">
        <v>13</v>
      </c>
      <c r="C9" s="18" t="s">
        <v>10</v>
      </c>
      <c r="D9" s="89" t="s">
        <v>26</v>
      </c>
      <c r="E9" s="14">
        <v>4</v>
      </c>
      <c r="F9" s="57">
        <v>4</v>
      </c>
      <c r="G9" s="16">
        <v>4</v>
      </c>
      <c r="H9" s="180"/>
      <c r="I9" s="180"/>
      <c r="J9" s="180"/>
      <c r="K9" s="180"/>
      <c r="L9" s="180"/>
      <c r="M9" s="268">
        <f>SUM(G9:L10)</f>
        <v>8</v>
      </c>
      <c r="N9" s="269">
        <v>8</v>
      </c>
    </row>
    <row r="10" spans="1:14" ht="19.899999999999999" customHeight="1" x14ac:dyDescent="0.3">
      <c r="A10" s="210"/>
      <c r="B10" s="267"/>
      <c r="C10" s="18" t="s">
        <v>10</v>
      </c>
      <c r="D10" s="89" t="s">
        <v>27</v>
      </c>
      <c r="E10" s="14">
        <v>4</v>
      </c>
      <c r="F10" s="57">
        <v>4</v>
      </c>
      <c r="G10" s="16"/>
      <c r="H10" s="180">
        <v>4</v>
      </c>
      <c r="I10" s="180"/>
      <c r="J10" s="180"/>
      <c r="K10" s="180"/>
      <c r="L10" s="180"/>
      <c r="M10" s="268"/>
      <c r="N10" s="269"/>
    </row>
    <row r="11" spans="1:14" ht="19.899999999999999" customHeight="1" x14ac:dyDescent="0.3">
      <c r="A11" s="210"/>
      <c r="B11" s="277" t="s">
        <v>86</v>
      </c>
      <c r="C11" s="18" t="s">
        <v>10</v>
      </c>
      <c r="D11" s="89" t="s">
        <v>28</v>
      </c>
      <c r="E11" s="14">
        <v>3</v>
      </c>
      <c r="F11" s="57">
        <v>3</v>
      </c>
      <c r="G11" s="41">
        <v>3</v>
      </c>
      <c r="H11" s="1"/>
      <c r="I11" s="1"/>
      <c r="J11" s="1"/>
      <c r="K11" s="1"/>
      <c r="L11" s="1"/>
      <c r="M11" s="218">
        <f>SUM(G11:L12)</f>
        <v>6</v>
      </c>
      <c r="N11" s="274">
        <v>6</v>
      </c>
    </row>
    <row r="12" spans="1:14" ht="19.899999999999999" customHeight="1" x14ac:dyDescent="0.3">
      <c r="A12" s="210"/>
      <c r="B12" s="278"/>
      <c r="C12" s="18" t="s">
        <v>10</v>
      </c>
      <c r="D12" s="89" t="s">
        <v>29</v>
      </c>
      <c r="E12" s="14">
        <v>3</v>
      </c>
      <c r="F12" s="57">
        <v>3</v>
      </c>
      <c r="G12" s="41"/>
      <c r="H12" s="1">
        <v>3</v>
      </c>
      <c r="I12" s="1"/>
      <c r="J12" s="1"/>
      <c r="K12" s="1"/>
      <c r="L12" s="1"/>
      <c r="M12" s="275"/>
      <c r="N12" s="276"/>
    </row>
    <row r="13" spans="1:14" ht="19.899999999999999" customHeight="1" x14ac:dyDescent="0.3">
      <c r="A13" s="210"/>
      <c r="B13" s="278"/>
      <c r="C13" s="18" t="s">
        <v>10</v>
      </c>
      <c r="D13" s="89" t="s">
        <v>30</v>
      </c>
      <c r="E13" s="14">
        <v>4</v>
      </c>
      <c r="F13" s="57">
        <v>4</v>
      </c>
      <c r="G13" s="41">
        <v>4</v>
      </c>
      <c r="H13" s="1"/>
      <c r="I13" s="1"/>
      <c r="J13" s="1"/>
      <c r="K13" s="1"/>
      <c r="L13" s="1"/>
      <c r="M13" s="218">
        <f>SUM(G13:L14)</f>
        <v>8</v>
      </c>
      <c r="N13" s="280">
        <v>8</v>
      </c>
    </row>
    <row r="14" spans="1:14" ht="19.899999999999999" customHeight="1" x14ac:dyDescent="0.3">
      <c r="A14" s="210"/>
      <c r="B14" s="279"/>
      <c r="C14" s="18" t="s">
        <v>10</v>
      </c>
      <c r="D14" s="89" t="s">
        <v>67</v>
      </c>
      <c r="E14" s="14">
        <v>4</v>
      </c>
      <c r="F14" s="57">
        <v>4</v>
      </c>
      <c r="G14" s="41"/>
      <c r="H14" s="1">
        <v>4</v>
      </c>
      <c r="I14" s="1"/>
      <c r="J14" s="1"/>
      <c r="K14" s="1"/>
      <c r="L14" s="1"/>
      <c r="M14" s="275"/>
      <c r="N14" s="281"/>
    </row>
    <row r="15" spans="1:14" ht="19.899999999999999" customHeight="1" x14ac:dyDescent="0.3">
      <c r="A15" s="210"/>
      <c r="B15" s="267" t="s">
        <v>14</v>
      </c>
      <c r="C15" s="18" t="s">
        <v>10</v>
      </c>
      <c r="D15" s="90" t="s">
        <v>31</v>
      </c>
      <c r="E15" s="14">
        <v>4</v>
      </c>
      <c r="F15" s="57">
        <v>4</v>
      </c>
      <c r="G15" s="41">
        <v>4</v>
      </c>
      <c r="H15" s="1"/>
      <c r="I15" s="1"/>
      <c r="J15" s="1"/>
      <c r="K15" s="1"/>
      <c r="L15" s="1"/>
      <c r="M15" s="218">
        <f>SUM(G15:L18)</f>
        <v>10</v>
      </c>
      <c r="N15" s="274">
        <v>10</v>
      </c>
    </row>
    <row r="16" spans="1:14" ht="19.899999999999999" customHeight="1" x14ac:dyDescent="0.3">
      <c r="A16" s="210"/>
      <c r="B16" s="267"/>
      <c r="C16" s="18" t="s">
        <v>10</v>
      </c>
      <c r="D16" s="90" t="s">
        <v>68</v>
      </c>
      <c r="E16" s="14">
        <v>4</v>
      </c>
      <c r="F16" s="57">
        <v>4</v>
      </c>
      <c r="G16" s="41"/>
      <c r="H16" s="1">
        <v>4</v>
      </c>
      <c r="I16" s="1"/>
      <c r="J16" s="1"/>
      <c r="K16" s="1"/>
      <c r="L16" s="1"/>
      <c r="M16" s="221"/>
      <c r="N16" s="239"/>
    </row>
    <row r="17" spans="1:14" ht="19.899999999999999" customHeight="1" x14ac:dyDescent="0.3">
      <c r="A17" s="210"/>
      <c r="B17" s="267"/>
      <c r="C17" s="18" t="s">
        <v>10</v>
      </c>
      <c r="D17" s="90" t="s">
        <v>32</v>
      </c>
      <c r="E17" s="14">
        <v>1</v>
      </c>
      <c r="F17" s="57">
        <v>1</v>
      </c>
      <c r="G17" s="41">
        <v>1</v>
      </c>
      <c r="H17" s="1"/>
      <c r="I17" s="1"/>
      <c r="J17" s="1"/>
      <c r="K17" s="1"/>
      <c r="L17" s="1"/>
      <c r="M17" s="221"/>
      <c r="N17" s="239"/>
    </row>
    <row r="18" spans="1:14" ht="19.899999999999999" customHeight="1" x14ac:dyDescent="0.3">
      <c r="A18" s="210"/>
      <c r="B18" s="267"/>
      <c r="C18" s="18" t="s">
        <v>10</v>
      </c>
      <c r="D18" s="90" t="s">
        <v>33</v>
      </c>
      <c r="E18" s="14">
        <v>1</v>
      </c>
      <c r="F18" s="57">
        <v>1</v>
      </c>
      <c r="G18" s="41"/>
      <c r="H18" s="1">
        <v>1</v>
      </c>
      <c r="I18" s="1"/>
      <c r="J18" s="1"/>
      <c r="K18" s="1"/>
      <c r="L18" s="1"/>
      <c r="M18" s="275"/>
      <c r="N18" s="276"/>
    </row>
    <row r="19" spans="1:14" ht="19.899999999999999" customHeight="1" x14ac:dyDescent="0.3">
      <c r="A19" s="210"/>
      <c r="B19" s="267" t="s">
        <v>69</v>
      </c>
      <c r="C19" s="18" t="s">
        <v>11</v>
      </c>
      <c r="D19" s="90" t="s">
        <v>70</v>
      </c>
      <c r="E19" s="14">
        <v>3</v>
      </c>
      <c r="F19" s="57">
        <v>2</v>
      </c>
      <c r="G19" s="18">
        <v>2</v>
      </c>
      <c r="H19" s="1"/>
      <c r="I19" s="1"/>
      <c r="J19" s="1"/>
      <c r="K19" s="1"/>
      <c r="L19" s="1"/>
      <c r="M19" s="268">
        <f>SUM(G19:L24)</f>
        <v>10</v>
      </c>
      <c r="N19" s="269">
        <v>10</v>
      </c>
    </row>
    <row r="20" spans="1:14" ht="19.899999999999999" customHeight="1" x14ac:dyDescent="0.3">
      <c r="A20" s="210"/>
      <c r="B20" s="267"/>
      <c r="C20" s="18" t="s">
        <v>11</v>
      </c>
      <c r="D20" s="90" t="s">
        <v>71</v>
      </c>
      <c r="E20" s="14">
        <v>3</v>
      </c>
      <c r="F20" s="57">
        <v>2</v>
      </c>
      <c r="G20" s="18"/>
      <c r="H20" s="1">
        <v>2</v>
      </c>
      <c r="I20" s="1"/>
      <c r="J20" s="1"/>
      <c r="K20" s="1"/>
      <c r="L20" s="1"/>
      <c r="M20" s="268"/>
      <c r="N20" s="269"/>
    </row>
    <row r="21" spans="1:14" ht="19.899999999999999" customHeight="1" x14ac:dyDescent="0.3">
      <c r="A21" s="210"/>
      <c r="B21" s="267"/>
      <c r="C21" s="18" t="s">
        <v>15</v>
      </c>
      <c r="D21" s="90" t="s">
        <v>40</v>
      </c>
      <c r="E21" s="14">
        <v>2</v>
      </c>
      <c r="F21" s="57">
        <v>1</v>
      </c>
      <c r="G21" s="18"/>
      <c r="H21" s="1"/>
      <c r="I21" s="1">
        <v>1</v>
      </c>
      <c r="J21" s="1"/>
      <c r="K21" s="1"/>
      <c r="L21" s="1"/>
      <c r="M21" s="268"/>
      <c r="N21" s="269"/>
    </row>
    <row r="22" spans="1:14" ht="19.899999999999999" customHeight="1" x14ac:dyDescent="0.3">
      <c r="A22" s="210"/>
      <c r="B22" s="267"/>
      <c r="C22" s="18" t="s">
        <v>15</v>
      </c>
      <c r="D22" s="90" t="s">
        <v>41</v>
      </c>
      <c r="E22" s="14">
        <v>2</v>
      </c>
      <c r="F22" s="57">
        <v>1</v>
      </c>
      <c r="G22" s="18"/>
      <c r="H22" s="1"/>
      <c r="I22" s="1"/>
      <c r="J22" s="1">
        <v>1</v>
      </c>
      <c r="K22" s="1"/>
      <c r="L22" s="1"/>
      <c r="M22" s="268"/>
      <c r="N22" s="269"/>
    </row>
    <row r="23" spans="1:14" ht="19.899999999999999" customHeight="1" x14ac:dyDescent="0.3">
      <c r="A23" s="210"/>
      <c r="B23" s="267"/>
      <c r="C23" s="18" t="s">
        <v>39</v>
      </c>
      <c r="D23" s="90" t="s">
        <v>37</v>
      </c>
      <c r="E23" s="14">
        <v>3</v>
      </c>
      <c r="F23" s="57">
        <v>2</v>
      </c>
      <c r="G23" s="18"/>
      <c r="H23" s="1"/>
      <c r="I23" s="1"/>
      <c r="J23" s="1"/>
      <c r="K23" s="1">
        <v>2</v>
      </c>
      <c r="L23" s="1"/>
      <c r="M23" s="268"/>
      <c r="N23" s="269"/>
    </row>
    <row r="24" spans="1:14" ht="19.899999999999999" customHeight="1" x14ac:dyDescent="0.3">
      <c r="A24" s="210"/>
      <c r="B24" s="267"/>
      <c r="C24" s="18" t="s">
        <v>39</v>
      </c>
      <c r="D24" s="90" t="s">
        <v>38</v>
      </c>
      <c r="E24" s="15">
        <v>3</v>
      </c>
      <c r="F24" s="57">
        <v>2</v>
      </c>
      <c r="G24" s="185"/>
      <c r="H24" s="183"/>
      <c r="I24" s="180"/>
      <c r="J24" s="180"/>
      <c r="K24" s="180"/>
      <c r="L24" s="180">
        <v>2</v>
      </c>
      <c r="M24" s="268"/>
      <c r="N24" s="269"/>
    </row>
    <row r="25" spans="1:14" ht="19.899999999999999" customHeight="1" x14ac:dyDescent="0.3">
      <c r="A25" s="210"/>
      <c r="B25" s="267" t="s">
        <v>72</v>
      </c>
      <c r="C25" s="18" t="s">
        <v>11</v>
      </c>
      <c r="D25" s="90" t="s">
        <v>16</v>
      </c>
      <c r="E25" s="14">
        <v>3</v>
      </c>
      <c r="F25" s="57">
        <v>2</v>
      </c>
      <c r="G25" s="43">
        <v>2</v>
      </c>
      <c r="H25" s="32"/>
      <c r="I25" s="16"/>
      <c r="J25" s="180"/>
      <c r="K25" s="1"/>
      <c r="L25" s="1"/>
      <c r="M25" s="268">
        <f>SUM(G25:L28)</f>
        <v>8</v>
      </c>
      <c r="N25" s="269">
        <v>10</v>
      </c>
    </row>
    <row r="26" spans="1:14" ht="19.899999999999999" customHeight="1" x14ac:dyDescent="0.3">
      <c r="A26" s="210"/>
      <c r="B26" s="267"/>
      <c r="C26" s="18" t="s">
        <v>15</v>
      </c>
      <c r="D26" s="90" t="s">
        <v>34</v>
      </c>
      <c r="E26" s="14">
        <v>3</v>
      </c>
      <c r="F26" s="57">
        <v>2</v>
      </c>
      <c r="G26" s="16"/>
      <c r="H26" s="180">
        <v>2</v>
      </c>
      <c r="I26" s="185"/>
      <c r="J26" s="183"/>
      <c r="K26" s="1"/>
      <c r="L26" s="1"/>
      <c r="M26" s="268"/>
      <c r="N26" s="269"/>
    </row>
    <row r="27" spans="1:14" ht="19.899999999999999" customHeight="1" x14ac:dyDescent="0.3">
      <c r="A27" s="210"/>
      <c r="B27" s="267"/>
      <c r="C27" s="18" t="s">
        <v>11</v>
      </c>
      <c r="D27" s="90" t="s">
        <v>60</v>
      </c>
      <c r="E27" s="14">
        <v>3</v>
      </c>
      <c r="F27" s="57">
        <v>2</v>
      </c>
      <c r="G27" s="23"/>
      <c r="H27" s="17"/>
      <c r="I27" s="34">
        <v>2</v>
      </c>
      <c r="J27" s="33"/>
      <c r="K27" s="18"/>
      <c r="L27" s="1"/>
      <c r="M27" s="268"/>
      <c r="N27" s="269"/>
    </row>
    <row r="28" spans="1:14" ht="19.899999999999999" customHeight="1" thickBot="1" x14ac:dyDescent="0.35">
      <c r="A28" s="210"/>
      <c r="B28" s="267"/>
      <c r="C28" s="18" t="s">
        <v>15</v>
      </c>
      <c r="D28" s="90" t="s">
        <v>73</v>
      </c>
      <c r="E28" s="14">
        <v>3</v>
      </c>
      <c r="F28" s="57">
        <v>2</v>
      </c>
      <c r="G28" s="185"/>
      <c r="H28" s="19"/>
      <c r="I28" s="180"/>
      <c r="J28" s="180">
        <v>2</v>
      </c>
      <c r="K28" s="18"/>
      <c r="L28" s="1"/>
      <c r="M28" s="268"/>
      <c r="N28" s="269"/>
    </row>
    <row r="29" spans="1:14" ht="19.899999999999999" customHeight="1" thickTop="1" x14ac:dyDescent="0.3">
      <c r="A29" s="210"/>
      <c r="B29" s="178" t="s">
        <v>99</v>
      </c>
      <c r="C29" s="18" t="s">
        <v>11</v>
      </c>
      <c r="D29" s="90" t="s">
        <v>20</v>
      </c>
      <c r="E29" s="14">
        <v>4</v>
      </c>
      <c r="F29" s="57">
        <v>3</v>
      </c>
      <c r="G29" s="270" t="s">
        <v>95</v>
      </c>
      <c r="H29" s="271"/>
      <c r="I29" s="20"/>
      <c r="J29" s="2"/>
      <c r="K29" s="1"/>
      <c r="L29" s="1"/>
      <c r="M29" s="272">
        <f>SUM(G30:L30)</f>
        <v>6</v>
      </c>
      <c r="N29" s="274">
        <v>16</v>
      </c>
    </row>
    <row r="30" spans="1:14" ht="19.899999999999999" customHeight="1" thickBot="1" x14ac:dyDescent="0.35">
      <c r="A30" s="210"/>
      <c r="B30" s="119" t="s">
        <v>82</v>
      </c>
      <c r="C30" s="120" t="s">
        <v>11</v>
      </c>
      <c r="D30" s="121" t="s">
        <v>35</v>
      </c>
      <c r="E30" s="122">
        <v>3</v>
      </c>
      <c r="F30" s="123">
        <v>3</v>
      </c>
      <c r="G30" s="65">
        <v>3</v>
      </c>
      <c r="H30" s="66">
        <v>3</v>
      </c>
      <c r="I30" s="124"/>
      <c r="J30" s="125"/>
      <c r="K30" s="126"/>
      <c r="L30" s="126"/>
      <c r="M30" s="273"/>
      <c r="N30" s="246"/>
    </row>
    <row r="31" spans="1:14" ht="19.899999999999999" customHeight="1" thickTop="1" x14ac:dyDescent="0.3">
      <c r="A31" s="210" t="s">
        <v>76</v>
      </c>
      <c r="B31" s="128" t="s">
        <v>83</v>
      </c>
      <c r="C31" s="129" t="s">
        <v>44</v>
      </c>
      <c r="D31" s="130" t="s">
        <v>46</v>
      </c>
      <c r="E31" s="131">
        <v>4</v>
      </c>
      <c r="F31" s="132">
        <v>4</v>
      </c>
      <c r="G31" s="133"/>
      <c r="H31" s="134"/>
      <c r="I31" s="135" t="s">
        <v>47</v>
      </c>
      <c r="J31" s="177"/>
      <c r="K31" s="136"/>
      <c r="L31" s="137"/>
      <c r="M31" s="212">
        <v>24</v>
      </c>
      <c r="N31" s="256"/>
    </row>
    <row r="32" spans="1:14" ht="19.899999999999999" customHeight="1" x14ac:dyDescent="0.3">
      <c r="A32" s="210"/>
      <c r="B32" s="261" t="s">
        <v>84</v>
      </c>
      <c r="C32" s="12" t="s">
        <v>44</v>
      </c>
      <c r="D32" s="91" t="s">
        <v>48</v>
      </c>
      <c r="E32" s="7">
        <v>4</v>
      </c>
      <c r="F32" s="58">
        <v>4</v>
      </c>
      <c r="G32" s="24"/>
      <c r="H32" s="38"/>
      <c r="I32" s="263" t="s">
        <v>49</v>
      </c>
      <c r="J32" s="176"/>
      <c r="K32" s="44"/>
      <c r="L32" s="48"/>
      <c r="M32" s="213"/>
      <c r="N32" s="257"/>
    </row>
    <row r="33" spans="1:14" ht="19.899999999999999" customHeight="1" x14ac:dyDescent="0.3">
      <c r="A33" s="210"/>
      <c r="B33" s="262"/>
      <c r="C33" s="11" t="s">
        <v>15</v>
      </c>
      <c r="D33" s="92" t="s">
        <v>80</v>
      </c>
      <c r="E33" s="6">
        <v>4</v>
      </c>
      <c r="F33" s="59">
        <v>4</v>
      </c>
      <c r="G33" s="25"/>
      <c r="H33" s="39"/>
      <c r="I33" s="264"/>
      <c r="J33" s="176"/>
      <c r="K33" s="44"/>
      <c r="L33" s="48"/>
      <c r="M33" s="213"/>
      <c r="N33" s="258"/>
    </row>
    <row r="34" spans="1:14" ht="19.899999999999999" customHeight="1" x14ac:dyDescent="0.3">
      <c r="A34" s="210"/>
      <c r="B34" s="186" t="s">
        <v>85</v>
      </c>
      <c r="C34" s="11" t="s">
        <v>44</v>
      </c>
      <c r="D34" s="92" t="s">
        <v>50</v>
      </c>
      <c r="E34" s="6">
        <v>4</v>
      </c>
      <c r="F34" s="59">
        <v>4</v>
      </c>
      <c r="G34" s="25"/>
      <c r="H34" s="39"/>
      <c r="I34" s="264"/>
      <c r="J34" s="176"/>
      <c r="K34" s="44"/>
      <c r="L34" s="48"/>
      <c r="M34" s="213"/>
      <c r="N34" s="258"/>
    </row>
    <row r="35" spans="1:14" ht="19.899999999999999" customHeight="1" x14ac:dyDescent="0.3">
      <c r="A35" s="210"/>
      <c r="B35" s="265" t="s">
        <v>86</v>
      </c>
      <c r="C35" s="11" t="s">
        <v>11</v>
      </c>
      <c r="D35" s="92" t="s">
        <v>92</v>
      </c>
      <c r="E35" s="6">
        <v>4</v>
      </c>
      <c r="F35" s="59">
        <v>4</v>
      </c>
      <c r="G35" s="25"/>
      <c r="H35" s="39"/>
      <c r="I35" s="264"/>
      <c r="J35" s="176"/>
      <c r="K35" s="44"/>
      <c r="L35" s="48"/>
      <c r="M35" s="213"/>
      <c r="N35" s="258"/>
    </row>
    <row r="36" spans="1:14" ht="19.899999999999999" customHeight="1" x14ac:dyDescent="0.3">
      <c r="A36" s="210"/>
      <c r="B36" s="265"/>
      <c r="C36" s="11" t="s">
        <v>43</v>
      </c>
      <c r="D36" s="93" t="s">
        <v>91</v>
      </c>
      <c r="E36" s="6">
        <v>4</v>
      </c>
      <c r="F36" s="59">
        <v>4</v>
      </c>
      <c r="G36" s="25"/>
      <c r="H36" s="39"/>
      <c r="I36" s="264"/>
      <c r="J36" s="176"/>
      <c r="K36" s="44"/>
      <c r="L36" s="48"/>
      <c r="M36" s="213"/>
      <c r="N36" s="258"/>
    </row>
    <row r="37" spans="1:14" ht="19.899999999999999" customHeight="1" thickBot="1" x14ac:dyDescent="0.35">
      <c r="A37" s="210"/>
      <c r="B37" s="186" t="s">
        <v>14</v>
      </c>
      <c r="C37" s="13" t="s">
        <v>11</v>
      </c>
      <c r="D37" s="94" t="s">
        <v>103</v>
      </c>
      <c r="E37" s="8">
        <v>4</v>
      </c>
      <c r="F37" s="60">
        <v>4</v>
      </c>
      <c r="G37" s="26"/>
      <c r="H37" s="40"/>
      <c r="I37" s="264"/>
      <c r="J37" s="176"/>
      <c r="K37" s="44"/>
      <c r="L37" s="48"/>
      <c r="M37" s="213"/>
      <c r="N37" s="259"/>
    </row>
    <row r="38" spans="1:14" ht="19.899999999999999" customHeight="1" thickTop="1" x14ac:dyDescent="0.3">
      <c r="A38" s="210"/>
      <c r="B38" s="178" t="s">
        <v>99</v>
      </c>
      <c r="C38" s="18" t="s">
        <v>44</v>
      </c>
      <c r="D38" s="95" t="s">
        <v>96</v>
      </c>
      <c r="E38" s="14">
        <v>4</v>
      </c>
      <c r="F38" s="61">
        <v>3</v>
      </c>
      <c r="G38" s="45"/>
      <c r="H38" s="48"/>
      <c r="I38" s="67" t="s">
        <v>19</v>
      </c>
      <c r="J38" s="174"/>
      <c r="K38" s="175"/>
      <c r="L38" s="48"/>
      <c r="M38" s="266">
        <v>3</v>
      </c>
      <c r="N38" s="260"/>
    </row>
    <row r="39" spans="1:14" ht="19.899999999999999" customHeight="1" thickBot="1" x14ac:dyDescent="0.35">
      <c r="A39" s="210"/>
      <c r="B39" s="119" t="s">
        <v>100</v>
      </c>
      <c r="C39" s="120" t="s">
        <v>11</v>
      </c>
      <c r="D39" s="138" t="s">
        <v>59</v>
      </c>
      <c r="E39" s="122">
        <v>4</v>
      </c>
      <c r="F39" s="139">
        <v>3</v>
      </c>
      <c r="G39" s="140"/>
      <c r="H39" s="141"/>
      <c r="I39" s="68">
        <v>3</v>
      </c>
      <c r="J39" s="169"/>
      <c r="K39" s="142"/>
      <c r="L39" s="141"/>
      <c r="M39" s="248"/>
      <c r="N39" s="143"/>
    </row>
    <row r="40" spans="1:14" ht="19.899999999999999" customHeight="1" thickTop="1" x14ac:dyDescent="0.3">
      <c r="A40" s="210"/>
      <c r="B40" s="220" t="s">
        <v>83</v>
      </c>
      <c r="C40" s="12" t="s">
        <v>11</v>
      </c>
      <c r="D40" s="96" t="s">
        <v>36</v>
      </c>
      <c r="E40" s="7">
        <v>4</v>
      </c>
      <c r="F40" s="58">
        <v>4</v>
      </c>
      <c r="G40" s="20"/>
      <c r="H40" s="2"/>
      <c r="I40" s="9"/>
      <c r="J40" s="127" t="s">
        <v>47</v>
      </c>
      <c r="K40" s="69"/>
      <c r="L40" s="2"/>
      <c r="M40" s="221">
        <v>24</v>
      </c>
      <c r="N40" s="239"/>
    </row>
    <row r="41" spans="1:14" ht="19.899999999999999" customHeight="1" x14ac:dyDescent="0.3">
      <c r="A41" s="210"/>
      <c r="B41" s="217"/>
      <c r="C41" s="11" t="s">
        <v>15</v>
      </c>
      <c r="D41" s="97" t="s">
        <v>56</v>
      </c>
      <c r="E41" s="6">
        <v>4</v>
      </c>
      <c r="F41" s="59">
        <v>4</v>
      </c>
      <c r="G41" s="18"/>
      <c r="H41" s="1"/>
      <c r="I41" s="3"/>
      <c r="J41" s="214" t="s">
        <v>49</v>
      </c>
      <c r="K41" s="46"/>
      <c r="L41" s="1"/>
      <c r="M41" s="221"/>
      <c r="N41" s="239"/>
    </row>
    <row r="42" spans="1:14" ht="19.899999999999999" customHeight="1" x14ac:dyDescent="0.3">
      <c r="A42" s="210"/>
      <c r="B42" s="178" t="s">
        <v>84</v>
      </c>
      <c r="C42" s="11" t="s">
        <v>11</v>
      </c>
      <c r="D42" s="98" t="s">
        <v>52</v>
      </c>
      <c r="E42" s="6">
        <v>4</v>
      </c>
      <c r="F42" s="59">
        <v>4</v>
      </c>
      <c r="G42" s="18"/>
      <c r="H42" s="1"/>
      <c r="I42" s="3"/>
      <c r="J42" s="215"/>
      <c r="K42" s="46"/>
      <c r="L42" s="1"/>
      <c r="M42" s="221"/>
      <c r="N42" s="239"/>
    </row>
    <row r="43" spans="1:14" ht="19.899999999999999" customHeight="1" x14ac:dyDescent="0.3">
      <c r="A43" s="210"/>
      <c r="B43" s="190" t="s">
        <v>85</v>
      </c>
      <c r="C43" s="11" t="s">
        <v>44</v>
      </c>
      <c r="D43" s="98" t="s">
        <v>53</v>
      </c>
      <c r="E43" s="6">
        <v>4</v>
      </c>
      <c r="F43" s="59">
        <v>4</v>
      </c>
      <c r="G43" s="18"/>
      <c r="H43" s="1"/>
      <c r="I43" s="3"/>
      <c r="J43" s="215"/>
      <c r="K43" s="46"/>
      <c r="L43" s="1"/>
      <c r="M43" s="221"/>
      <c r="N43" s="239"/>
    </row>
    <row r="44" spans="1:14" ht="19.899999999999999" customHeight="1" x14ac:dyDescent="0.3">
      <c r="A44" s="210"/>
      <c r="B44" s="216" t="s">
        <v>86</v>
      </c>
      <c r="C44" s="11" t="s">
        <v>11</v>
      </c>
      <c r="D44" s="98" t="s">
        <v>54</v>
      </c>
      <c r="E44" s="6">
        <v>4</v>
      </c>
      <c r="F44" s="59">
        <v>4</v>
      </c>
      <c r="G44" s="18"/>
      <c r="H44" s="1"/>
      <c r="I44" s="3"/>
      <c r="J44" s="215"/>
      <c r="K44" s="46"/>
      <c r="L44" s="1"/>
      <c r="M44" s="221"/>
      <c r="N44" s="239"/>
    </row>
    <row r="45" spans="1:14" ht="19.899999999999999" customHeight="1" x14ac:dyDescent="0.3">
      <c r="A45" s="210"/>
      <c r="B45" s="217"/>
      <c r="C45" s="11" t="s">
        <v>15</v>
      </c>
      <c r="D45" s="98" t="s">
        <v>93</v>
      </c>
      <c r="E45" s="6">
        <v>4</v>
      </c>
      <c r="F45" s="59">
        <v>4</v>
      </c>
      <c r="G45" s="18"/>
      <c r="H45" s="1"/>
      <c r="I45" s="3"/>
      <c r="J45" s="215"/>
      <c r="K45" s="46"/>
      <c r="L45" s="1"/>
      <c r="M45" s="221"/>
      <c r="N45" s="239"/>
    </row>
    <row r="46" spans="1:14" ht="19.899999999999999" customHeight="1" thickBot="1" x14ac:dyDescent="0.35">
      <c r="A46" s="210"/>
      <c r="B46" s="190" t="s">
        <v>14</v>
      </c>
      <c r="C46" s="13" t="s">
        <v>15</v>
      </c>
      <c r="D46" s="161" t="s">
        <v>104</v>
      </c>
      <c r="E46" s="8">
        <v>4</v>
      </c>
      <c r="F46" s="60">
        <v>4</v>
      </c>
      <c r="G46" s="35"/>
      <c r="H46" s="21"/>
      <c r="I46" s="47"/>
      <c r="J46" s="215"/>
      <c r="K46" s="46"/>
      <c r="L46" s="1"/>
      <c r="M46" s="221"/>
      <c r="N46" s="239"/>
    </row>
    <row r="47" spans="1:14" ht="19.899999999999999" customHeight="1" thickTop="1" x14ac:dyDescent="0.3">
      <c r="A47" s="210"/>
      <c r="B47" s="178" t="s">
        <v>99</v>
      </c>
      <c r="C47" s="18" t="s">
        <v>15</v>
      </c>
      <c r="D47" s="99" t="s">
        <v>118</v>
      </c>
      <c r="E47" s="14">
        <v>4</v>
      </c>
      <c r="F47" s="61">
        <v>3</v>
      </c>
      <c r="G47" s="16"/>
      <c r="H47" s="180"/>
      <c r="I47" s="27"/>
      <c r="J47" s="70" t="s">
        <v>19</v>
      </c>
      <c r="K47" s="46"/>
      <c r="L47" s="180"/>
      <c r="M47" s="218">
        <v>3</v>
      </c>
      <c r="N47" s="239"/>
    </row>
    <row r="48" spans="1:14" ht="19.899999999999999" customHeight="1" thickBot="1" x14ac:dyDescent="0.35">
      <c r="A48" s="210"/>
      <c r="B48" s="119" t="s">
        <v>100</v>
      </c>
      <c r="C48" s="120" t="s">
        <v>15</v>
      </c>
      <c r="D48" s="144" t="s">
        <v>21</v>
      </c>
      <c r="E48" s="122">
        <v>4</v>
      </c>
      <c r="F48" s="139">
        <v>3</v>
      </c>
      <c r="G48" s="83"/>
      <c r="H48" s="81"/>
      <c r="I48" s="145"/>
      <c r="J48" s="71">
        <v>3</v>
      </c>
      <c r="K48" s="146"/>
      <c r="L48" s="81"/>
      <c r="M48" s="219"/>
      <c r="N48" s="246"/>
    </row>
    <row r="49" spans="1:14" ht="19.899999999999999" customHeight="1" thickTop="1" x14ac:dyDescent="0.3">
      <c r="A49" s="210"/>
      <c r="B49" s="247" t="s">
        <v>83</v>
      </c>
      <c r="C49" s="129" t="s">
        <v>44</v>
      </c>
      <c r="D49" s="148" t="s">
        <v>42</v>
      </c>
      <c r="E49" s="131">
        <v>4</v>
      </c>
      <c r="F49" s="132">
        <v>4</v>
      </c>
      <c r="G49" s="129"/>
      <c r="H49" s="149"/>
      <c r="I49" s="150"/>
      <c r="J49" s="149"/>
      <c r="K49" s="151" t="s">
        <v>55</v>
      </c>
      <c r="L49" s="172"/>
      <c r="M49" s="212">
        <v>20</v>
      </c>
      <c r="N49" s="249"/>
    </row>
    <row r="50" spans="1:14" ht="19.899999999999999" customHeight="1" x14ac:dyDescent="0.3">
      <c r="A50" s="210"/>
      <c r="B50" s="243"/>
      <c r="C50" s="11" t="s">
        <v>15</v>
      </c>
      <c r="D50" s="100" t="s">
        <v>51</v>
      </c>
      <c r="E50" s="6">
        <v>4</v>
      </c>
      <c r="F50" s="59">
        <v>4</v>
      </c>
      <c r="G50" s="11"/>
      <c r="H50" s="29"/>
      <c r="I50" s="5"/>
      <c r="J50" s="29"/>
      <c r="K50" s="252" t="s">
        <v>62</v>
      </c>
      <c r="L50" s="173"/>
      <c r="M50" s="213"/>
      <c r="N50" s="250"/>
    </row>
    <row r="51" spans="1:14" ht="19.899999999999999" customHeight="1" x14ac:dyDescent="0.3">
      <c r="A51" s="210"/>
      <c r="B51" s="255" t="s">
        <v>84</v>
      </c>
      <c r="C51" s="11" t="s">
        <v>43</v>
      </c>
      <c r="D51" s="101" t="s">
        <v>81</v>
      </c>
      <c r="E51" s="6">
        <v>4</v>
      </c>
      <c r="F51" s="59">
        <v>4</v>
      </c>
      <c r="G51" s="11"/>
      <c r="H51" s="29"/>
      <c r="I51" s="5"/>
      <c r="J51" s="29"/>
      <c r="K51" s="253"/>
      <c r="L51" s="173"/>
      <c r="M51" s="213"/>
      <c r="N51" s="250"/>
    </row>
    <row r="52" spans="1:14" ht="19.899999999999999" customHeight="1" x14ac:dyDescent="0.3">
      <c r="A52" s="210"/>
      <c r="B52" s="243"/>
      <c r="C52" s="11" t="s">
        <v>39</v>
      </c>
      <c r="D52" s="101" t="s">
        <v>87</v>
      </c>
      <c r="E52" s="6">
        <v>4</v>
      </c>
      <c r="F52" s="59">
        <v>4</v>
      </c>
      <c r="G52" s="11"/>
      <c r="H52" s="29"/>
      <c r="I52" s="5"/>
      <c r="J52" s="29"/>
      <c r="K52" s="253"/>
      <c r="L52" s="173"/>
      <c r="M52" s="213"/>
      <c r="N52" s="250"/>
    </row>
    <row r="53" spans="1:14" ht="19.899999999999999" customHeight="1" x14ac:dyDescent="0.3">
      <c r="A53" s="210"/>
      <c r="B53" s="188" t="s">
        <v>85</v>
      </c>
      <c r="C53" s="11" t="s">
        <v>44</v>
      </c>
      <c r="D53" s="102" t="s">
        <v>77</v>
      </c>
      <c r="E53" s="6">
        <v>4</v>
      </c>
      <c r="F53" s="59">
        <v>4</v>
      </c>
      <c r="G53" s="11"/>
      <c r="H53" s="29"/>
      <c r="I53" s="5"/>
      <c r="J53" s="29"/>
      <c r="K53" s="253"/>
      <c r="L53" s="173"/>
      <c r="M53" s="213"/>
      <c r="N53" s="250"/>
    </row>
    <row r="54" spans="1:14" ht="19.899999999999999" customHeight="1" x14ac:dyDescent="0.3">
      <c r="A54" s="210"/>
      <c r="B54" s="255" t="s">
        <v>86</v>
      </c>
      <c r="C54" s="11" t="s">
        <v>11</v>
      </c>
      <c r="D54" s="103" t="s">
        <v>94</v>
      </c>
      <c r="E54" s="6">
        <v>4</v>
      </c>
      <c r="F54" s="59">
        <v>4</v>
      </c>
      <c r="G54" s="11"/>
      <c r="H54" s="29"/>
      <c r="I54" s="5"/>
      <c r="J54" s="29"/>
      <c r="K54" s="253"/>
      <c r="L54" s="173"/>
      <c r="M54" s="213"/>
      <c r="N54" s="250"/>
    </row>
    <row r="55" spans="1:14" ht="19.899999999999999" customHeight="1" x14ac:dyDescent="0.3">
      <c r="A55" s="210"/>
      <c r="B55" s="206"/>
      <c r="C55" s="11" t="s">
        <v>43</v>
      </c>
      <c r="D55" s="103" t="s">
        <v>112</v>
      </c>
      <c r="E55" s="6">
        <v>4</v>
      </c>
      <c r="F55" s="59">
        <v>4</v>
      </c>
      <c r="G55" s="11"/>
      <c r="H55" s="29"/>
      <c r="I55" s="5"/>
      <c r="J55" s="29"/>
      <c r="K55" s="253"/>
      <c r="L55" s="173"/>
      <c r="M55" s="213"/>
      <c r="N55" s="250"/>
    </row>
    <row r="56" spans="1:14" ht="19.899999999999999" customHeight="1" x14ac:dyDescent="0.3">
      <c r="A56" s="210"/>
      <c r="B56" s="243"/>
      <c r="C56" s="11" t="s">
        <v>39</v>
      </c>
      <c r="D56" s="103" t="s">
        <v>111</v>
      </c>
      <c r="E56" s="6">
        <v>4</v>
      </c>
      <c r="F56" s="59">
        <v>4</v>
      </c>
      <c r="G56" s="11"/>
      <c r="H56" s="29"/>
      <c r="I56" s="5"/>
      <c r="J56" s="29"/>
      <c r="K56" s="253"/>
      <c r="L56" s="173"/>
      <c r="M56" s="213"/>
      <c r="N56" s="250"/>
    </row>
    <row r="57" spans="1:14" ht="19.899999999999999" customHeight="1" thickBot="1" x14ac:dyDescent="0.35">
      <c r="A57" s="210"/>
      <c r="B57" s="152" t="s">
        <v>14</v>
      </c>
      <c r="C57" s="153" t="s">
        <v>43</v>
      </c>
      <c r="D57" s="154" t="s">
        <v>90</v>
      </c>
      <c r="E57" s="155">
        <v>4</v>
      </c>
      <c r="F57" s="156">
        <v>4</v>
      </c>
      <c r="G57" s="153"/>
      <c r="H57" s="157"/>
      <c r="I57" s="158"/>
      <c r="J57" s="157"/>
      <c r="K57" s="254"/>
      <c r="L57" s="167"/>
      <c r="M57" s="248"/>
      <c r="N57" s="251"/>
    </row>
    <row r="58" spans="1:14" ht="19.899999999999999" customHeight="1" thickTop="1" x14ac:dyDescent="0.3">
      <c r="A58" s="210"/>
      <c r="B58" s="189" t="s">
        <v>83</v>
      </c>
      <c r="C58" s="12" t="s">
        <v>45</v>
      </c>
      <c r="D58" s="104" t="s">
        <v>57</v>
      </c>
      <c r="E58" s="7">
        <v>4</v>
      </c>
      <c r="F58" s="58">
        <v>4</v>
      </c>
      <c r="G58" s="12"/>
      <c r="H58" s="31"/>
      <c r="I58" s="4"/>
      <c r="J58" s="31"/>
      <c r="K58" s="170"/>
      <c r="L58" s="147" t="s">
        <v>55</v>
      </c>
      <c r="M58" s="238">
        <v>20</v>
      </c>
      <c r="N58" s="239"/>
    </row>
    <row r="59" spans="1:14" ht="19.899999999999999" customHeight="1" x14ac:dyDescent="0.3">
      <c r="A59" s="210"/>
      <c r="B59" s="188" t="s">
        <v>84</v>
      </c>
      <c r="C59" s="12" t="s">
        <v>15</v>
      </c>
      <c r="D59" s="104" t="s">
        <v>120</v>
      </c>
      <c r="E59" s="7">
        <v>4</v>
      </c>
      <c r="F59" s="58">
        <v>4</v>
      </c>
      <c r="G59" s="12"/>
      <c r="H59" s="31"/>
      <c r="I59" s="4"/>
      <c r="J59" s="31"/>
      <c r="K59" s="171"/>
      <c r="L59" s="240" t="s">
        <v>58</v>
      </c>
      <c r="M59" s="238"/>
      <c r="N59" s="239"/>
    </row>
    <row r="60" spans="1:14" ht="19.899999999999999" customHeight="1" x14ac:dyDescent="0.3">
      <c r="A60" s="210"/>
      <c r="B60" s="188" t="s">
        <v>85</v>
      </c>
      <c r="C60" s="11" t="s">
        <v>43</v>
      </c>
      <c r="D60" s="105" t="s">
        <v>88</v>
      </c>
      <c r="E60" s="6">
        <v>4</v>
      </c>
      <c r="F60" s="58">
        <v>4</v>
      </c>
      <c r="G60" s="11"/>
      <c r="H60" s="29"/>
      <c r="I60" s="5"/>
      <c r="J60" s="29"/>
      <c r="K60" s="171"/>
      <c r="L60" s="241"/>
      <c r="M60" s="238"/>
      <c r="N60" s="239"/>
    </row>
    <row r="61" spans="1:14" ht="19.899999999999999" customHeight="1" x14ac:dyDescent="0.3">
      <c r="A61" s="210"/>
      <c r="B61" s="162" t="s">
        <v>86</v>
      </c>
      <c r="C61" s="11" t="s">
        <v>45</v>
      </c>
      <c r="D61" s="106" t="s">
        <v>113</v>
      </c>
      <c r="E61" s="6">
        <v>4</v>
      </c>
      <c r="F61" s="58">
        <v>4</v>
      </c>
      <c r="G61" s="11"/>
      <c r="H61" s="29"/>
      <c r="I61" s="5"/>
      <c r="J61" s="29"/>
      <c r="K61" s="171"/>
      <c r="L61" s="241"/>
      <c r="M61" s="238"/>
      <c r="N61" s="239"/>
    </row>
    <row r="62" spans="1:14" ht="19.899999999999999" customHeight="1" thickBot="1" x14ac:dyDescent="0.35">
      <c r="A62" s="210"/>
      <c r="B62" s="188" t="s">
        <v>14</v>
      </c>
      <c r="C62" s="13" t="s">
        <v>45</v>
      </c>
      <c r="D62" s="109" t="s">
        <v>89</v>
      </c>
      <c r="E62" s="8">
        <v>4</v>
      </c>
      <c r="F62" s="60">
        <v>4</v>
      </c>
      <c r="G62" s="13"/>
      <c r="H62" s="30"/>
      <c r="I62" s="187"/>
      <c r="J62" s="30"/>
      <c r="K62" s="168"/>
      <c r="L62" s="241"/>
      <c r="M62" s="238"/>
      <c r="N62" s="239"/>
    </row>
    <row r="63" spans="1:14" ht="19.899999999999999" customHeight="1" thickTop="1" x14ac:dyDescent="0.3">
      <c r="A63" s="210"/>
      <c r="B63" s="242" t="s">
        <v>72</v>
      </c>
      <c r="C63" s="117" t="s">
        <v>15</v>
      </c>
      <c r="D63" s="110" t="s">
        <v>97</v>
      </c>
      <c r="E63" s="111">
        <v>3</v>
      </c>
      <c r="F63" s="112">
        <v>2</v>
      </c>
      <c r="G63" s="113"/>
      <c r="H63" s="114"/>
      <c r="I63" s="115"/>
      <c r="J63" s="116"/>
      <c r="K63" s="72" t="s">
        <v>19</v>
      </c>
      <c r="L63" s="73" t="s">
        <v>19</v>
      </c>
      <c r="M63" s="244">
        <v>4</v>
      </c>
      <c r="N63" s="222"/>
    </row>
    <row r="64" spans="1:14" ht="19.899999999999999" customHeight="1" thickBot="1" x14ac:dyDescent="0.35">
      <c r="A64" s="210"/>
      <c r="B64" s="243"/>
      <c r="C64" s="16" t="s">
        <v>39</v>
      </c>
      <c r="D64" s="107" t="s">
        <v>98</v>
      </c>
      <c r="E64" s="15">
        <v>3</v>
      </c>
      <c r="F64" s="63">
        <v>2</v>
      </c>
      <c r="G64" s="42"/>
      <c r="H64" s="10"/>
      <c r="I64" s="36"/>
      <c r="J64" s="37"/>
      <c r="K64" s="74">
        <v>2</v>
      </c>
      <c r="L64" s="75">
        <v>2</v>
      </c>
      <c r="M64" s="245"/>
      <c r="N64" s="223"/>
    </row>
    <row r="65" spans="1:14" ht="19.899999999999999" customHeight="1" thickTop="1" thickBot="1" x14ac:dyDescent="0.35">
      <c r="A65" s="210"/>
      <c r="B65" s="206" t="s">
        <v>17</v>
      </c>
      <c r="C65" s="23" t="s">
        <v>11</v>
      </c>
      <c r="D65" s="108" t="s">
        <v>61</v>
      </c>
      <c r="E65" s="28">
        <v>3</v>
      </c>
      <c r="F65" s="62">
        <v>2</v>
      </c>
      <c r="G65" s="53"/>
      <c r="H65" s="49"/>
      <c r="I65" s="50"/>
      <c r="J65" s="76"/>
      <c r="K65" s="78" t="s">
        <v>19</v>
      </c>
      <c r="L65" s="79" t="s">
        <v>19</v>
      </c>
      <c r="M65" s="208">
        <v>4</v>
      </c>
      <c r="N65" s="222"/>
    </row>
    <row r="66" spans="1:14" ht="19.899999999999999" customHeight="1" thickBot="1" x14ac:dyDescent="0.35">
      <c r="A66" s="210"/>
      <c r="B66" s="207"/>
      <c r="C66" s="23" t="s">
        <v>15</v>
      </c>
      <c r="D66" s="108" t="s">
        <v>101</v>
      </c>
      <c r="E66" s="28">
        <v>3</v>
      </c>
      <c r="F66" s="62">
        <v>2</v>
      </c>
      <c r="G66" s="185"/>
      <c r="H66" s="183"/>
      <c r="I66" s="51"/>
      <c r="J66" s="77"/>
      <c r="K66" s="159">
        <v>2</v>
      </c>
      <c r="L66" s="160">
        <v>2</v>
      </c>
      <c r="M66" s="209"/>
      <c r="N66" s="223"/>
    </row>
    <row r="67" spans="1:14" ht="19.899999999999999" customHeight="1" thickTop="1" x14ac:dyDescent="0.3">
      <c r="A67" s="210"/>
      <c r="B67" s="118" t="s">
        <v>84</v>
      </c>
      <c r="C67" s="20" t="s">
        <v>15</v>
      </c>
      <c r="D67" s="90" t="s">
        <v>119</v>
      </c>
      <c r="E67" s="2">
        <v>4</v>
      </c>
      <c r="F67" s="64">
        <v>3</v>
      </c>
      <c r="G67" s="224" t="s">
        <v>115</v>
      </c>
      <c r="H67" s="225"/>
      <c r="I67" s="225"/>
      <c r="J67" s="225"/>
      <c r="K67" s="225"/>
      <c r="L67" s="226"/>
      <c r="M67" s="23"/>
      <c r="N67" s="181"/>
    </row>
    <row r="68" spans="1:14" ht="19.899999999999999" customHeight="1" x14ac:dyDescent="0.3">
      <c r="A68" s="210"/>
      <c r="B68" s="118" t="s">
        <v>14</v>
      </c>
      <c r="C68" s="20" t="s">
        <v>15</v>
      </c>
      <c r="D68" s="90" t="s">
        <v>114</v>
      </c>
      <c r="E68" s="2">
        <v>4</v>
      </c>
      <c r="F68" s="64">
        <v>3</v>
      </c>
      <c r="G68" s="227"/>
      <c r="H68" s="228"/>
      <c r="I68" s="228"/>
      <c r="J68" s="228"/>
      <c r="K68" s="228"/>
      <c r="L68" s="229"/>
      <c r="M68" s="23"/>
      <c r="N68" s="181"/>
    </row>
    <row r="69" spans="1:14" ht="19.899999999999999" customHeight="1" x14ac:dyDescent="0.3">
      <c r="A69" s="210"/>
      <c r="B69" s="234" t="s">
        <v>100</v>
      </c>
      <c r="C69" s="18" t="s">
        <v>15</v>
      </c>
      <c r="D69" s="90" t="s">
        <v>79</v>
      </c>
      <c r="E69" s="1">
        <v>4</v>
      </c>
      <c r="F69" s="57">
        <v>3</v>
      </c>
      <c r="G69" s="227"/>
      <c r="H69" s="230"/>
      <c r="I69" s="230"/>
      <c r="J69" s="230"/>
      <c r="K69" s="230"/>
      <c r="L69" s="229"/>
      <c r="M69" s="16"/>
      <c r="N69" s="182"/>
    </row>
    <row r="70" spans="1:14" ht="19.899999999999999" customHeight="1" x14ac:dyDescent="0.3">
      <c r="A70" s="210"/>
      <c r="B70" s="235"/>
      <c r="C70" s="18" t="s">
        <v>39</v>
      </c>
      <c r="D70" s="90" t="s">
        <v>78</v>
      </c>
      <c r="E70" s="1">
        <v>4</v>
      </c>
      <c r="F70" s="57">
        <v>3</v>
      </c>
      <c r="G70" s="227"/>
      <c r="H70" s="230"/>
      <c r="I70" s="230"/>
      <c r="J70" s="230"/>
      <c r="K70" s="230"/>
      <c r="L70" s="229"/>
      <c r="M70" s="16"/>
      <c r="N70" s="182"/>
    </row>
    <row r="71" spans="1:14" ht="19.899999999999999" customHeight="1" x14ac:dyDescent="0.3">
      <c r="A71" s="210"/>
      <c r="B71" s="236" t="s">
        <v>17</v>
      </c>
      <c r="C71" s="35" t="s">
        <v>15</v>
      </c>
      <c r="D71" s="164" t="s">
        <v>116</v>
      </c>
      <c r="E71" s="21">
        <v>3</v>
      </c>
      <c r="F71" s="165">
        <v>2</v>
      </c>
      <c r="G71" s="227"/>
      <c r="H71" s="230"/>
      <c r="I71" s="230"/>
      <c r="J71" s="230"/>
      <c r="K71" s="230"/>
      <c r="L71" s="229"/>
      <c r="M71" s="185"/>
      <c r="N71" s="184"/>
    </row>
    <row r="72" spans="1:14" ht="19.899999999999999" customHeight="1" thickBot="1" x14ac:dyDescent="0.35">
      <c r="A72" s="211"/>
      <c r="B72" s="237"/>
      <c r="C72" s="166" t="s">
        <v>39</v>
      </c>
      <c r="D72" s="163" t="s">
        <v>117</v>
      </c>
      <c r="E72" s="81">
        <v>3</v>
      </c>
      <c r="F72" s="82">
        <v>2</v>
      </c>
      <c r="G72" s="231"/>
      <c r="H72" s="232"/>
      <c r="I72" s="232"/>
      <c r="J72" s="232"/>
      <c r="K72" s="232"/>
      <c r="L72" s="233"/>
      <c r="M72" s="83"/>
      <c r="N72" s="82"/>
    </row>
    <row r="73" spans="1:14" ht="17.25" thickTop="1" x14ac:dyDescent="0.3">
      <c r="A73" s="197" t="s">
        <v>74</v>
      </c>
      <c r="B73" s="198"/>
      <c r="C73" s="198"/>
      <c r="D73" s="198"/>
      <c r="E73" s="198"/>
      <c r="F73" s="199"/>
      <c r="G73" s="54">
        <f>SUM(G5,G7,G9,G11,G13,G15,G17,G19,G25,G30)</f>
        <v>31</v>
      </c>
      <c r="H73" s="191">
        <f>SUM(H6,H8,H10,H12,H14,H16,H18,H20,H26,H30)</f>
        <v>31</v>
      </c>
      <c r="I73" s="191">
        <f>SUM(I21,I27,M31,M38)</f>
        <v>30</v>
      </c>
      <c r="J73" s="191">
        <f>SUM(J22,J28,M40,M47)</f>
        <v>30</v>
      </c>
      <c r="K73" s="191">
        <f>SUM(K23,M49,K64,K66)</f>
        <v>26</v>
      </c>
      <c r="L73" s="191">
        <f>SUM(L24,M58,L64,L66)</f>
        <v>26</v>
      </c>
      <c r="M73" s="80">
        <f>SUM(G73:L73)</f>
        <v>174</v>
      </c>
      <c r="N73" s="192">
        <f>SUM(N5:N30)</f>
        <v>84</v>
      </c>
    </row>
    <row r="74" spans="1:14" x14ac:dyDescent="0.3">
      <c r="A74" s="200" t="s">
        <v>18</v>
      </c>
      <c r="B74" s="201"/>
      <c r="C74" s="201"/>
      <c r="D74" s="201"/>
      <c r="E74" s="201"/>
      <c r="F74" s="202"/>
      <c r="G74" s="55">
        <v>3</v>
      </c>
      <c r="H74" s="193">
        <v>3</v>
      </c>
      <c r="I74" s="193">
        <v>3</v>
      </c>
      <c r="J74" s="193">
        <v>3</v>
      </c>
      <c r="K74" s="193">
        <v>3</v>
      </c>
      <c r="L74" s="193">
        <v>3</v>
      </c>
      <c r="M74" s="22">
        <f>SUM(G74:L74)</f>
        <v>18</v>
      </c>
      <c r="N74" s="194"/>
    </row>
    <row r="75" spans="1:14" ht="17.25" thickBot="1" x14ac:dyDescent="0.35">
      <c r="A75" s="203" t="s">
        <v>75</v>
      </c>
      <c r="B75" s="204"/>
      <c r="C75" s="204"/>
      <c r="D75" s="204"/>
      <c r="E75" s="204"/>
      <c r="F75" s="205"/>
      <c r="G75" s="56">
        <f t="shared" ref="G75:L75" si="0">G73+G74</f>
        <v>34</v>
      </c>
      <c r="H75" s="195">
        <f t="shared" si="0"/>
        <v>34</v>
      </c>
      <c r="I75" s="195">
        <f t="shared" si="0"/>
        <v>33</v>
      </c>
      <c r="J75" s="195">
        <f t="shared" si="0"/>
        <v>33</v>
      </c>
      <c r="K75" s="195">
        <f t="shared" si="0"/>
        <v>29</v>
      </c>
      <c r="L75" s="195">
        <f t="shared" si="0"/>
        <v>29</v>
      </c>
      <c r="M75" s="52">
        <f>SUM(G75:L75)</f>
        <v>192</v>
      </c>
      <c r="N75" s="196"/>
    </row>
    <row r="76" spans="1:14" ht="17.25" thickTop="1" x14ac:dyDescent="0.3"/>
    <row r="77" spans="1:14" x14ac:dyDescent="0.3">
      <c r="A77" s="87" t="s">
        <v>102</v>
      </c>
    </row>
    <row r="78" spans="1:14" x14ac:dyDescent="0.3">
      <c r="A78" s="87" t="s">
        <v>105</v>
      </c>
    </row>
    <row r="79" spans="1:14" x14ac:dyDescent="0.3">
      <c r="A79" s="87" t="s">
        <v>106</v>
      </c>
    </row>
    <row r="80" spans="1:14" x14ac:dyDescent="0.3">
      <c r="A80" s="87" t="s">
        <v>108</v>
      </c>
    </row>
    <row r="81" spans="1:1" x14ac:dyDescent="0.3">
      <c r="A81" s="87" t="s">
        <v>107</v>
      </c>
    </row>
    <row r="82" spans="1:1" x14ac:dyDescent="0.3">
      <c r="A82" s="87" t="s">
        <v>109</v>
      </c>
    </row>
  </sheetData>
  <mergeCells count="74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30"/>
    <mergeCell ref="B5:B6"/>
    <mergeCell ref="M5:M6"/>
    <mergeCell ref="N5:N6"/>
    <mergeCell ref="B7:B8"/>
    <mergeCell ref="M7:M8"/>
    <mergeCell ref="N7:N8"/>
    <mergeCell ref="B9:B10"/>
    <mergeCell ref="M9:M10"/>
    <mergeCell ref="N9:N10"/>
    <mergeCell ref="B11:B14"/>
    <mergeCell ref="M11:M12"/>
    <mergeCell ref="N11:N12"/>
    <mergeCell ref="M13:M14"/>
    <mergeCell ref="N13:N14"/>
    <mergeCell ref="B15:B18"/>
    <mergeCell ref="M15:M18"/>
    <mergeCell ref="N15:N18"/>
    <mergeCell ref="B19:B24"/>
    <mergeCell ref="M19:M24"/>
    <mergeCell ref="N19:N24"/>
    <mergeCell ref="B25:B28"/>
    <mergeCell ref="M25:M28"/>
    <mergeCell ref="N25:N28"/>
    <mergeCell ref="G29:H29"/>
    <mergeCell ref="M29:M30"/>
    <mergeCell ref="N29:N30"/>
    <mergeCell ref="N40:N46"/>
    <mergeCell ref="N31:N38"/>
    <mergeCell ref="B32:B33"/>
    <mergeCell ref="I32:I37"/>
    <mergeCell ref="B35:B36"/>
    <mergeCell ref="M38:M39"/>
    <mergeCell ref="N47:N48"/>
    <mergeCell ref="B49:B50"/>
    <mergeCell ref="M49:M57"/>
    <mergeCell ref="N49:N57"/>
    <mergeCell ref="K50:K57"/>
    <mergeCell ref="B51:B52"/>
    <mergeCell ref="B54:B56"/>
    <mergeCell ref="N65:N66"/>
    <mergeCell ref="G67:L72"/>
    <mergeCell ref="B69:B70"/>
    <mergeCell ref="B71:B72"/>
    <mergeCell ref="M58:M62"/>
    <mergeCell ref="N58:N62"/>
    <mergeCell ref="L59:L62"/>
    <mergeCell ref="B63:B64"/>
    <mergeCell ref="M63:M64"/>
    <mergeCell ref="N63:N64"/>
    <mergeCell ref="A73:F73"/>
    <mergeCell ref="A74:F74"/>
    <mergeCell ref="A75:F75"/>
    <mergeCell ref="B65:B66"/>
    <mergeCell ref="M65:M66"/>
    <mergeCell ref="A31:A72"/>
    <mergeCell ref="M31:M37"/>
    <mergeCell ref="J41:J46"/>
    <mergeCell ref="B44:B45"/>
    <mergeCell ref="M47:M48"/>
    <mergeCell ref="B40:B41"/>
    <mergeCell ref="M40:M46"/>
  </mergeCells>
  <phoneticPr fontId="2" type="noConversion"/>
  <printOptions horizontalCentered="1"/>
  <pageMargins left="0" right="0" top="0" bottom="0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교육과정 편제표(안)</vt:lpstr>
      <vt:lpstr>'2026학년도 신입생 3개년 교육과정 편제표(안)'!Print_Area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소연 엄</cp:lastModifiedBy>
  <cp:lastPrinted>2025-07-11T01:29:28Z</cp:lastPrinted>
  <dcterms:created xsi:type="dcterms:W3CDTF">2022-04-18T03:36:49Z</dcterms:created>
  <dcterms:modified xsi:type="dcterms:W3CDTF">2025-12-26T00:49:00Z</dcterms:modified>
</cp:coreProperties>
</file>