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C\Desktop\교육과정부\교육과정편제표(2021~)\"/>
    </mc:Choice>
  </mc:AlternateContent>
  <xr:revisionPtr revIDLastSave="0" documentId="13_ncr:1_{64F7C551-ED4F-4409-81A6-0E4D0CCA49C7}" xr6:coauthVersionLast="47" xr6:coauthVersionMax="47" xr10:uidLastSave="{00000000-0000-0000-0000-000000000000}"/>
  <bookViews>
    <workbookView xWindow="-108" yWindow="-108" windowWidth="23256" windowHeight="12456" tabRatio="966" xr2:uid="{FF7F5A6A-F4A0-4761-8753-DB629802AEC3}"/>
  </bookViews>
  <sheets>
    <sheet name="2026 신입생" sheetId="29" r:id="rId1"/>
  </sheets>
  <definedNames>
    <definedName name="_xlnm.Print_Area" localSheetId="0">'2026 신입생'!$A$1:$N$76</definedName>
    <definedName name="_xlnm.Print_Titles" localSheetId="0">'2026 신입생'!$1:$4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4" i="29" l="1"/>
  <c r="K74" i="29"/>
  <c r="J74" i="29"/>
  <c r="I74" i="29"/>
  <c r="H74" i="29"/>
  <c r="G74" i="29"/>
  <c r="M73" i="29"/>
  <c r="N72" i="29"/>
  <c r="M72" i="29"/>
  <c r="M74" i="29" l="1"/>
</calcChain>
</file>

<file path=xl/sharedStrings.xml><?xml version="1.0" encoding="utf-8"?>
<sst xmlns="http://schemas.openxmlformats.org/spreadsheetml/2006/main" count="206" uniqueCount="122">
  <si>
    <t>국어</t>
  </si>
  <si>
    <t>일반</t>
    <phoneticPr fontId="1" type="noConversion"/>
  </si>
  <si>
    <t>수학</t>
  </si>
  <si>
    <t>영어</t>
  </si>
  <si>
    <t>체육</t>
  </si>
  <si>
    <t>진로</t>
    <phoneticPr fontId="1" type="noConversion"/>
  </si>
  <si>
    <t>창의적 체험활동</t>
  </si>
  <si>
    <t>구분</t>
    <phoneticPr fontId="1" type="noConversion"/>
  </si>
  <si>
    <t>교과
(군)</t>
    <phoneticPr fontId="1" type="noConversion"/>
  </si>
  <si>
    <t>세부과목</t>
  </si>
  <si>
    <t>1학년</t>
    <phoneticPr fontId="1" type="noConversion"/>
  </si>
  <si>
    <t>2학년</t>
  </si>
  <si>
    <t>3학년</t>
  </si>
  <si>
    <t>1학기</t>
  </si>
  <si>
    <t>2학기</t>
  </si>
  <si>
    <t>학
교
지
정
교
육
과
정</t>
    <phoneticPr fontId="1" type="noConversion"/>
  </si>
  <si>
    <t>공통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</si>
  <si>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</si>
  <si>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</si>
  <si>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</si>
  <si>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과학</t>
    <phoneticPr fontId="1" type="noConversion"/>
  </si>
  <si>
    <t>예술</t>
    <phoneticPr fontId="1" type="noConversion"/>
  </si>
  <si>
    <t>교양</t>
    <phoneticPr fontId="1" type="noConversion"/>
  </si>
  <si>
    <t>확률과 통계</t>
    <phoneticPr fontId="1" type="noConversion"/>
  </si>
  <si>
    <t>영어 독해와 작문</t>
    <phoneticPr fontId="1" type="noConversion"/>
  </si>
  <si>
    <t>진로</t>
  </si>
  <si>
    <t>기준
학점</t>
  </si>
  <si>
    <t>운영학점</t>
  </si>
  <si>
    <t>이수학점 소계</t>
  </si>
  <si>
    <t>학기별 총 이수 학점</t>
  </si>
  <si>
    <t>이수 
학점</t>
  </si>
  <si>
    <t>필수
이수
학점</t>
  </si>
  <si>
    <t>일본어, 중국어</t>
    <phoneticPr fontId="1" type="noConversion"/>
  </si>
  <si>
    <t>정보</t>
  </si>
  <si>
    <t>융합</t>
    <phoneticPr fontId="1" type="noConversion"/>
  </si>
  <si>
    <t>진로와 직업</t>
  </si>
  <si>
    <t>스포츠 과학</t>
    <phoneticPr fontId="1" type="noConversion"/>
  </si>
  <si>
    <t xml:space="preserve">융합 </t>
    <phoneticPr fontId="1" type="noConversion"/>
  </si>
  <si>
    <t>화법과 언어</t>
    <phoneticPr fontId="1" type="noConversion"/>
  </si>
  <si>
    <t>독서 토론과 글쓰기</t>
    <phoneticPr fontId="1" type="noConversion"/>
  </si>
  <si>
    <t>한국지리 탐구, 동아시아 역사 기행, 
윤리와 사상, 법과 사회</t>
    <phoneticPr fontId="1" type="noConversion"/>
  </si>
  <si>
    <t>심화 영어 독해와 작문</t>
    <phoneticPr fontId="1" type="noConversion"/>
  </si>
  <si>
    <t>경제 수학</t>
    <phoneticPr fontId="1" type="noConversion"/>
  </si>
  <si>
    <t>실용 통계</t>
    <phoneticPr fontId="1" type="noConversion"/>
  </si>
  <si>
    <t>인간과 경제활동</t>
    <phoneticPr fontId="1" type="noConversion"/>
  </si>
  <si>
    <t>택1</t>
    <phoneticPr fontId="1" type="noConversion"/>
  </si>
  <si>
    <t>택2</t>
    <phoneticPr fontId="1" type="noConversion"/>
  </si>
  <si>
    <t>4
4</t>
    <phoneticPr fontId="1" type="noConversion"/>
  </si>
  <si>
    <t xml:space="preserve">학생선택교육과정  </t>
    <phoneticPr fontId="1" type="noConversion"/>
  </si>
  <si>
    <t>문학</t>
    <phoneticPr fontId="1" type="noConversion"/>
  </si>
  <si>
    <t>영어Ⅰ</t>
    <phoneticPr fontId="1" type="noConversion"/>
  </si>
  <si>
    <t>영어Ⅱ</t>
    <phoneticPr fontId="1" type="noConversion"/>
  </si>
  <si>
    <t>미술</t>
    <phoneticPr fontId="1" type="noConversion"/>
  </si>
  <si>
    <t>음악</t>
    <phoneticPr fontId="1" type="noConversion"/>
  </si>
  <si>
    <r>
      <t>교차집중(</t>
    </r>
    <r>
      <rPr>
        <sz val="10"/>
        <rFont val="맑은 고딕"/>
        <family val="3"/>
        <charset val="129"/>
      </rPr>
      <t>↔</t>
    </r>
    <r>
      <rPr>
        <sz val="10"/>
        <rFont val="맑은 고딕"/>
        <family val="3"/>
        <charset val="129"/>
        <scheme val="major"/>
      </rPr>
      <t>)</t>
    </r>
    <phoneticPr fontId="1" type="noConversion"/>
  </si>
  <si>
    <t>음악 연주와 창작</t>
    <phoneticPr fontId="1" type="noConversion"/>
  </si>
  <si>
    <t>미술 감상과 비평</t>
    <phoneticPr fontId="1" type="noConversion"/>
  </si>
  <si>
    <t>보건</t>
    <phoneticPr fontId="1" type="noConversion"/>
  </si>
  <si>
    <t>심화 일본어, 심화 중국어</t>
    <phoneticPr fontId="1" type="noConversion"/>
  </si>
  <si>
    <t>역사로 탐구하는 현대 세계</t>
    <phoneticPr fontId="1" type="noConversion"/>
  </si>
  <si>
    <t>일본 문화, 중국 문화</t>
    <phoneticPr fontId="1" type="noConversion"/>
  </si>
  <si>
    <t>일본어 회화, 중국어 회화</t>
    <phoneticPr fontId="1" type="noConversion"/>
  </si>
  <si>
    <t>빅 데이터 분석★■, 인공지능 모델링★■</t>
    <phoneticPr fontId="1" type="noConversion"/>
  </si>
  <si>
    <t>사물 인터넷과 센서 제어★■</t>
    <phoneticPr fontId="1" type="noConversion"/>
  </si>
  <si>
    <t>기술·가정/정보</t>
    <phoneticPr fontId="1" type="noConversion"/>
  </si>
  <si>
    <r>
      <t xml:space="preserve">사회
</t>
    </r>
    <r>
      <rPr>
        <sz val="8"/>
        <rFont val="맑은 고딕"/>
        <family val="3"/>
        <charset val="129"/>
        <scheme val="major"/>
      </rPr>
      <t>(역사/도덕 포함)</t>
    </r>
    <phoneticPr fontId="1" type="noConversion"/>
  </si>
  <si>
    <t>제2외국어/한문</t>
  </si>
  <si>
    <t>제2외국어/한문</t>
    <phoneticPr fontId="1" type="noConversion"/>
  </si>
  <si>
    <r>
      <rPr>
        <sz val="10"/>
        <rFont val="맑은 고딕"/>
        <family val="3"/>
        <charset val="129"/>
      </rPr>
      <t>★</t>
    </r>
    <r>
      <rPr>
        <sz val="10"/>
        <rFont val="맑은 고딕"/>
        <family val="3"/>
        <charset val="129"/>
        <scheme val="minor"/>
      </rPr>
      <t xml:space="preserve">:전문교과, ☆:고시외과목, *: 특목고 과목, </t>
    </r>
    <r>
      <rPr>
        <sz val="10"/>
        <rFont val="맑은 고딕"/>
        <family val="3"/>
        <charset val="129"/>
      </rPr>
      <t>■</t>
    </r>
    <r>
      <rPr>
        <sz val="9"/>
        <rFont val="맑은 고딕"/>
        <family val="3"/>
        <charset val="129"/>
      </rPr>
      <t>:교과특성화 과목</t>
    </r>
    <phoneticPr fontId="1" type="noConversion"/>
  </si>
  <si>
    <t>기하</t>
  </si>
  <si>
    <t>일반</t>
  </si>
  <si>
    <t>주제 탐구 독서, 문학과 영상</t>
    <phoneticPr fontId="1" type="noConversion"/>
  </si>
  <si>
    <t>미디어 영어, 세계 문화와 영어</t>
    <phoneticPr fontId="1" type="noConversion"/>
  </si>
  <si>
    <t>공동교육과정 / 소인수교육과정
이수 시기별 3학점</t>
    <phoneticPr fontId="1" type="noConversion"/>
  </si>
  <si>
    <t>독서와 작문</t>
    <phoneticPr fontId="1" type="noConversion"/>
  </si>
  <si>
    <t>공통국어1</t>
    <phoneticPr fontId="1" type="noConversion"/>
  </si>
  <si>
    <t>공통</t>
  </si>
  <si>
    <t>공통국어2</t>
    <phoneticPr fontId="1" type="noConversion"/>
  </si>
  <si>
    <t>공통수학1</t>
    <phoneticPr fontId="1" type="noConversion"/>
  </si>
  <si>
    <t>공통수학2</t>
    <phoneticPr fontId="1" type="noConversion"/>
  </si>
  <si>
    <t>공통영어1</t>
    <phoneticPr fontId="1" type="noConversion"/>
  </si>
  <si>
    <t>공통영어2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</si>
  <si>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</si>
  <si>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</si>
  <si>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</si>
  <si>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</si>
  <si>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</si>
  <si>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</si>
  <si>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체육1</t>
    <phoneticPr fontId="1" type="noConversion"/>
  </si>
  <si>
    <t>체육2</t>
    <phoneticPr fontId="1" type="noConversion"/>
  </si>
  <si>
    <t>스포츠 생활1</t>
    <phoneticPr fontId="1" type="noConversion"/>
  </si>
  <si>
    <t>스포츠 생활2</t>
    <phoneticPr fontId="1" type="noConversion"/>
  </si>
  <si>
    <t>도시의 미래 탐구, 경제, 인문학과 윤리</t>
    <phoneticPr fontId="1" type="noConversion"/>
  </si>
  <si>
    <t>스포츠 문화</t>
    <phoneticPr fontId="1" type="noConversion"/>
  </si>
  <si>
    <t>3
3
3</t>
    <phoneticPr fontId="1" type="noConversion"/>
  </si>
  <si>
    <t>택3</t>
    <phoneticPr fontId="1" type="noConversion"/>
  </si>
  <si>
    <t>▷ SW 과학 융합 특성화학교</t>
    <phoneticPr fontId="1" type="noConversion"/>
  </si>
  <si>
    <t>데이터 과학■</t>
    <phoneticPr fontId="1" type="noConversion"/>
  </si>
  <si>
    <t>인공지능 기초■, 프로그래밍★■</t>
    <phoneticPr fontId="1" type="noConversion"/>
  </si>
  <si>
    <t xml:space="preserve">대수 </t>
    <phoneticPr fontId="1" type="noConversion"/>
  </si>
  <si>
    <t>미적분Ⅰ</t>
    <phoneticPr fontId="1" type="noConversion"/>
  </si>
  <si>
    <t>사회
(역사/도덕 포함)</t>
  </si>
  <si>
    <t>세계시민과 지리, 세계사, 사회와 문화, 현대사회와 윤리</t>
  </si>
  <si>
    <t>4
4
4</t>
    <phoneticPr fontId="1" type="noConversion"/>
  </si>
  <si>
    <t>미적분Ⅱ</t>
  </si>
  <si>
    <t>2026학년도 신입생 3개년 교육과정 편제표</t>
    <phoneticPr fontId="1" type="noConversion"/>
  </si>
  <si>
    <t>미술사</t>
    <phoneticPr fontId="1" type="noConversion"/>
  </si>
  <si>
    <t>과학</t>
  </si>
  <si>
    <t>융합</t>
  </si>
  <si>
    <t>응용 프로그래밍 개발★■, 사물 인터넷 서비스 기획★■
인공지능 일반★■, 자료 구조★■
데이터베이스 프로그래밍★■</t>
    <phoneticPr fontId="1" type="noConversion"/>
  </si>
  <si>
    <t>물리학■, 화학■, 생명과학■, 지구과학■</t>
    <phoneticPr fontId="1" type="noConversion"/>
  </si>
  <si>
    <t>역학과 에너지■, 화학 반응의 세계■, 
세포와 물질대사■, 행성우주과학■</t>
    <phoneticPr fontId="1" type="noConversion"/>
  </si>
  <si>
    <t>전자기와 양자■, 물질과 에너지■,
생물의 유전■, 지구시스템과학■</t>
    <phoneticPr fontId="1" type="noConversion"/>
  </si>
  <si>
    <t>융합과학 탐구■</t>
    <phoneticPr fontId="1" type="noConversion"/>
  </si>
  <si>
    <t>화학 실험*■, 물리학 실험*■, 생명과학 실험*■, 지구과학 실험*■</t>
    <phoneticPr fontId="1" type="noConversion"/>
  </si>
  <si>
    <t>정보</t>
    <phoneticPr fontId="1" type="noConversion"/>
  </si>
  <si>
    <t>통합사회2</t>
  </si>
  <si>
    <t>과학탐구실험2</t>
  </si>
  <si>
    <t>기후변화와 환경생태■</t>
    <phoneticPr fontId="1" type="noConversion"/>
  </si>
  <si>
    <t>사회문제 탐구</t>
    <phoneticPr fontId="1" type="noConversion"/>
  </si>
  <si>
    <t>대현고등학교 2026.2.6.</t>
    <phoneticPr fontId="1" type="noConversion"/>
  </si>
  <si>
    <t>인간과 심리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</si>
</sst>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56">
    <xf numFmtId="0" fontId="0" fillId="0" borderId="0" xfId="0">
      <alignment vertical="center"/>
    </xf>
    <xf numFmtId="176" fontId="4" fillId="3" borderId="25" xfId="0" applyNumberFormat="1" applyFont="1" applyFill="1" applyBorder="1" applyAlignment="1">
      <alignment horizontal="center" vertical="center" wrapText="1"/>
    </xf>
    <xf numFmtId="176" fontId="4" fillId="0" borderId="27" xfId="0" applyNumberFormat="1" applyFont="1" applyBorder="1" applyAlignment="1">
      <alignment horizontal="center" vertical="center" wrapText="1"/>
    </xf>
    <xf numFmtId="176" fontId="4" fillId="0" borderId="28" xfId="0" applyNumberFormat="1" applyFont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176" fontId="4" fillId="3" borderId="28" xfId="0" applyNumberFormat="1" applyFont="1" applyFill="1" applyBorder="1" applyAlignment="1">
      <alignment horizontal="center" vertical="center" wrapText="1"/>
    </xf>
    <xf numFmtId="176" fontId="4" fillId="3" borderId="27" xfId="0" applyNumberFormat="1" applyFont="1" applyFill="1" applyBorder="1" applyAlignment="1">
      <alignment horizontal="center" vertical="center" wrapText="1"/>
    </xf>
    <xf numFmtId="176" fontId="4" fillId="0" borderId="38" xfId="0" applyNumberFormat="1" applyFont="1" applyBorder="1" applyAlignment="1">
      <alignment horizontal="center" vertical="center" wrapText="1"/>
    </xf>
    <xf numFmtId="0" fontId="4" fillId="0" borderId="27" xfId="0" applyFont="1" applyBorder="1">
      <alignment vertical="center"/>
    </xf>
    <xf numFmtId="0" fontId="4" fillId="0" borderId="31" xfId="0" applyFont="1" applyBorder="1" applyAlignment="1">
      <alignment horizontal="center" vertical="center"/>
    </xf>
    <xf numFmtId="176" fontId="4" fillId="3" borderId="34" xfId="0" applyNumberFormat="1" applyFont="1" applyFill="1" applyBorder="1" applyAlignment="1">
      <alignment horizontal="center" vertical="center" wrapText="1"/>
    </xf>
    <xf numFmtId="176" fontId="4" fillId="3" borderId="35" xfId="0" applyNumberFormat="1" applyFont="1" applyFill="1" applyBorder="1" applyAlignment="1">
      <alignment horizontal="center" vertical="center" wrapText="1"/>
    </xf>
    <xf numFmtId="176" fontId="4" fillId="0" borderId="37" xfId="0" applyNumberFormat="1" applyFont="1" applyBorder="1" applyAlignment="1">
      <alignment horizontal="center" vertical="center" wrapText="1"/>
    </xf>
    <xf numFmtId="0" fontId="4" fillId="0" borderId="28" xfId="0" applyFont="1" applyBorder="1">
      <alignment vertical="center"/>
    </xf>
    <xf numFmtId="0" fontId="4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76" fontId="4" fillId="0" borderId="22" xfId="0" applyNumberFormat="1" applyFont="1" applyBorder="1" applyAlignment="1">
      <alignment horizontal="center" vertical="center" wrapText="1"/>
    </xf>
    <xf numFmtId="176" fontId="4" fillId="0" borderId="41" xfId="0" applyNumberFormat="1" applyFont="1" applyBorder="1" applyAlignment="1">
      <alignment horizontal="center" vertical="center" wrapText="1"/>
    </xf>
    <xf numFmtId="176" fontId="4" fillId="3" borderId="48" xfId="0" applyNumberFormat="1" applyFont="1" applyFill="1" applyBorder="1" applyAlignment="1">
      <alignment horizontal="center" vertical="center" wrapText="1"/>
    </xf>
    <xf numFmtId="176" fontId="4" fillId="3" borderId="27" xfId="0" applyNumberFormat="1" applyFont="1" applyFill="1" applyBorder="1" applyAlignment="1">
      <alignment vertical="center" wrapText="1"/>
    </xf>
    <xf numFmtId="176" fontId="4" fillId="3" borderId="28" xfId="0" applyNumberFormat="1" applyFont="1" applyFill="1" applyBorder="1" applyAlignment="1">
      <alignment vertical="center" wrapText="1"/>
    </xf>
    <xf numFmtId="176" fontId="4" fillId="3" borderId="16" xfId="0" applyNumberFormat="1" applyFont="1" applyFill="1" applyBorder="1" applyAlignment="1">
      <alignment horizontal="center" vertical="center" wrapText="1"/>
    </xf>
    <xf numFmtId="176" fontId="4" fillId="0" borderId="56" xfId="0" applyNumberFormat="1" applyFont="1" applyBorder="1" applyAlignment="1">
      <alignment horizontal="center" vertical="center" wrapText="1"/>
    </xf>
    <xf numFmtId="176" fontId="4" fillId="0" borderId="48" xfId="0" applyNumberFormat="1" applyFont="1" applyBorder="1" applyAlignment="1">
      <alignment horizontal="center" vertical="center" wrapText="1"/>
    </xf>
    <xf numFmtId="176" fontId="4" fillId="3" borderId="48" xfId="0" applyNumberFormat="1" applyFont="1" applyFill="1" applyBorder="1" applyAlignment="1">
      <alignment vertical="center" wrapText="1"/>
    </xf>
    <xf numFmtId="176" fontId="4" fillId="3" borderId="15" xfId="0" applyNumberFormat="1" applyFont="1" applyFill="1" applyBorder="1" applyAlignment="1">
      <alignment horizontal="center" vertical="center" wrapText="1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176" fontId="4" fillId="0" borderId="36" xfId="0" applyNumberFormat="1" applyFont="1" applyBorder="1" applyAlignment="1">
      <alignment horizontal="center" vertical="center" wrapText="1"/>
    </xf>
    <xf numFmtId="176" fontId="4" fillId="0" borderId="43" xfId="0" applyNumberFormat="1" applyFont="1" applyBorder="1" applyAlignment="1">
      <alignment horizontal="center" vertical="center" wrapText="1"/>
    </xf>
    <xf numFmtId="176" fontId="4" fillId="0" borderId="57" xfId="0" applyNumberFormat="1" applyFont="1" applyBorder="1" applyAlignment="1">
      <alignment horizontal="center" vertical="center" wrapText="1"/>
    </xf>
    <xf numFmtId="0" fontId="4" fillId="0" borderId="31" xfId="0" applyFont="1" applyBorder="1">
      <alignment vertical="center"/>
    </xf>
    <xf numFmtId="0" fontId="4" fillId="0" borderId="32" xfId="0" applyFont="1" applyBorder="1">
      <alignment vertical="center"/>
    </xf>
    <xf numFmtId="176" fontId="4" fillId="2" borderId="15" xfId="0" applyNumberFormat="1" applyFont="1" applyFill="1" applyBorder="1" applyAlignment="1">
      <alignment horizontal="center" vertical="center" shrinkToFit="1"/>
    </xf>
    <xf numFmtId="176" fontId="4" fillId="2" borderId="16" xfId="0" applyNumberFormat="1" applyFont="1" applyFill="1" applyBorder="1" applyAlignment="1">
      <alignment horizontal="center" vertical="center" shrinkToFit="1"/>
    </xf>
    <xf numFmtId="176" fontId="4" fillId="2" borderId="44" xfId="0" applyNumberFormat="1" applyFont="1" applyFill="1" applyBorder="1" applyAlignment="1">
      <alignment horizontal="center" vertical="center" shrinkToFit="1"/>
    </xf>
    <xf numFmtId="176" fontId="4" fillId="4" borderId="25" xfId="0" applyNumberFormat="1" applyFont="1" applyFill="1" applyBorder="1" applyAlignment="1">
      <alignment horizontal="center" vertical="center" shrinkToFit="1"/>
    </xf>
    <xf numFmtId="176" fontId="4" fillId="4" borderId="21" xfId="0" applyNumberFormat="1" applyFont="1" applyFill="1" applyBorder="1" applyAlignment="1">
      <alignment horizontal="center" vertical="center" shrinkToFi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5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176" fontId="4" fillId="4" borderId="34" xfId="0" applyNumberFormat="1" applyFont="1" applyFill="1" applyBorder="1" applyAlignment="1">
      <alignment horizontal="center" vertical="center" shrinkToFi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60" xfId="0" applyFont="1" applyFill="1" applyBorder="1" applyAlignment="1">
      <alignment horizontal="center" vertical="center" wrapText="1"/>
    </xf>
    <xf numFmtId="176" fontId="4" fillId="3" borderId="44" xfId="0" applyNumberFormat="1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4" fillId="0" borderId="37" xfId="0" applyFont="1" applyBorder="1">
      <alignment vertical="center"/>
    </xf>
    <xf numFmtId="0" fontId="4" fillId="0" borderId="38" xfId="0" applyFont="1" applyBorder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176" fontId="4" fillId="0" borderId="55" xfId="0" applyNumberFormat="1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76" fontId="10" fillId="4" borderId="31" xfId="0" applyNumberFormat="1" applyFont="1" applyFill="1" applyBorder="1" applyAlignment="1">
      <alignment horizontal="center" vertical="center" wrapText="1"/>
    </xf>
    <xf numFmtId="0" fontId="4" fillId="0" borderId="23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23" xfId="0" applyFont="1" applyBorder="1" applyAlignment="1">
      <alignment horizontal="center" vertical="center"/>
    </xf>
    <xf numFmtId="176" fontId="4" fillId="0" borderId="21" xfId="0" applyNumberFormat="1" applyFont="1" applyBorder="1" applyAlignment="1">
      <alignment horizontal="center" vertical="center" wrapText="1"/>
    </xf>
    <xf numFmtId="176" fontId="10" fillId="4" borderId="15" xfId="0" applyNumberFormat="1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9" xfId="0" applyNumberFormat="1" applyFont="1" applyBorder="1" applyAlignment="1">
      <alignment horizontal="center" vertical="center" wrapText="1"/>
    </xf>
    <xf numFmtId="176" fontId="4" fillId="0" borderId="29" xfId="0" applyNumberFormat="1" applyFont="1" applyBorder="1" applyAlignment="1">
      <alignment horizontal="center" vertical="center" wrapText="1"/>
    </xf>
    <xf numFmtId="176" fontId="4" fillId="3" borderId="31" xfId="0" applyNumberFormat="1" applyFont="1" applyFill="1" applyBorder="1" applyAlignment="1">
      <alignment horizontal="center" vertical="center" wrapText="1"/>
    </xf>
    <xf numFmtId="176" fontId="4" fillId="3" borderId="3" xfId="0" applyNumberFormat="1" applyFont="1" applyFill="1" applyBorder="1" applyAlignment="1">
      <alignment horizontal="center" vertical="center" wrapText="1"/>
    </xf>
    <xf numFmtId="176" fontId="4" fillId="4" borderId="31" xfId="0" applyNumberFormat="1" applyFont="1" applyFill="1" applyBorder="1" applyAlignment="1">
      <alignment horizontal="center" vertical="center" wrapText="1"/>
    </xf>
    <xf numFmtId="176" fontId="4" fillId="3" borderId="30" xfId="0" applyNumberFormat="1" applyFont="1" applyFill="1" applyBorder="1" applyAlignment="1">
      <alignment horizontal="center" vertical="center" wrapText="1"/>
    </xf>
    <xf numFmtId="176" fontId="4" fillId="0" borderId="31" xfId="0" applyNumberFormat="1" applyFont="1" applyBorder="1" applyAlignment="1">
      <alignment horizontal="center" vertical="center" wrapText="1"/>
    </xf>
    <xf numFmtId="176" fontId="4" fillId="0" borderId="23" xfId="0" applyNumberFormat="1" applyFont="1" applyBorder="1" applyAlignment="1">
      <alignment horizontal="center" vertical="center" wrapText="1"/>
    </xf>
    <xf numFmtId="176" fontId="4" fillId="0" borderId="32" xfId="0" applyNumberFormat="1" applyFont="1" applyBorder="1" applyAlignment="1">
      <alignment horizontal="center" vertical="center" wrapText="1"/>
    </xf>
    <xf numFmtId="176" fontId="4" fillId="0" borderId="24" xfId="0" applyNumberFormat="1" applyFont="1" applyBorder="1" applyAlignment="1">
      <alignment horizontal="center" vertical="center" wrapText="1"/>
    </xf>
    <xf numFmtId="176" fontId="4" fillId="3" borderId="21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4" fillId="0" borderId="25" xfId="0" applyNumberFormat="1" applyFont="1" applyBorder="1" applyAlignment="1">
      <alignment horizontal="center" vertical="center" wrapText="1"/>
    </xf>
    <xf numFmtId="176" fontId="4" fillId="0" borderId="35" xfId="0" applyNumberFormat="1" applyFont="1" applyBorder="1" applyAlignment="1">
      <alignment horizontal="center" vertical="center" wrapText="1"/>
    </xf>
    <xf numFmtId="176" fontId="4" fillId="0" borderId="8" xfId="0" applyNumberFormat="1" applyFont="1" applyBorder="1" applyAlignment="1">
      <alignment horizontal="center" vertical="center" wrapText="1"/>
    </xf>
    <xf numFmtId="176" fontId="4" fillId="0" borderId="33" xfId="0" applyNumberFormat="1" applyFont="1" applyBorder="1" applyAlignment="1">
      <alignment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176" fontId="4" fillId="0" borderId="46" xfId="0" applyNumberFormat="1" applyFont="1" applyBorder="1" applyAlignment="1">
      <alignment vertical="center" wrapText="1"/>
    </xf>
    <xf numFmtId="176" fontId="4" fillId="0" borderId="20" xfId="0" applyNumberFormat="1" applyFont="1" applyBorder="1" applyAlignment="1">
      <alignment horizontal="center" vertical="center" wrapText="1"/>
    </xf>
    <xf numFmtId="176" fontId="4" fillId="0" borderId="34" xfId="0" applyNumberFormat="1" applyFont="1" applyBorder="1" applyAlignment="1">
      <alignment horizontal="center" vertical="center" wrapText="1"/>
    </xf>
    <xf numFmtId="176" fontId="4" fillId="0" borderId="49" xfId="0" applyNumberFormat="1" applyFont="1" applyBorder="1" applyAlignment="1">
      <alignment vertical="center" wrapText="1"/>
    </xf>
    <xf numFmtId="176" fontId="6" fillId="0" borderId="35" xfId="0" applyNumberFormat="1" applyFont="1" applyBorder="1" applyAlignment="1">
      <alignment horizontal="center" vertical="center" wrapText="1"/>
    </xf>
    <xf numFmtId="176" fontId="11" fillId="0" borderId="38" xfId="0" applyNumberFormat="1" applyFont="1" applyBorder="1" applyAlignment="1">
      <alignment horizontal="center" vertical="center" wrapText="1"/>
    </xf>
    <xf numFmtId="176" fontId="4" fillId="0" borderId="12" xfId="0" applyNumberFormat="1" applyFont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center" vertical="center" wrapText="1"/>
    </xf>
    <xf numFmtId="176" fontId="11" fillId="0" borderId="17" xfId="0" applyNumberFormat="1" applyFont="1" applyBorder="1" applyAlignment="1">
      <alignment horizontal="center" vertical="center" wrapText="1"/>
    </xf>
    <xf numFmtId="176" fontId="4" fillId="0" borderId="26" xfId="0" applyNumberFormat="1" applyFont="1" applyBorder="1" applyAlignment="1">
      <alignment horizontal="center" vertical="center" wrapText="1"/>
    </xf>
    <xf numFmtId="176" fontId="4" fillId="0" borderId="15" xfId="0" applyNumberFormat="1" applyFont="1" applyBorder="1" applyAlignment="1">
      <alignment horizontal="center" vertical="center" wrapText="1"/>
    </xf>
    <xf numFmtId="176" fontId="4" fillId="0" borderId="60" xfId="0" applyNumberFormat="1" applyFont="1" applyBorder="1" applyAlignment="1">
      <alignment horizontal="center" vertical="center" wrapText="1"/>
    </xf>
    <xf numFmtId="176" fontId="4" fillId="0" borderId="16" xfId="0" applyNumberFormat="1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176" fontId="4" fillId="0" borderId="58" xfId="0" applyNumberFormat="1" applyFont="1" applyBorder="1" applyAlignment="1">
      <alignment horizontal="center" vertical="center" wrapText="1"/>
    </xf>
    <xf numFmtId="176" fontId="4" fillId="7" borderId="62" xfId="0" applyNumberFormat="1" applyFont="1" applyFill="1" applyBorder="1" applyAlignment="1">
      <alignment horizontal="center" vertical="center" wrapText="1"/>
    </xf>
    <xf numFmtId="176" fontId="4" fillId="8" borderId="62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4" fillId="9" borderId="62" xfId="0" applyFont="1" applyFill="1" applyBorder="1" applyAlignment="1">
      <alignment horizontal="center" vertical="center"/>
    </xf>
    <xf numFmtId="176" fontId="4" fillId="0" borderId="30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6" borderId="62" xfId="0" applyFont="1" applyFill="1" applyBorder="1" applyAlignment="1">
      <alignment horizontal="center" vertical="center"/>
    </xf>
    <xf numFmtId="176" fontId="6" fillId="0" borderId="25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176" fontId="4" fillId="0" borderId="44" xfId="0" applyNumberFormat="1" applyFont="1" applyBorder="1" applyAlignment="1">
      <alignment horizontal="center" vertical="center" wrapText="1"/>
    </xf>
    <xf numFmtId="176" fontId="4" fillId="0" borderId="27" xfId="0" applyNumberFormat="1" applyFont="1" applyBorder="1" applyAlignment="1">
      <alignment horizontal="center" vertical="center" wrapText="1"/>
    </xf>
    <xf numFmtId="176" fontId="4" fillId="0" borderId="28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31" xfId="0" applyNumberFormat="1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10" borderId="62" xfId="0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 wrapText="1"/>
    </xf>
    <xf numFmtId="176" fontId="4" fillId="0" borderId="27" xfId="0" applyNumberFormat="1" applyFont="1" applyBorder="1" applyAlignment="1">
      <alignment horizontal="center" vertical="center" wrapText="1"/>
    </xf>
    <xf numFmtId="176" fontId="4" fillId="0" borderId="28" xfId="0" applyNumberFormat="1" applyFont="1" applyBorder="1" applyAlignment="1">
      <alignment horizontal="center" vertical="center" wrapText="1"/>
    </xf>
    <xf numFmtId="176" fontId="4" fillId="3" borderId="35" xfId="0" applyNumberFormat="1" applyFont="1" applyFill="1" applyBorder="1" applyAlignment="1">
      <alignment horizontal="left" vertical="center" wrapText="1"/>
    </xf>
    <xf numFmtId="176" fontId="4" fillId="3" borderId="21" xfId="0" applyNumberFormat="1" applyFont="1" applyFill="1" applyBorder="1" applyAlignment="1">
      <alignment horizontal="left" vertical="center" wrapText="1"/>
    </xf>
    <xf numFmtId="176" fontId="4" fillId="0" borderId="25" xfId="0" applyNumberFormat="1" applyFont="1" applyBorder="1" applyAlignment="1">
      <alignment horizontal="left" vertical="center" wrapText="1"/>
    </xf>
    <xf numFmtId="176" fontId="4" fillId="0" borderId="25" xfId="0" applyNumberFormat="1" applyFont="1" applyBorder="1" applyAlignment="1">
      <alignment horizontal="left" vertical="center" shrinkToFit="1"/>
    </xf>
    <xf numFmtId="176" fontId="4" fillId="3" borderId="25" xfId="0" applyNumberFormat="1" applyFont="1" applyFill="1" applyBorder="1" applyAlignment="1">
      <alignment horizontal="left" vertical="center" wrapText="1"/>
    </xf>
    <xf numFmtId="176" fontId="4" fillId="3" borderId="25" xfId="0" applyNumberFormat="1" applyFont="1" applyFill="1" applyBorder="1" applyAlignment="1">
      <alignment horizontal="left" vertical="center" shrinkToFit="1"/>
    </xf>
    <xf numFmtId="0" fontId="4" fillId="0" borderId="34" xfId="0" applyFont="1" applyBorder="1" applyAlignment="1">
      <alignment horizontal="left" vertical="center"/>
    </xf>
    <xf numFmtId="176" fontId="4" fillId="7" borderId="35" xfId="0" applyNumberFormat="1" applyFont="1" applyFill="1" applyBorder="1" applyAlignment="1">
      <alignment horizontal="left" vertical="center" shrinkToFit="1"/>
    </xf>
    <xf numFmtId="176" fontId="4" fillId="7" borderId="25" xfId="0" applyNumberFormat="1" applyFont="1" applyFill="1" applyBorder="1" applyAlignment="1">
      <alignment horizontal="left" vertical="center" wrapText="1" shrinkToFit="1"/>
    </xf>
    <xf numFmtId="176" fontId="4" fillId="7" borderId="25" xfId="0" applyNumberFormat="1" applyFont="1" applyFill="1" applyBorder="1" applyAlignment="1">
      <alignment horizontal="left" vertical="center" wrapText="1"/>
    </xf>
    <xf numFmtId="176" fontId="4" fillId="8" borderId="35" xfId="0" applyNumberFormat="1" applyFont="1" applyFill="1" applyBorder="1" applyAlignment="1">
      <alignment horizontal="left" vertical="center" shrinkToFit="1"/>
    </xf>
    <xf numFmtId="176" fontId="4" fillId="8" borderId="25" xfId="0" applyNumberFormat="1" applyFont="1" applyFill="1" applyBorder="1" applyAlignment="1">
      <alignment horizontal="left" vertical="center" wrapText="1" shrinkToFit="1"/>
    </xf>
    <xf numFmtId="176" fontId="4" fillId="8" borderId="34" xfId="0" applyNumberFormat="1" applyFont="1" applyFill="1" applyBorder="1" applyAlignment="1">
      <alignment horizontal="left" vertical="center" wrapText="1"/>
    </xf>
    <xf numFmtId="176" fontId="4" fillId="9" borderId="35" xfId="0" applyNumberFormat="1" applyFont="1" applyFill="1" applyBorder="1" applyAlignment="1">
      <alignment horizontal="left" vertical="center" wrapText="1"/>
    </xf>
    <xf numFmtId="176" fontId="4" fillId="9" borderId="25" xfId="0" applyNumberFormat="1" applyFont="1" applyFill="1" applyBorder="1" applyAlignment="1">
      <alignment horizontal="left" vertical="center" wrapText="1"/>
    </xf>
    <xf numFmtId="176" fontId="4" fillId="4" borderId="21" xfId="0" applyNumberFormat="1" applyFont="1" applyFill="1" applyBorder="1" applyAlignment="1">
      <alignment horizontal="left" vertical="center" wrapText="1"/>
    </xf>
    <xf numFmtId="176" fontId="4" fillId="4" borderId="25" xfId="0" applyNumberFormat="1" applyFont="1" applyFill="1" applyBorder="1" applyAlignment="1">
      <alignment horizontal="left" vertical="center" wrapText="1"/>
    </xf>
    <xf numFmtId="176" fontId="4" fillId="4" borderId="30" xfId="0" applyNumberFormat="1" applyFont="1" applyFill="1" applyBorder="1" applyAlignment="1">
      <alignment horizontal="left" vertical="center" wrapText="1"/>
    </xf>
    <xf numFmtId="176" fontId="4" fillId="6" borderId="4" xfId="0" applyNumberFormat="1" applyFont="1" applyFill="1" applyBorder="1" applyAlignment="1">
      <alignment horizontal="left" vertical="center" wrapText="1"/>
    </xf>
    <xf numFmtId="176" fontId="4" fillId="6" borderId="25" xfId="0" applyNumberFormat="1" applyFont="1" applyFill="1" applyBorder="1" applyAlignment="1">
      <alignment horizontal="left" vertical="center" wrapText="1"/>
    </xf>
    <xf numFmtId="176" fontId="4" fillId="6" borderId="34" xfId="0" applyNumberFormat="1" applyFont="1" applyFill="1" applyBorder="1" applyAlignment="1">
      <alignment horizontal="left" vertical="center" wrapText="1"/>
    </xf>
    <xf numFmtId="176" fontId="4" fillId="10" borderId="35" xfId="0" applyNumberFormat="1" applyFont="1" applyFill="1" applyBorder="1" applyAlignment="1">
      <alignment horizontal="left" vertical="center" wrapText="1"/>
    </xf>
    <xf numFmtId="176" fontId="4" fillId="10" borderId="25" xfId="0" applyNumberFormat="1" applyFont="1" applyFill="1" applyBorder="1" applyAlignment="1">
      <alignment horizontal="left" vertical="center" wrapText="1"/>
    </xf>
    <xf numFmtId="176" fontId="4" fillId="10" borderId="30" xfId="0" applyNumberFormat="1" applyFont="1" applyFill="1" applyBorder="1" applyAlignment="1">
      <alignment horizontal="left" vertical="center" shrinkToFit="1"/>
    </xf>
    <xf numFmtId="176" fontId="4" fillId="10" borderId="34" xfId="0" applyNumberFormat="1" applyFont="1" applyFill="1" applyBorder="1" applyAlignment="1">
      <alignment horizontal="left" vertical="center" shrinkToFit="1"/>
    </xf>
    <xf numFmtId="49" fontId="4" fillId="0" borderId="35" xfId="0" applyNumberFormat="1" applyFont="1" applyBorder="1" applyAlignment="1">
      <alignment horizontal="left" vertical="center" shrinkToFit="1"/>
    </xf>
    <xf numFmtId="176" fontId="4" fillId="0" borderId="12" xfId="0" applyNumberFormat="1" applyFont="1" applyBorder="1" applyAlignment="1">
      <alignment horizontal="left" vertical="center" wrapText="1" shrinkToFi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9" xfId="0" applyNumberFormat="1" applyFont="1" applyBorder="1" applyAlignment="1">
      <alignment horizontal="center" vertical="center" wrapText="1"/>
    </xf>
    <xf numFmtId="176" fontId="11" fillId="0" borderId="28" xfId="0" applyNumberFormat="1" applyFont="1" applyBorder="1" applyAlignment="1">
      <alignment horizontal="center" vertical="center" wrapText="1"/>
    </xf>
    <xf numFmtId="176" fontId="4" fillId="0" borderId="37" xfId="0" applyNumberFormat="1" applyFont="1" applyBorder="1" applyAlignment="1">
      <alignment horizontal="center" vertical="center" wrapText="1"/>
    </xf>
    <xf numFmtId="176" fontId="4" fillId="0" borderId="27" xfId="0" applyNumberFormat="1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 shrinkToFit="1"/>
    </xf>
    <xf numFmtId="176" fontId="4" fillId="9" borderId="20" xfId="0" applyNumberFormat="1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4" fillId="0" borderId="19" xfId="0" applyFont="1" applyBorder="1">
      <alignment vertical="center"/>
    </xf>
    <xf numFmtId="0" fontId="4" fillId="0" borderId="29" xfId="0" applyFont="1" applyBorder="1">
      <alignment vertical="center"/>
    </xf>
    <xf numFmtId="0" fontId="4" fillId="0" borderId="19" xfId="0" applyFont="1" applyBorder="1" applyAlignment="1">
      <alignment horizontal="center" vertical="center"/>
    </xf>
    <xf numFmtId="176" fontId="4" fillId="9" borderId="34" xfId="0" applyNumberFormat="1" applyFont="1" applyFill="1" applyBorder="1" applyAlignment="1">
      <alignment horizontal="left" vertical="center" wrapText="1"/>
    </xf>
    <xf numFmtId="176" fontId="4" fillId="3" borderId="31" xfId="0" applyNumberFormat="1" applyFont="1" applyFill="1" applyBorder="1" applyAlignment="1">
      <alignment horizontal="center" vertical="center" wrapText="1"/>
    </xf>
    <xf numFmtId="176" fontId="4" fillId="3" borderId="19" xfId="0" applyNumberFormat="1" applyFont="1" applyFill="1" applyBorder="1" applyAlignment="1">
      <alignment horizontal="center" vertical="center" wrapText="1"/>
    </xf>
    <xf numFmtId="176" fontId="4" fillId="3" borderId="2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3" fillId="0" borderId="63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176" fontId="4" fillId="0" borderId="37" xfId="0" applyNumberFormat="1" applyFont="1" applyBorder="1" applyAlignment="1">
      <alignment horizontal="center" vertical="center" wrapText="1"/>
    </xf>
    <xf numFmtId="176" fontId="4" fillId="0" borderId="27" xfId="0" applyNumberFormat="1" applyFont="1" applyBorder="1" applyAlignment="1">
      <alignment horizontal="center" vertical="center" wrapText="1"/>
    </xf>
    <xf numFmtId="176" fontId="4" fillId="0" borderId="38" xfId="0" applyNumberFormat="1" applyFont="1" applyBorder="1" applyAlignment="1">
      <alignment horizontal="center" vertical="center" wrapText="1"/>
    </xf>
    <xf numFmtId="176" fontId="4" fillId="0" borderId="28" xfId="0" applyNumberFormat="1" applyFont="1" applyBorder="1" applyAlignment="1">
      <alignment horizontal="center"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176" fontId="4" fillId="0" borderId="61" xfId="0" applyNumberFormat="1" applyFont="1" applyBorder="1" applyAlignment="1">
      <alignment horizontal="center" vertical="center" wrapText="1"/>
    </xf>
    <xf numFmtId="176" fontId="4" fillId="0" borderId="46" xfId="0" applyNumberFormat="1" applyFont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49" xfId="0" applyNumberFormat="1" applyFont="1" applyBorder="1" applyAlignment="1">
      <alignment horizontal="center" vertical="center" wrapText="1"/>
    </xf>
    <xf numFmtId="176" fontId="4" fillId="0" borderId="50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19" xfId="0" applyNumberFormat="1" applyFont="1" applyBorder="1" applyAlignment="1">
      <alignment horizontal="center" vertical="center" wrapText="1"/>
    </xf>
    <xf numFmtId="176" fontId="4" fillId="0" borderId="11" xfId="0" applyNumberFormat="1" applyFont="1" applyBorder="1" applyAlignment="1">
      <alignment horizontal="center" vertical="center" wrapText="1"/>
    </xf>
    <xf numFmtId="176" fontId="4" fillId="0" borderId="9" xfId="0" applyNumberFormat="1" applyFont="1" applyBorder="1" applyAlignment="1">
      <alignment horizontal="center" vertical="center" wrapText="1"/>
    </xf>
    <xf numFmtId="176" fontId="4" fillId="0" borderId="29" xfId="0" applyNumberFormat="1" applyFont="1" applyBorder="1" applyAlignment="1">
      <alignment horizontal="center" vertical="center" wrapText="1"/>
    </xf>
    <xf numFmtId="176" fontId="4" fillId="0" borderId="17" xfId="0" applyNumberFormat="1" applyFont="1" applyBorder="1" applyAlignment="1">
      <alignment horizontal="center" vertical="center" wrapText="1"/>
    </xf>
    <xf numFmtId="176" fontId="4" fillId="7" borderId="18" xfId="0" applyNumberFormat="1" applyFont="1" applyFill="1" applyBorder="1" applyAlignment="1">
      <alignment horizontal="center" vertical="center" wrapText="1"/>
    </xf>
    <xf numFmtId="176" fontId="4" fillId="7" borderId="10" xfId="0" applyNumberFormat="1" applyFont="1" applyFill="1" applyBorder="1" applyAlignment="1">
      <alignment horizontal="center" vertical="center" wrapText="1"/>
    </xf>
    <xf numFmtId="176" fontId="4" fillId="8" borderId="18" xfId="0" applyNumberFormat="1" applyFont="1" applyFill="1" applyBorder="1" applyAlignment="1">
      <alignment horizontal="center" vertical="center" wrapText="1"/>
    </xf>
    <xf numFmtId="176" fontId="4" fillId="8" borderId="10" xfId="0" applyNumberFormat="1" applyFont="1" applyFill="1" applyBorder="1" applyAlignment="1">
      <alignment horizontal="center" vertical="center" wrapText="1"/>
    </xf>
    <xf numFmtId="176" fontId="4" fillId="0" borderId="23" xfId="0" applyNumberFormat="1" applyFont="1" applyBorder="1" applyAlignment="1">
      <alignment horizontal="center" vertical="center" wrapText="1"/>
    </xf>
    <xf numFmtId="176" fontId="4" fillId="0" borderId="31" xfId="0" applyNumberFormat="1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18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176" fontId="4" fillId="4" borderId="31" xfId="0" applyNumberFormat="1" applyFont="1" applyFill="1" applyBorder="1" applyAlignment="1">
      <alignment horizontal="center" vertical="center" wrapText="1"/>
    </xf>
    <xf numFmtId="176" fontId="4" fillId="4" borderId="11" xfId="0" applyNumberFormat="1" applyFont="1" applyFill="1" applyBorder="1" applyAlignment="1">
      <alignment horizontal="center" vertical="center" wrapText="1"/>
    </xf>
    <xf numFmtId="176" fontId="4" fillId="0" borderId="32" xfId="0" applyNumberFormat="1" applyFont="1" applyBorder="1" applyAlignment="1">
      <alignment horizontal="center" vertical="center" wrapText="1"/>
    </xf>
    <xf numFmtId="176" fontId="4" fillId="0" borderId="24" xfId="0" applyNumberFormat="1" applyFont="1" applyBorder="1" applyAlignment="1">
      <alignment horizontal="center" vertical="center" wrapText="1"/>
    </xf>
    <xf numFmtId="176" fontId="4" fillId="5" borderId="39" xfId="0" applyNumberFormat="1" applyFont="1" applyFill="1" applyBorder="1" applyAlignment="1">
      <alignment horizontal="center" vertical="center" wrapText="1"/>
    </xf>
    <xf numFmtId="176" fontId="4" fillId="5" borderId="55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76" fontId="4" fillId="3" borderId="4" xfId="0" applyNumberFormat="1" applyFont="1" applyFill="1" applyBorder="1" applyAlignment="1">
      <alignment horizontal="center" vertical="center" wrapText="1"/>
    </xf>
    <xf numFmtId="176" fontId="4" fillId="3" borderId="20" xfId="0" applyNumberFormat="1" applyFont="1" applyFill="1" applyBorder="1" applyAlignment="1">
      <alignment horizontal="center" vertical="center" wrapText="1"/>
    </xf>
    <xf numFmtId="176" fontId="4" fillId="3" borderId="21" xfId="0" applyNumberFormat="1" applyFont="1" applyFill="1" applyBorder="1" applyAlignment="1">
      <alignment horizontal="center" vertical="center" wrapText="1"/>
    </xf>
    <xf numFmtId="176" fontId="4" fillId="3" borderId="30" xfId="0" applyNumberFormat="1" applyFont="1" applyFill="1" applyBorder="1" applyAlignment="1">
      <alignment horizontal="center" vertical="center" wrapText="1"/>
    </xf>
    <xf numFmtId="176" fontId="4" fillId="4" borderId="32" xfId="0" applyNumberFormat="1" applyFont="1" applyFill="1" applyBorder="1" applyAlignment="1">
      <alignment horizontal="center" vertical="center" wrapText="1"/>
    </xf>
    <xf numFmtId="176" fontId="4" fillId="4" borderId="1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176" fontId="4" fillId="2" borderId="6" xfId="0" applyNumberFormat="1" applyFont="1" applyFill="1" applyBorder="1" applyAlignment="1">
      <alignment horizontal="center" vertical="center" wrapText="1"/>
    </xf>
    <xf numFmtId="176" fontId="4" fillId="2" borderId="13" xfId="0" applyNumberFormat="1" applyFont="1" applyFill="1" applyBorder="1" applyAlignment="1">
      <alignment horizontal="center" vertical="center" wrapText="1"/>
    </xf>
    <xf numFmtId="176" fontId="4" fillId="2" borderId="14" xfId="0" applyNumberFormat="1" applyFont="1" applyFill="1" applyBorder="1" applyAlignment="1">
      <alignment horizontal="center" vertical="center" wrapText="1"/>
    </xf>
    <xf numFmtId="176" fontId="6" fillId="2" borderId="4" xfId="0" applyNumberFormat="1" applyFont="1" applyFill="1" applyBorder="1" applyAlignment="1">
      <alignment horizontal="center" vertical="center" wrapText="1"/>
    </xf>
    <xf numFmtId="176" fontId="6" fillId="2" borderId="12" xfId="0" applyNumberFormat="1" applyFont="1" applyFill="1" applyBorder="1" applyAlignment="1">
      <alignment horizontal="center" vertical="center" wrapText="1"/>
    </xf>
    <xf numFmtId="176" fontId="6" fillId="2" borderId="5" xfId="0" applyNumberFormat="1" applyFont="1" applyFill="1" applyBorder="1" applyAlignment="1">
      <alignment horizontal="center" vertical="center" wrapText="1"/>
    </xf>
    <xf numFmtId="176" fontId="6" fillId="2" borderId="13" xfId="0" applyNumberFormat="1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176" fontId="4" fillId="2" borderId="8" xfId="0" applyNumberFormat="1" applyFont="1" applyFill="1" applyBorder="1" applyAlignment="1">
      <alignment horizontal="center" vertical="center" wrapText="1"/>
    </xf>
    <xf numFmtId="176" fontId="4" fillId="2" borderId="45" xfId="0" applyNumberFormat="1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176" fontId="4" fillId="2" borderId="11" xfId="0" applyNumberFormat="1" applyFont="1" applyFill="1" applyBorder="1" applyAlignment="1">
      <alignment horizontal="center" vertical="center" wrapText="1"/>
    </xf>
    <xf numFmtId="176" fontId="4" fillId="2" borderId="9" xfId="0" applyNumberFormat="1" applyFont="1" applyFill="1" applyBorder="1" applyAlignment="1">
      <alignment horizontal="center" vertical="center" wrapText="1"/>
    </xf>
    <xf numFmtId="176" fontId="4" fillId="2" borderId="17" xfId="0" applyNumberFormat="1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</cellXfs>
  <cellStyles count="2">
    <cellStyle name="표준" xfId="0" builtinId="0"/>
    <cellStyle name="표준 2" xfId="1" xr:uid="{DD934CA8-40E0-4A48-91FC-20CEDEC41B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0043-36F6-4FE4-B415-B9CEA131069C}">
  <sheetPr>
    <tabColor rgb="FFFFFF00"/>
    <pageSetUpPr fitToPage="1"/>
  </sheetPr>
  <dimension ref="A1:N76"/>
  <sheetViews>
    <sheetView tabSelected="1" view="pageBreakPreview" zoomScaleNormal="85" zoomScaleSheetLayoutView="100" workbookViewId="0">
      <pane xSplit="1" ySplit="4" topLeftCell="B5" activePane="bottomRight" state="frozen"/>
      <selection activeCell="U23" sqref="U23"/>
      <selection pane="topRight" activeCell="U23" sqref="U23"/>
      <selection pane="bottomLeft" activeCell="U23" sqref="U23"/>
      <selection pane="bottomRight" sqref="A1:N1"/>
    </sheetView>
  </sheetViews>
  <sheetFormatPr defaultColWidth="9" defaultRowHeight="17.399999999999999"/>
  <cols>
    <col min="1" max="1" width="4" style="103" customWidth="1"/>
    <col min="2" max="2" width="10.69921875" style="104" customWidth="1"/>
    <col min="3" max="3" width="9.3984375" style="103" customWidth="1"/>
    <col min="4" max="4" width="45.09765625" style="104" customWidth="1"/>
    <col min="5" max="6" width="4.3984375" style="101" customWidth="1"/>
    <col min="7" max="8" width="5.19921875" style="103" customWidth="1"/>
    <col min="9" max="10" width="5.19921875" style="104" customWidth="1"/>
    <col min="11" max="12" width="5.19921875" style="103" customWidth="1"/>
    <col min="13" max="13" width="5.19921875" style="104" customWidth="1"/>
    <col min="14" max="14" width="4.69921875" style="104" customWidth="1"/>
    <col min="15" max="16384" width="9" style="82"/>
  </cols>
  <sheetData>
    <row r="1" spans="1:14" ht="31.95" customHeight="1">
      <c r="A1" s="233" t="s">
        <v>105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</row>
    <row r="2" spans="1:14" ht="22.2" customHeight="1" thickBot="1">
      <c r="A2" s="234" t="s">
        <v>120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</row>
    <row r="3" spans="1:14" ht="19.95" customHeight="1">
      <c r="A3" s="235" t="s">
        <v>7</v>
      </c>
      <c r="B3" s="237" t="s">
        <v>8</v>
      </c>
      <c r="C3" s="239" t="s">
        <v>9</v>
      </c>
      <c r="D3" s="240"/>
      <c r="E3" s="243" t="s">
        <v>26</v>
      </c>
      <c r="F3" s="245" t="s">
        <v>27</v>
      </c>
      <c r="G3" s="247" t="s">
        <v>10</v>
      </c>
      <c r="H3" s="248"/>
      <c r="I3" s="249" t="s">
        <v>11</v>
      </c>
      <c r="J3" s="248"/>
      <c r="K3" s="247" t="s">
        <v>12</v>
      </c>
      <c r="L3" s="248"/>
      <c r="M3" s="250" t="s">
        <v>30</v>
      </c>
      <c r="N3" s="252" t="s">
        <v>31</v>
      </c>
    </row>
    <row r="4" spans="1:14" ht="19.95" customHeight="1" thickBot="1">
      <c r="A4" s="236"/>
      <c r="B4" s="238"/>
      <c r="C4" s="241"/>
      <c r="D4" s="242"/>
      <c r="E4" s="244"/>
      <c r="F4" s="246"/>
      <c r="G4" s="33" t="s">
        <v>13</v>
      </c>
      <c r="H4" s="34" t="s">
        <v>14</v>
      </c>
      <c r="I4" s="35" t="s">
        <v>13</v>
      </c>
      <c r="J4" s="34" t="s">
        <v>14</v>
      </c>
      <c r="K4" s="33" t="s">
        <v>13</v>
      </c>
      <c r="L4" s="34" t="s">
        <v>14</v>
      </c>
      <c r="M4" s="251"/>
      <c r="N4" s="253"/>
    </row>
    <row r="5" spans="1:14" ht="15" customHeight="1">
      <c r="A5" s="195" t="s">
        <v>15</v>
      </c>
      <c r="B5" s="227" t="s">
        <v>0</v>
      </c>
      <c r="C5" s="11" t="s">
        <v>16</v>
      </c>
      <c r="D5" s="132" t="s">
        <v>75</v>
      </c>
      <c r="E5" s="42">
        <v>4</v>
      </c>
      <c r="F5" s="43">
        <v>4</v>
      </c>
      <c r="G5" s="12">
        <v>4</v>
      </c>
      <c r="H5" s="7"/>
      <c r="I5" s="29"/>
      <c r="J5" s="7"/>
      <c r="K5" s="12"/>
      <c r="L5" s="7"/>
      <c r="M5" s="197">
        <v>20</v>
      </c>
      <c r="N5" s="200">
        <v>8</v>
      </c>
    </row>
    <row r="6" spans="1:14" ht="15" customHeight="1">
      <c r="A6" s="196"/>
      <c r="B6" s="228"/>
      <c r="C6" s="81" t="s">
        <v>76</v>
      </c>
      <c r="D6" s="133" t="s">
        <v>77</v>
      </c>
      <c r="E6" s="40">
        <v>4</v>
      </c>
      <c r="F6" s="41">
        <v>4</v>
      </c>
      <c r="G6" s="78"/>
      <c r="H6" s="80">
        <v>4</v>
      </c>
      <c r="I6" s="22"/>
      <c r="J6" s="80"/>
      <c r="K6" s="78"/>
      <c r="L6" s="80"/>
      <c r="M6" s="198"/>
      <c r="N6" s="201"/>
    </row>
    <row r="7" spans="1:14" ht="15" customHeight="1">
      <c r="A7" s="196"/>
      <c r="B7" s="228"/>
      <c r="C7" s="83" t="s">
        <v>1</v>
      </c>
      <c r="D7" s="134" t="s">
        <v>49</v>
      </c>
      <c r="E7" s="40">
        <v>4</v>
      </c>
      <c r="F7" s="41">
        <v>4</v>
      </c>
      <c r="G7" s="2"/>
      <c r="H7" s="3"/>
      <c r="I7" s="23">
        <v>4</v>
      </c>
      <c r="J7" s="3"/>
      <c r="K7" s="2"/>
      <c r="L7" s="3"/>
      <c r="M7" s="198"/>
      <c r="N7" s="201"/>
    </row>
    <row r="8" spans="1:14" ht="15" customHeight="1">
      <c r="A8" s="196"/>
      <c r="B8" s="228"/>
      <c r="C8" s="83" t="s">
        <v>1</v>
      </c>
      <c r="D8" s="134" t="s">
        <v>74</v>
      </c>
      <c r="E8" s="40">
        <v>4</v>
      </c>
      <c r="F8" s="41">
        <v>4</v>
      </c>
      <c r="G8" s="2"/>
      <c r="H8" s="3"/>
      <c r="I8" s="23"/>
      <c r="J8" s="3">
        <v>4</v>
      </c>
      <c r="K8" s="2"/>
      <c r="L8" s="3"/>
      <c r="M8" s="198"/>
      <c r="N8" s="201"/>
    </row>
    <row r="9" spans="1:14" ht="15" customHeight="1">
      <c r="A9" s="196"/>
      <c r="B9" s="229"/>
      <c r="C9" s="83" t="s">
        <v>1</v>
      </c>
      <c r="D9" s="134" t="s">
        <v>38</v>
      </c>
      <c r="E9" s="40">
        <v>4</v>
      </c>
      <c r="F9" s="41">
        <v>4</v>
      </c>
      <c r="G9" s="2"/>
      <c r="H9" s="3"/>
      <c r="I9" s="23"/>
      <c r="J9" s="3"/>
      <c r="K9" s="2">
        <v>4</v>
      </c>
      <c r="L9" s="3"/>
      <c r="M9" s="207"/>
      <c r="N9" s="218"/>
    </row>
    <row r="10" spans="1:14" ht="15" customHeight="1">
      <c r="A10" s="196"/>
      <c r="B10" s="172" t="s">
        <v>2</v>
      </c>
      <c r="C10" s="83" t="s">
        <v>16</v>
      </c>
      <c r="D10" s="134" t="s">
        <v>78</v>
      </c>
      <c r="E10" s="40">
        <v>4</v>
      </c>
      <c r="F10" s="41">
        <v>4</v>
      </c>
      <c r="G10" s="2">
        <v>4</v>
      </c>
      <c r="H10" s="3"/>
      <c r="I10" s="23"/>
      <c r="J10" s="3"/>
      <c r="K10" s="2"/>
      <c r="L10" s="3"/>
      <c r="M10" s="208">
        <v>20</v>
      </c>
      <c r="N10" s="217">
        <v>8</v>
      </c>
    </row>
    <row r="11" spans="1:14" ht="15" customHeight="1">
      <c r="A11" s="196"/>
      <c r="B11" s="173"/>
      <c r="C11" s="83" t="s">
        <v>16</v>
      </c>
      <c r="D11" s="134" t="s">
        <v>79</v>
      </c>
      <c r="E11" s="40">
        <v>4</v>
      </c>
      <c r="F11" s="41">
        <v>4</v>
      </c>
      <c r="G11" s="2"/>
      <c r="H11" s="3">
        <v>4</v>
      </c>
      <c r="I11" s="23"/>
      <c r="J11" s="3"/>
      <c r="K11" s="2"/>
      <c r="L11" s="3"/>
      <c r="M11" s="198"/>
      <c r="N11" s="201"/>
    </row>
    <row r="12" spans="1:14" ht="15" customHeight="1">
      <c r="A12" s="196"/>
      <c r="B12" s="173"/>
      <c r="C12" s="83" t="s">
        <v>1</v>
      </c>
      <c r="D12" s="134" t="s">
        <v>99</v>
      </c>
      <c r="E12" s="40">
        <v>4</v>
      </c>
      <c r="F12" s="41">
        <v>4</v>
      </c>
      <c r="G12" s="130"/>
      <c r="H12" s="131"/>
      <c r="I12" s="23">
        <v>4</v>
      </c>
      <c r="J12" s="131"/>
      <c r="K12" s="130"/>
      <c r="L12" s="131"/>
      <c r="M12" s="198"/>
      <c r="N12" s="201"/>
    </row>
    <row r="13" spans="1:14" ht="15" customHeight="1">
      <c r="A13" s="196"/>
      <c r="B13" s="173"/>
      <c r="C13" s="83" t="s">
        <v>1</v>
      </c>
      <c r="D13" s="134" t="s">
        <v>100</v>
      </c>
      <c r="E13" s="40">
        <v>4</v>
      </c>
      <c r="F13" s="41">
        <v>4</v>
      </c>
      <c r="G13" s="130"/>
      <c r="H13" s="131"/>
      <c r="I13" s="23"/>
      <c r="J13" s="131">
        <v>4</v>
      </c>
      <c r="K13" s="130"/>
      <c r="L13" s="131"/>
      <c r="M13" s="198"/>
      <c r="N13" s="201"/>
    </row>
    <row r="14" spans="1:14" ht="15" customHeight="1">
      <c r="A14" s="196"/>
      <c r="B14" s="174"/>
      <c r="C14" s="83" t="s">
        <v>1</v>
      </c>
      <c r="D14" s="134" t="s">
        <v>23</v>
      </c>
      <c r="E14" s="40">
        <v>4</v>
      </c>
      <c r="F14" s="41">
        <v>4</v>
      </c>
      <c r="G14" s="130"/>
      <c r="H14" s="131"/>
      <c r="I14" s="23"/>
      <c r="J14" s="131"/>
      <c r="K14" s="130">
        <v>4</v>
      </c>
      <c r="L14" s="131"/>
      <c r="M14" s="207"/>
      <c r="N14" s="218"/>
    </row>
    <row r="15" spans="1:14" ht="15" customHeight="1">
      <c r="A15" s="196"/>
      <c r="B15" s="230" t="s">
        <v>3</v>
      </c>
      <c r="C15" s="83" t="s">
        <v>16</v>
      </c>
      <c r="D15" s="134" t="s">
        <v>80</v>
      </c>
      <c r="E15" s="40">
        <v>4</v>
      </c>
      <c r="F15" s="41">
        <v>4</v>
      </c>
      <c r="G15" s="2">
        <v>4</v>
      </c>
      <c r="H15" s="3"/>
      <c r="I15" s="23"/>
      <c r="J15" s="3"/>
      <c r="K15" s="2"/>
      <c r="L15" s="3"/>
      <c r="M15" s="208">
        <v>20</v>
      </c>
      <c r="N15" s="217">
        <v>8</v>
      </c>
    </row>
    <row r="16" spans="1:14" ht="15" customHeight="1">
      <c r="A16" s="196"/>
      <c r="B16" s="228"/>
      <c r="C16" s="83" t="s">
        <v>16</v>
      </c>
      <c r="D16" s="134" t="s">
        <v>81</v>
      </c>
      <c r="E16" s="40">
        <v>4</v>
      </c>
      <c r="F16" s="41">
        <v>4</v>
      </c>
      <c r="G16" s="2"/>
      <c r="H16" s="3">
        <v>4</v>
      </c>
      <c r="I16" s="23"/>
      <c r="J16" s="3"/>
      <c r="K16" s="2"/>
      <c r="L16" s="3"/>
      <c r="M16" s="198"/>
      <c r="N16" s="201"/>
    </row>
    <row r="17" spans="1:14" ht="15" customHeight="1">
      <c r="A17" s="196"/>
      <c r="B17" s="228"/>
      <c r="C17" s="83" t="s">
        <v>1</v>
      </c>
      <c r="D17" s="134" t="s">
        <v>50</v>
      </c>
      <c r="E17" s="40">
        <v>4</v>
      </c>
      <c r="F17" s="41">
        <v>4</v>
      </c>
      <c r="G17" s="2"/>
      <c r="H17" s="3"/>
      <c r="I17" s="23">
        <v>4</v>
      </c>
      <c r="J17" s="3"/>
      <c r="K17" s="2"/>
      <c r="L17" s="3"/>
      <c r="M17" s="198"/>
      <c r="N17" s="201"/>
    </row>
    <row r="18" spans="1:14" ht="15" customHeight="1">
      <c r="A18" s="196"/>
      <c r="B18" s="228"/>
      <c r="C18" s="83" t="s">
        <v>1</v>
      </c>
      <c r="D18" s="134" t="s">
        <v>51</v>
      </c>
      <c r="E18" s="40">
        <v>4</v>
      </c>
      <c r="F18" s="41">
        <v>4</v>
      </c>
      <c r="G18" s="2"/>
      <c r="H18" s="3"/>
      <c r="I18" s="23"/>
      <c r="J18" s="3">
        <v>4</v>
      </c>
      <c r="K18" s="2"/>
      <c r="L18" s="3"/>
      <c r="M18" s="198"/>
      <c r="N18" s="201"/>
    </row>
    <row r="19" spans="1:14" ht="15" customHeight="1">
      <c r="A19" s="196"/>
      <c r="B19" s="229"/>
      <c r="C19" s="83" t="s">
        <v>1</v>
      </c>
      <c r="D19" s="135" t="s">
        <v>24</v>
      </c>
      <c r="E19" s="40">
        <v>4</v>
      </c>
      <c r="F19" s="41">
        <v>4</v>
      </c>
      <c r="G19" s="2"/>
      <c r="H19" s="3"/>
      <c r="I19" s="23"/>
      <c r="J19" s="3"/>
      <c r="K19" s="2">
        <v>4</v>
      </c>
      <c r="L19" s="3"/>
      <c r="M19" s="207"/>
      <c r="N19" s="218"/>
    </row>
    <row r="20" spans="1:14" ht="15" customHeight="1">
      <c r="A20" s="196"/>
      <c r="B20" s="172" t="s">
        <v>65</v>
      </c>
      <c r="C20" s="1" t="s">
        <v>16</v>
      </c>
      <c r="D20" s="136" t="s">
        <v>82</v>
      </c>
      <c r="E20" s="40">
        <v>3</v>
      </c>
      <c r="F20" s="41">
        <v>3</v>
      </c>
      <c r="G20" s="4">
        <v>3</v>
      </c>
      <c r="H20" s="5"/>
      <c r="I20" s="18"/>
      <c r="J20" s="5"/>
      <c r="K20" s="6"/>
      <c r="L20" s="5"/>
      <c r="M20" s="208">
        <v>6</v>
      </c>
      <c r="N20" s="217">
        <v>6</v>
      </c>
    </row>
    <row r="21" spans="1:14" ht="15" customHeight="1">
      <c r="A21" s="196"/>
      <c r="B21" s="173"/>
      <c r="C21" s="1" t="s">
        <v>16</v>
      </c>
      <c r="D21" s="136" t="s">
        <v>83</v>
      </c>
      <c r="E21" s="40">
        <v>3</v>
      </c>
      <c r="F21" s="41">
        <v>3</v>
      </c>
      <c r="G21" s="4"/>
      <c r="H21" s="5">
        <v>3</v>
      </c>
      <c r="I21" s="18"/>
      <c r="J21" s="5"/>
      <c r="K21" s="6"/>
      <c r="L21" s="5"/>
      <c r="M21" s="207"/>
      <c r="N21" s="218"/>
    </row>
    <row r="22" spans="1:14" ht="15" customHeight="1">
      <c r="A22" s="196"/>
      <c r="B22" s="173"/>
      <c r="C22" s="1" t="s">
        <v>16</v>
      </c>
      <c r="D22" s="136" t="s">
        <v>84</v>
      </c>
      <c r="E22" s="40">
        <v>4</v>
      </c>
      <c r="F22" s="41">
        <v>4</v>
      </c>
      <c r="G22" s="4">
        <v>4</v>
      </c>
      <c r="H22" s="5"/>
      <c r="I22" s="18"/>
      <c r="J22" s="5"/>
      <c r="K22" s="6"/>
      <c r="L22" s="5"/>
      <c r="M22" s="208">
        <v>12</v>
      </c>
      <c r="N22" s="254">
        <v>8</v>
      </c>
    </row>
    <row r="23" spans="1:14" ht="15" customHeight="1">
      <c r="A23" s="196"/>
      <c r="B23" s="173"/>
      <c r="C23" s="1" t="s">
        <v>76</v>
      </c>
      <c r="D23" s="136" t="s">
        <v>116</v>
      </c>
      <c r="E23" s="40">
        <v>4</v>
      </c>
      <c r="F23" s="41">
        <v>4</v>
      </c>
      <c r="G23" s="4"/>
      <c r="H23" s="5">
        <v>4</v>
      </c>
      <c r="I23" s="18"/>
      <c r="J23" s="5"/>
      <c r="K23" s="6"/>
      <c r="L23" s="5"/>
      <c r="M23" s="198"/>
      <c r="N23" s="255"/>
    </row>
    <row r="24" spans="1:14" ht="15" customHeight="1">
      <c r="A24" s="196"/>
      <c r="B24" s="173"/>
      <c r="C24" s="1" t="s">
        <v>34</v>
      </c>
      <c r="D24" s="136" t="s">
        <v>119</v>
      </c>
      <c r="E24" s="40">
        <v>4</v>
      </c>
      <c r="F24" s="41">
        <v>4</v>
      </c>
      <c r="G24" s="4"/>
      <c r="H24" s="5"/>
      <c r="I24" s="18"/>
      <c r="J24" s="5"/>
      <c r="K24" s="6"/>
      <c r="L24" s="5">
        <v>4</v>
      </c>
      <c r="M24" s="198"/>
      <c r="N24" s="255"/>
    </row>
    <row r="25" spans="1:14" ht="15" customHeight="1">
      <c r="A25" s="196"/>
      <c r="B25" s="172" t="s">
        <v>20</v>
      </c>
      <c r="C25" s="1" t="s">
        <v>16</v>
      </c>
      <c r="D25" s="137" t="s">
        <v>85</v>
      </c>
      <c r="E25" s="40">
        <v>4</v>
      </c>
      <c r="F25" s="41">
        <v>4</v>
      </c>
      <c r="G25" s="4">
        <v>4</v>
      </c>
      <c r="H25" s="5"/>
      <c r="I25" s="18"/>
      <c r="J25" s="5"/>
      <c r="K25" s="6"/>
      <c r="L25" s="5"/>
      <c r="M25" s="208">
        <v>14</v>
      </c>
      <c r="N25" s="217">
        <v>10</v>
      </c>
    </row>
    <row r="26" spans="1:14" ht="15" customHeight="1">
      <c r="A26" s="196"/>
      <c r="B26" s="173"/>
      <c r="C26" s="1" t="s">
        <v>16</v>
      </c>
      <c r="D26" s="137" t="s">
        <v>86</v>
      </c>
      <c r="E26" s="40">
        <v>4</v>
      </c>
      <c r="F26" s="41">
        <v>4</v>
      </c>
      <c r="G26" s="4"/>
      <c r="H26" s="5">
        <v>4</v>
      </c>
      <c r="I26" s="18"/>
      <c r="J26" s="5"/>
      <c r="K26" s="6"/>
      <c r="L26" s="5"/>
      <c r="M26" s="198"/>
      <c r="N26" s="201"/>
    </row>
    <row r="27" spans="1:14" ht="15" customHeight="1">
      <c r="A27" s="196"/>
      <c r="B27" s="173"/>
      <c r="C27" s="1" t="s">
        <v>16</v>
      </c>
      <c r="D27" s="137" t="s">
        <v>87</v>
      </c>
      <c r="E27" s="40">
        <v>1</v>
      </c>
      <c r="F27" s="41">
        <v>1</v>
      </c>
      <c r="G27" s="4">
        <v>1</v>
      </c>
      <c r="H27" s="5"/>
      <c r="I27" s="18"/>
      <c r="J27" s="5"/>
      <c r="K27" s="6"/>
      <c r="L27" s="5"/>
      <c r="M27" s="198"/>
      <c r="N27" s="201"/>
    </row>
    <row r="28" spans="1:14" ht="15" customHeight="1">
      <c r="A28" s="196"/>
      <c r="B28" s="173"/>
      <c r="C28" s="1" t="s">
        <v>76</v>
      </c>
      <c r="D28" s="137" t="s">
        <v>117</v>
      </c>
      <c r="E28" s="40">
        <v>1</v>
      </c>
      <c r="F28" s="41">
        <v>1</v>
      </c>
      <c r="G28" s="4"/>
      <c r="H28" s="5">
        <v>1</v>
      </c>
      <c r="I28" s="18"/>
      <c r="J28" s="5"/>
      <c r="K28" s="6"/>
      <c r="L28" s="5"/>
      <c r="M28" s="198"/>
      <c r="N28" s="201"/>
    </row>
    <row r="29" spans="1:14" ht="15" customHeight="1">
      <c r="A29" s="196"/>
      <c r="B29" s="173"/>
      <c r="C29" s="1" t="s">
        <v>34</v>
      </c>
      <c r="D29" s="137" t="s">
        <v>118</v>
      </c>
      <c r="E29" s="40">
        <v>4</v>
      </c>
      <c r="F29" s="41">
        <v>4</v>
      </c>
      <c r="G29" s="4"/>
      <c r="H29" s="5"/>
      <c r="I29" s="18"/>
      <c r="J29" s="5"/>
      <c r="K29" s="6"/>
      <c r="L29" s="5">
        <v>4</v>
      </c>
      <c r="M29" s="198"/>
      <c r="N29" s="201"/>
    </row>
    <row r="30" spans="1:14" ht="15" customHeight="1">
      <c r="A30" s="196"/>
      <c r="B30" s="172" t="s">
        <v>4</v>
      </c>
      <c r="C30" s="1" t="s">
        <v>1</v>
      </c>
      <c r="D30" s="135" t="s">
        <v>88</v>
      </c>
      <c r="E30" s="40">
        <v>3</v>
      </c>
      <c r="F30" s="41">
        <v>2</v>
      </c>
      <c r="G30" s="6">
        <v>2</v>
      </c>
      <c r="H30" s="5"/>
      <c r="I30" s="18"/>
      <c r="J30" s="5"/>
      <c r="K30" s="6"/>
      <c r="L30" s="5"/>
      <c r="M30" s="208">
        <v>10</v>
      </c>
      <c r="N30" s="217">
        <v>10</v>
      </c>
    </row>
    <row r="31" spans="1:14" ht="15" customHeight="1">
      <c r="A31" s="196"/>
      <c r="B31" s="173"/>
      <c r="C31" s="1" t="s">
        <v>1</v>
      </c>
      <c r="D31" s="135" t="s">
        <v>89</v>
      </c>
      <c r="E31" s="40">
        <v>3</v>
      </c>
      <c r="F31" s="41">
        <v>2</v>
      </c>
      <c r="G31" s="6"/>
      <c r="H31" s="5">
        <v>2</v>
      </c>
      <c r="I31" s="18"/>
      <c r="J31" s="5"/>
      <c r="K31" s="6"/>
      <c r="L31" s="5"/>
      <c r="M31" s="198"/>
      <c r="N31" s="201"/>
    </row>
    <row r="32" spans="1:14" ht="15" customHeight="1">
      <c r="A32" s="196"/>
      <c r="B32" s="173"/>
      <c r="C32" s="1" t="s">
        <v>37</v>
      </c>
      <c r="D32" s="137" t="s">
        <v>90</v>
      </c>
      <c r="E32" s="40">
        <v>3</v>
      </c>
      <c r="F32" s="41">
        <v>2</v>
      </c>
      <c r="G32" s="6"/>
      <c r="H32" s="5"/>
      <c r="I32" s="18">
        <v>2</v>
      </c>
      <c r="J32" s="5"/>
      <c r="K32" s="6"/>
      <c r="L32" s="5"/>
      <c r="M32" s="198"/>
      <c r="N32" s="201"/>
    </row>
    <row r="33" spans="1:14" ht="15" customHeight="1">
      <c r="A33" s="196"/>
      <c r="B33" s="173"/>
      <c r="C33" s="1" t="s">
        <v>37</v>
      </c>
      <c r="D33" s="137" t="s">
        <v>91</v>
      </c>
      <c r="E33" s="40">
        <v>3</v>
      </c>
      <c r="F33" s="41">
        <v>2</v>
      </c>
      <c r="G33" s="6"/>
      <c r="H33" s="5"/>
      <c r="I33" s="18"/>
      <c r="J33" s="5">
        <v>2</v>
      </c>
      <c r="K33" s="6"/>
      <c r="L33" s="5"/>
      <c r="M33" s="198"/>
      <c r="N33" s="201"/>
    </row>
    <row r="34" spans="1:14" ht="15" customHeight="1">
      <c r="A34" s="196"/>
      <c r="B34" s="173"/>
      <c r="C34" s="83" t="s">
        <v>5</v>
      </c>
      <c r="D34" s="135" t="s">
        <v>36</v>
      </c>
      <c r="E34" s="105">
        <v>2</v>
      </c>
      <c r="F34" s="106">
        <v>1</v>
      </c>
      <c r="G34" s="2"/>
      <c r="H34" s="3"/>
      <c r="I34" s="23"/>
      <c r="J34" s="3"/>
      <c r="K34" s="2">
        <v>1</v>
      </c>
      <c r="L34" s="3"/>
      <c r="M34" s="198"/>
      <c r="N34" s="201"/>
    </row>
    <row r="35" spans="1:14" ht="15" customHeight="1">
      <c r="A35" s="196"/>
      <c r="B35" s="174"/>
      <c r="C35" s="83" t="s">
        <v>5</v>
      </c>
      <c r="D35" s="135" t="s">
        <v>93</v>
      </c>
      <c r="E35" s="105">
        <v>2</v>
      </c>
      <c r="F35" s="106">
        <v>1</v>
      </c>
      <c r="G35" s="2"/>
      <c r="H35" s="3"/>
      <c r="I35" s="107"/>
      <c r="J35" s="79"/>
      <c r="K35" s="2"/>
      <c r="L35" s="123">
        <v>1</v>
      </c>
      <c r="M35" s="207"/>
      <c r="N35" s="218"/>
    </row>
    <row r="36" spans="1:14" ht="15" customHeight="1">
      <c r="A36" s="196"/>
      <c r="B36" s="172" t="s">
        <v>21</v>
      </c>
      <c r="C36" s="83" t="s">
        <v>1</v>
      </c>
      <c r="D36" s="135" t="s">
        <v>53</v>
      </c>
      <c r="E36" s="40">
        <v>3</v>
      </c>
      <c r="F36" s="41">
        <v>2</v>
      </c>
      <c r="G36" s="219" t="s">
        <v>54</v>
      </c>
      <c r="H36" s="220"/>
      <c r="I36" s="24"/>
      <c r="J36" s="20"/>
      <c r="K36" s="18"/>
      <c r="L36" s="5"/>
      <c r="M36" s="208">
        <v>10</v>
      </c>
      <c r="N36" s="217">
        <v>10</v>
      </c>
    </row>
    <row r="37" spans="1:14" ht="15" customHeight="1">
      <c r="A37" s="196"/>
      <c r="B37" s="173"/>
      <c r="C37" s="83" t="s">
        <v>1</v>
      </c>
      <c r="D37" s="135" t="s">
        <v>52</v>
      </c>
      <c r="E37" s="40">
        <v>3</v>
      </c>
      <c r="F37" s="41">
        <v>2</v>
      </c>
      <c r="G37" s="6">
        <v>2</v>
      </c>
      <c r="H37" s="5">
        <v>2</v>
      </c>
      <c r="I37" s="24"/>
      <c r="J37" s="20"/>
      <c r="K37" s="18"/>
      <c r="L37" s="5"/>
      <c r="M37" s="198"/>
      <c r="N37" s="201"/>
    </row>
    <row r="38" spans="1:14" ht="15" customHeight="1">
      <c r="A38" s="196"/>
      <c r="B38" s="173"/>
      <c r="C38" s="83" t="s">
        <v>5</v>
      </c>
      <c r="D38" s="135" t="s">
        <v>55</v>
      </c>
      <c r="E38" s="40">
        <v>3</v>
      </c>
      <c r="F38" s="41">
        <v>3</v>
      </c>
      <c r="G38" s="19"/>
      <c r="H38" s="20"/>
      <c r="I38" s="219" t="s">
        <v>54</v>
      </c>
      <c r="J38" s="220"/>
      <c r="K38" s="6"/>
      <c r="L38" s="5"/>
      <c r="M38" s="198"/>
      <c r="N38" s="201"/>
    </row>
    <row r="39" spans="1:14" ht="15" customHeight="1">
      <c r="A39" s="196"/>
      <c r="B39" s="174"/>
      <c r="C39" s="83" t="s">
        <v>5</v>
      </c>
      <c r="D39" s="135" t="s">
        <v>56</v>
      </c>
      <c r="E39" s="40">
        <v>3</v>
      </c>
      <c r="F39" s="41">
        <v>3</v>
      </c>
      <c r="G39" s="19"/>
      <c r="H39" s="20"/>
      <c r="I39" s="6">
        <v>3</v>
      </c>
      <c r="J39" s="5">
        <v>3</v>
      </c>
      <c r="K39" s="6"/>
      <c r="L39" s="5"/>
      <c r="M39" s="207"/>
      <c r="N39" s="218"/>
    </row>
    <row r="40" spans="1:14" ht="15" customHeight="1">
      <c r="A40" s="196"/>
      <c r="B40" s="36" t="s">
        <v>64</v>
      </c>
      <c r="C40" s="76" t="s">
        <v>1</v>
      </c>
      <c r="D40" s="137" t="s">
        <v>33</v>
      </c>
      <c r="E40" s="40">
        <v>4</v>
      </c>
      <c r="F40" s="41">
        <v>3</v>
      </c>
      <c r="G40" s="6"/>
      <c r="H40" s="5">
        <v>3</v>
      </c>
      <c r="I40" s="18"/>
      <c r="J40" s="5"/>
      <c r="K40" s="6"/>
      <c r="L40" s="5"/>
      <c r="M40" s="208">
        <v>5</v>
      </c>
      <c r="N40" s="231">
        <v>16</v>
      </c>
    </row>
    <row r="41" spans="1:14" ht="15" customHeight="1" thickBot="1">
      <c r="A41" s="226"/>
      <c r="B41" s="47" t="s">
        <v>22</v>
      </c>
      <c r="C41" s="10" t="s">
        <v>1</v>
      </c>
      <c r="D41" s="138" t="s">
        <v>35</v>
      </c>
      <c r="E41" s="48">
        <v>3</v>
      </c>
      <c r="F41" s="49">
        <v>2</v>
      </c>
      <c r="G41" s="25">
        <v>2</v>
      </c>
      <c r="H41" s="21"/>
      <c r="I41" s="50"/>
      <c r="J41" s="21"/>
      <c r="K41" s="25"/>
      <c r="L41" s="21"/>
      <c r="M41" s="199"/>
      <c r="N41" s="232"/>
    </row>
    <row r="42" spans="1:14" ht="15" customHeight="1" thickBot="1">
      <c r="A42" s="195" t="s">
        <v>48</v>
      </c>
      <c r="B42" s="74" t="s">
        <v>101</v>
      </c>
      <c r="C42" s="84" t="s">
        <v>70</v>
      </c>
      <c r="D42" s="139" t="s">
        <v>102</v>
      </c>
      <c r="E42" s="42">
        <v>4</v>
      </c>
      <c r="F42" s="43">
        <v>4</v>
      </c>
      <c r="G42" s="12"/>
      <c r="H42" s="7"/>
      <c r="I42" s="108" t="s">
        <v>95</v>
      </c>
      <c r="J42" s="85"/>
      <c r="K42" s="12"/>
      <c r="L42" s="7"/>
      <c r="M42" s="197">
        <v>12</v>
      </c>
      <c r="N42" s="200"/>
    </row>
    <row r="43" spans="1:14" ht="15" customHeight="1">
      <c r="A43" s="196"/>
      <c r="B43" s="73" t="s">
        <v>20</v>
      </c>
      <c r="C43" s="67" t="s">
        <v>1</v>
      </c>
      <c r="D43" s="140" t="s">
        <v>110</v>
      </c>
      <c r="E43" s="38">
        <v>4</v>
      </c>
      <c r="F43" s="39">
        <v>4</v>
      </c>
      <c r="G43" s="78"/>
      <c r="H43" s="80"/>
      <c r="I43" s="203" t="s">
        <v>103</v>
      </c>
      <c r="J43" s="86"/>
      <c r="K43" s="23"/>
      <c r="L43" s="3"/>
      <c r="M43" s="198"/>
      <c r="N43" s="201"/>
    </row>
    <row r="44" spans="1:14" ht="15" customHeight="1">
      <c r="A44" s="196"/>
      <c r="B44" s="36" t="s">
        <v>64</v>
      </c>
      <c r="C44" s="83" t="s">
        <v>5</v>
      </c>
      <c r="D44" s="140" t="s">
        <v>98</v>
      </c>
      <c r="E44" s="40">
        <v>4</v>
      </c>
      <c r="F44" s="44">
        <v>4</v>
      </c>
      <c r="G44" s="77"/>
      <c r="H44" s="79"/>
      <c r="I44" s="203"/>
      <c r="J44" s="86"/>
      <c r="K44" s="23"/>
      <c r="L44" s="3"/>
      <c r="M44" s="198"/>
      <c r="N44" s="201"/>
    </row>
    <row r="45" spans="1:14" ht="16.8" customHeight="1" thickBot="1">
      <c r="A45" s="196"/>
      <c r="B45" s="63" t="s">
        <v>67</v>
      </c>
      <c r="C45" s="83" t="s">
        <v>1</v>
      </c>
      <c r="D45" s="141" t="s">
        <v>32</v>
      </c>
      <c r="E45" s="40">
        <v>4</v>
      </c>
      <c r="F45" s="44">
        <v>4</v>
      </c>
      <c r="G45" s="77"/>
      <c r="H45" s="79"/>
      <c r="I45" s="204"/>
      <c r="J45" s="86"/>
      <c r="K45" s="22"/>
      <c r="L45" s="80"/>
      <c r="M45" s="199"/>
      <c r="N45" s="202"/>
    </row>
    <row r="46" spans="1:14" ht="15" customHeight="1" thickBot="1">
      <c r="A46" s="196"/>
      <c r="B46" s="129" t="s">
        <v>2</v>
      </c>
      <c r="C46" s="84" t="s">
        <v>25</v>
      </c>
      <c r="D46" s="142" t="s">
        <v>69</v>
      </c>
      <c r="E46" s="42">
        <v>4</v>
      </c>
      <c r="F46" s="43">
        <v>4</v>
      </c>
      <c r="G46" s="12"/>
      <c r="H46" s="28"/>
      <c r="I46" s="87"/>
      <c r="J46" s="109" t="s">
        <v>95</v>
      </c>
      <c r="K46" s="29"/>
      <c r="L46" s="7"/>
      <c r="M46" s="197">
        <v>12</v>
      </c>
      <c r="N46" s="200"/>
    </row>
    <row r="47" spans="1:14" ht="30.6" customHeight="1">
      <c r="A47" s="196"/>
      <c r="B47" s="73" t="s">
        <v>65</v>
      </c>
      <c r="C47" s="83" t="s">
        <v>5</v>
      </c>
      <c r="D47" s="143" t="s">
        <v>40</v>
      </c>
      <c r="E47" s="40">
        <v>4</v>
      </c>
      <c r="F47" s="41">
        <v>4</v>
      </c>
      <c r="G47" s="78"/>
      <c r="H47" s="16"/>
      <c r="I47" s="88"/>
      <c r="J47" s="205" t="s">
        <v>103</v>
      </c>
      <c r="K47" s="30"/>
      <c r="L47" s="72"/>
      <c r="M47" s="198"/>
      <c r="N47" s="201"/>
    </row>
    <row r="48" spans="1:14" ht="31.2">
      <c r="A48" s="196"/>
      <c r="B48" s="73" t="s">
        <v>20</v>
      </c>
      <c r="C48" s="89" t="s">
        <v>5</v>
      </c>
      <c r="D48" s="143" t="s">
        <v>111</v>
      </c>
      <c r="E48" s="38">
        <v>4</v>
      </c>
      <c r="F48" s="39">
        <v>4</v>
      </c>
      <c r="G48" s="78"/>
      <c r="H48" s="16"/>
      <c r="I48" s="88"/>
      <c r="J48" s="205"/>
      <c r="K48" s="23"/>
      <c r="L48" s="3"/>
      <c r="M48" s="198"/>
      <c r="N48" s="201"/>
    </row>
    <row r="49" spans="1:14" ht="15" customHeight="1">
      <c r="A49" s="196"/>
      <c r="B49" s="36" t="s">
        <v>64</v>
      </c>
      <c r="C49" s="83" t="s">
        <v>5</v>
      </c>
      <c r="D49" s="143" t="s">
        <v>97</v>
      </c>
      <c r="E49" s="40">
        <v>4</v>
      </c>
      <c r="F49" s="44">
        <v>4</v>
      </c>
      <c r="G49" s="77"/>
      <c r="H49" s="17"/>
      <c r="I49" s="88"/>
      <c r="J49" s="205"/>
      <c r="K49" s="2"/>
      <c r="L49" s="3"/>
      <c r="M49" s="198"/>
      <c r="N49" s="201"/>
    </row>
    <row r="50" spans="1:14" ht="16.8" customHeight="1" thickBot="1">
      <c r="A50" s="196"/>
      <c r="B50" s="68" t="s">
        <v>66</v>
      </c>
      <c r="C50" s="90" t="s">
        <v>5</v>
      </c>
      <c r="D50" s="144" t="s">
        <v>58</v>
      </c>
      <c r="E50" s="40">
        <v>4</v>
      </c>
      <c r="F50" s="44">
        <v>4</v>
      </c>
      <c r="G50" s="77"/>
      <c r="H50" s="17"/>
      <c r="I50" s="91"/>
      <c r="J50" s="206"/>
      <c r="K50" s="22"/>
      <c r="L50" s="80"/>
      <c r="M50" s="199"/>
      <c r="N50" s="202"/>
    </row>
    <row r="51" spans="1:14" ht="16.8" customHeight="1" thickBot="1">
      <c r="A51" s="196"/>
      <c r="B51" s="129" t="s">
        <v>18</v>
      </c>
      <c r="C51" s="110" t="s">
        <v>25</v>
      </c>
      <c r="D51" s="145" t="s">
        <v>104</v>
      </c>
      <c r="E51" s="111">
        <v>4</v>
      </c>
      <c r="F51" s="60">
        <v>4</v>
      </c>
      <c r="G51" s="159"/>
      <c r="H51" s="160"/>
      <c r="I51" s="159"/>
      <c r="J51" s="160"/>
      <c r="K51" s="112" t="s">
        <v>95</v>
      </c>
      <c r="L51" s="160"/>
      <c r="M51" s="197">
        <v>16</v>
      </c>
      <c r="N51" s="200"/>
    </row>
    <row r="52" spans="1:14" ht="17.399999999999999" customHeight="1">
      <c r="A52" s="196"/>
      <c r="B52" s="208" t="s">
        <v>65</v>
      </c>
      <c r="C52" s="83" t="s">
        <v>5</v>
      </c>
      <c r="D52" s="146" t="s">
        <v>92</v>
      </c>
      <c r="E52" s="46">
        <v>4</v>
      </c>
      <c r="F52" s="41">
        <v>4</v>
      </c>
      <c r="G52" s="8"/>
      <c r="H52" s="13"/>
      <c r="I52" s="14"/>
      <c r="J52" s="61"/>
      <c r="K52" s="223" t="s">
        <v>103</v>
      </c>
      <c r="L52" s="61"/>
      <c r="M52" s="198"/>
      <c r="N52" s="201"/>
    </row>
    <row r="53" spans="1:14" ht="16.8" customHeight="1">
      <c r="A53" s="196"/>
      <c r="B53" s="207"/>
      <c r="C53" s="83" t="s">
        <v>34</v>
      </c>
      <c r="D53" s="146" t="s">
        <v>59</v>
      </c>
      <c r="E53" s="40">
        <v>4</v>
      </c>
      <c r="F53" s="39">
        <v>4</v>
      </c>
      <c r="G53" s="8"/>
      <c r="H53" s="13"/>
      <c r="I53" s="14"/>
      <c r="J53" s="61"/>
      <c r="K53" s="224"/>
      <c r="L53" s="61"/>
      <c r="M53" s="198"/>
      <c r="N53" s="201"/>
    </row>
    <row r="54" spans="1:14" ht="31.2" customHeight="1">
      <c r="A54" s="196"/>
      <c r="B54" s="208" t="s">
        <v>20</v>
      </c>
      <c r="C54" s="89" t="s">
        <v>5</v>
      </c>
      <c r="D54" s="166" t="s">
        <v>112</v>
      </c>
      <c r="E54" s="167">
        <v>4</v>
      </c>
      <c r="F54" s="45">
        <v>4</v>
      </c>
      <c r="G54" s="168"/>
      <c r="H54" s="169"/>
      <c r="I54" s="170"/>
      <c r="J54" s="164"/>
      <c r="K54" s="224"/>
      <c r="L54" s="164"/>
      <c r="M54" s="198"/>
      <c r="N54" s="201"/>
    </row>
    <row r="55" spans="1:14" ht="16.8" customHeight="1" thickBot="1">
      <c r="A55" s="196"/>
      <c r="B55" s="199"/>
      <c r="C55" s="90" t="s">
        <v>34</v>
      </c>
      <c r="D55" s="171" t="s">
        <v>113</v>
      </c>
      <c r="E55" s="48">
        <v>4</v>
      </c>
      <c r="F55" s="49">
        <v>4</v>
      </c>
      <c r="G55" s="26"/>
      <c r="H55" s="27"/>
      <c r="I55" s="15"/>
      <c r="J55" s="62"/>
      <c r="K55" s="225"/>
      <c r="L55" s="62"/>
      <c r="M55" s="198"/>
      <c r="N55" s="201"/>
    </row>
    <row r="56" spans="1:14" ht="16.8" customHeight="1" thickBot="1">
      <c r="A56" s="196"/>
      <c r="B56" s="37" t="s">
        <v>64</v>
      </c>
      <c r="C56" s="67" t="s">
        <v>5</v>
      </c>
      <c r="D56" s="147" t="s">
        <v>62</v>
      </c>
      <c r="E56" s="38">
        <v>4</v>
      </c>
      <c r="F56" s="69">
        <v>4</v>
      </c>
      <c r="G56" s="64"/>
      <c r="H56" s="65"/>
      <c r="I56" s="66"/>
      <c r="J56" s="114"/>
      <c r="K56" s="115" t="s">
        <v>45</v>
      </c>
      <c r="L56" s="127"/>
      <c r="M56" s="198"/>
      <c r="N56" s="201"/>
    </row>
    <row r="57" spans="1:14" ht="16.8" customHeight="1">
      <c r="A57" s="196"/>
      <c r="B57" s="63" t="s">
        <v>66</v>
      </c>
      <c r="C57" s="83" t="s">
        <v>34</v>
      </c>
      <c r="D57" s="148" t="s">
        <v>60</v>
      </c>
      <c r="E57" s="40">
        <v>4</v>
      </c>
      <c r="F57" s="52">
        <v>4</v>
      </c>
      <c r="G57" s="77"/>
      <c r="H57" s="79"/>
      <c r="I57" s="9"/>
      <c r="J57" s="56"/>
      <c r="K57" s="221">
        <v>4</v>
      </c>
      <c r="L57" s="126"/>
      <c r="M57" s="198"/>
      <c r="N57" s="201"/>
    </row>
    <row r="58" spans="1:14" ht="16.8" customHeight="1" thickBot="1">
      <c r="A58" s="196"/>
      <c r="B58" s="75" t="s">
        <v>22</v>
      </c>
      <c r="C58" s="113" t="s">
        <v>5</v>
      </c>
      <c r="D58" s="149" t="s">
        <v>57</v>
      </c>
      <c r="E58" s="116">
        <v>3</v>
      </c>
      <c r="F58" s="117">
        <v>4</v>
      </c>
      <c r="G58" s="77"/>
      <c r="H58" s="59"/>
      <c r="I58" s="9"/>
      <c r="J58" s="56"/>
      <c r="K58" s="222"/>
      <c r="L58" s="126"/>
      <c r="M58" s="198"/>
      <c r="N58" s="201"/>
    </row>
    <row r="59" spans="1:14" ht="16.8" customHeight="1" thickBot="1">
      <c r="A59" s="196"/>
      <c r="B59" s="197" t="s">
        <v>17</v>
      </c>
      <c r="C59" s="110" t="s">
        <v>5</v>
      </c>
      <c r="D59" s="150" t="s">
        <v>71</v>
      </c>
      <c r="E59" s="111">
        <v>4</v>
      </c>
      <c r="F59" s="51">
        <v>3</v>
      </c>
      <c r="G59" s="70"/>
      <c r="H59" s="71"/>
      <c r="I59" s="70"/>
      <c r="J59" s="71"/>
      <c r="K59" s="124"/>
      <c r="L59" s="118" t="s">
        <v>95</v>
      </c>
      <c r="M59" s="197">
        <v>17</v>
      </c>
      <c r="N59" s="200"/>
    </row>
    <row r="60" spans="1:14" ht="16.8" customHeight="1">
      <c r="A60" s="196"/>
      <c r="B60" s="207"/>
      <c r="C60" s="83" t="s">
        <v>34</v>
      </c>
      <c r="D60" s="151" t="s">
        <v>39</v>
      </c>
      <c r="E60" s="40">
        <v>4</v>
      </c>
      <c r="F60" s="39">
        <v>3</v>
      </c>
      <c r="G60" s="2"/>
      <c r="H60" s="3"/>
      <c r="I60" s="2"/>
      <c r="J60" s="3"/>
      <c r="K60" s="122"/>
      <c r="L60" s="209" t="s">
        <v>94</v>
      </c>
      <c r="M60" s="198"/>
      <c r="N60" s="201"/>
    </row>
    <row r="61" spans="1:14" ht="16.8" customHeight="1">
      <c r="A61" s="196"/>
      <c r="B61" s="198" t="s">
        <v>18</v>
      </c>
      <c r="C61" s="113" t="s">
        <v>5</v>
      </c>
      <c r="D61" s="151" t="s">
        <v>42</v>
      </c>
      <c r="E61" s="119">
        <v>4</v>
      </c>
      <c r="F61" s="41">
        <v>3</v>
      </c>
      <c r="G61" s="2"/>
      <c r="H61" s="3"/>
      <c r="I61" s="2"/>
      <c r="J61" s="3"/>
      <c r="K61" s="122"/>
      <c r="L61" s="210"/>
      <c r="M61" s="198"/>
      <c r="N61" s="201"/>
    </row>
    <row r="62" spans="1:14" ht="16.8" customHeight="1">
      <c r="A62" s="196"/>
      <c r="B62" s="207"/>
      <c r="C62" s="113" t="s">
        <v>34</v>
      </c>
      <c r="D62" s="151" t="s">
        <v>43</v>
      </c>
      <c r="E62" s="46">
        <v>4</v>
      </c>
      <c r="F62" s="39">
        <v>3</v>
      </c>
      <c r="G62" s="77"/>
      <c r="H62" s="79"/>
      <c r="I62" s="77"/>
      <c r="J62" s="79"/>
      <c r="K62" s="125"/>
      <c r="L62" s="210"/>
      <c r="M62" s="198"/>
      <c r="N62" s="201"/>
    </row>
    <row r="63" spans="1:14" ht="16.8" customHeight="1">
      <c r="A63" s="196"/>
      <c r="B63" s="208" t="s">
        <v>19</v>
      </c>
      <c r="C63" s="83" t="s">
        <v>5</v>
      </c>
      <c r="D63" s="151" t="s">
        <v>41</v>
      </c>
      <c r="E63" s="40">
        <v>4</v>
      </c>
      <c r="F63" s="39">
        <v>3</v>
      </c>
      <c r="G63" s="2"/>
      <c r="H63" s="3"/>
      <c r="I63" s="2"/>
      <c r="J63" s="3"/>
      <c r="K63" s="122"/>
      <c r="L63" s="210"/>
      <c r="M63" s="198"/>
      <c r="N63" s="201"/>
    </row>
    <row r="64" spans="1:14" ht="16.8" customHeight="1" thickBot="1">
      <c r="A64" s="196"/>
      <c r="B64" s="199"/>
      <c r="C64" s="90" t="s">
        <v>34</v>
      </c>
      <c r="D64" s="152" t="s">
        <v>72</v>
      </c>
      <c r="E64" s="48">
        <v>4</v>
      </c>
      <c r="F64" s="49">
        <v>3</v>
      </c>
      <c r="G64" s="15"/>
      <c r="H64" s="62"/>
      <c r="I64" s="15"/>
      <c r="J64" s="62"/>
      <c r="K64" s="15"/>
      <c r="L64" s="211"/>
      <c r="M64" s="198"/>
      <c r="N64" s="201"/>
    </row>
    <row r="65" spans="1:14" ht="16.8" customHeight="1" thickBot="1">
      <c r="A65" s="196"/>
      <c r="B65" s="37" t="s">
        <v>64</v>
      </c>
      <c r="C65" s="84" t="s">
        <v>5</v>
      </c>
      <c r="D65" s="153" t="s">
        <v>63</v>
      </c>
      <c r="E65" s="42">
        <v>4</v>
      </c>
      <c r="F65" s="43">
        <v>4</v>
      </c>
      <c r="G65" s="53"/>
      <c r="H65" s="54"/>
      <c r="I65" s="55"/>
      <c r="J65" s="120"/>
      <c r="K65" s="55"/>
      <c r="L65" s="128" t="s">
        <v>46</v>
      </c>
      <c r="M65" s="198"/>
      <c r="N65" s="201"/>
    </row>
    <row r="66" spans="1:14" ht="16.8" customHeight="1">
      <c r="A66" s="196"/>
      <c r="B66" s="63" t="s">
        <v>66</v>
      </c>
      <c r="C66" s="83" t="s">
        <v>5</v>
      </c>
      <c r="D66" s="154" t="s">
        <v>61</v>
      </c>
      <c r="E66" s="40">
        <v>4</v>
      </c>
      <c r="F66" s="44">
        <v>4</v>
      </c>
      <c r="G66" s="77"/>
      <c r="H66" s="79"/>
      <c r="I66" s="9"/>
      <c r="J66" s="56"/>
      <c r="K66" s="9"/>
      <c r="L66" s="212" t="s">
        <v>47</v>
      </c>
      <c r="M66" s="198"/>
      <c r="N66" s="201"/>
    </row>
    <row r="67" spans="1:14" ht="16.8" customHeight="1">
      <c r="A67" s="196"/>
      <c r="B67" s="215" t="s">
        <v>22</v>
      </c>
      <c r="C67" s="113" t="s">
        <v>5</v>
      </c>
      <c r="D67" s="155" t="s">
        <v>121</v>
      </c>
      <c r="E67" s="46">
        <v>3</v>
      </c>
      <c r="F67" s="57">
        <v>4</v>
      </c>
      <c r="G67" s="31"/>
      <c r="H67" s="32"/>
      <c r="I67" s="9"/>
      <c r="J67" s="56"/>
      <c r="K67" s="9"/>
      <c r="L67" s="213"/>
      <c r="M67" s="198"/>
      <c r="N67" s="201"/>
    </row>
    <row r="68" spans="1:14" ht="16.8" customHeight="1" thickBot="1">
      <c r="A68" s="196"/>
      <c r="B68" s="216"/>
      <c r="C68" s="90" t="s">
        <v>34</v>
      </c>
      <c r="D68" s="156" t="s">
        <v>44</v>
      </c>
      <c r="E68" s="48">
        <v>3</v>
      </c>
      <c r="F68" s="58">
        <v>4</v>
      </c>
      <c r="G68" s="26"/>
      <c r="H68" s="27"/>
      <c r="I68" s="15"/>
      <c r="J68" s="62"/>
      <c r="K68" s="15"/>
      <c r="L68" s="214"/>
      <c r="M68" s="199"/>
      <c r="N68" s="202"/>
    </row>
    <row r="69" spans="1:14" ht="19.95" customHeight="1">
      <c r="A69" s="196"/>
      <c r="B69" s="162" t="s">
        <v>107</v>
      </c>
      <c r="C69" s="84" t="s">
        <v>108</v>
      </c>
      <c r="D69" s="157" t="s">
        <v>114</v>
      </c>
      <c r="E69" s="92">
        <v>4</v>
      </c>
      <c r="F69" s="93">
        <v>3</v>
      </c>
      <c r="G69" s="176" t="s">
        <v>73</v>
      </c>
      <c r="H69" s="177"/>
      <c r="I69" s="177"/>
      <c r="J69" s="177"/>
      <c r="K69" s="177"/>
      <c r="L69" s="178"/>
      <c r="M69" s="185"/>
      <c r="N69" s="187"/>
    </row>
    <row r="70" spans="1:14" ht="19.95" customHeight="1">
      <c r="A70" s="196"/>
      <c r="B70" s="163" t="s">
        <v>52</v>
      </c>
      <c r="C70" s="83" t="s">
        <v>5</v>
      </c>
      <c r="D70" s="135" t="s">
        <v>106</v>
      </c>
      <c r="E70" s="119">
        <v>4</v>
      </c>
      <c r="F70" s="161">
        <v>3</v>
      </c>
      <c r="G70" s="179"/>
      <c r="H70" s="180"/>
      <c r="I70" s="180"/>
      <c r="J70" s="180"/>
      <c r="K70" s="180"/>
      <c r="L70" s="181"/>
      <c r="M70" s="186"/>
      <c r="N70" s="188"/>
    </row>
    <row r="71" spans="1:14" ht="62.4" customHeight="1" thickBot="1">
      <c r="A71" s="196"/>
      <c r="B71" s="165" t="s">
        <v>115</v>
      </c>
      <c r="C71" s="94" t="s">
        <v>25</v>
      </c>
      <c r="D71" s="158" t="s">
        <v>109</v>
      </c>
      <c r="E71" s="95">
        <v>4</v>
      </c>
      <c r="F71" s="96">
        <v>3</v>
      </c>
      <c r="G71" s="182"/>
      <c r="H71" s="183"/>
      <c r="I71" s="183"/>
      <c r="J71" s="183"/>
      <c r="K71" s="183"/>
      <c r="L71" s="184"/>
      <c r="M71" s="186"/>
      <c r="N71" s="188"/>
    </row>
    <row r="72" spans="1:14" ht="15" customHeight="1">
      <c r="A72" s="189" t="s">
        <v>28</v>
      </c>
      <c r="B72" s="190"/>
      <c r="C72" s="190"/>
      <c r="D72" s="190"/>
      <c r="E72" s="190"/>
      <c r="F72" s="190"/>
      <c r="G72" s="78">
        <v>30</v>
      </c>
      <c r="H72" s="16">
        <v>31</v>
      </c>
      <c r="I72" s="78">
        <v>29</v>
      </c>
      <c r="J72" s="80">
        <v>29</v>
      </c>
      <c r="K72" s="22">
        <v>29</v>
      </c>
      <c r="L72" s="80">
        <v>26</v>
      </c>
      <c r="M72" s="22">
        <f>SUM(M5:M71)</f>
        <v>174</v>
      </c>
      <c r="N72" s="80">
        <f>SUM(N5:N41)</f>
        <v>84</v>
      </c>
    </row>
    <row r="73" spans="1:14" ht="15" customHeight="1">
      <c r="A73" s="191" t="s">
        <v>6</v>
      </c>
      <c r="B73" s="192"/>
      <c r="C73" s="192"/>
      <c r="D73" s="192"/>
      <c r="E73" s="192"/>
      <c r="F73" s="192"/>
      <c r="G73" s="2">
        <v>3</v>
      </c>
      <c r="H73" s="97">
        <v>3</v>
      </c>
      <c r="I73" s="2">
        <v>3</v>
      </c>
      <c r="J73" s="3">
        <v>3</v>
      </c>
      <c r="K73" s="23">
        <v>3</v>
      </c>
      <c r="L73" s="3">
        <v>3</v>
      </c>
      <c r="M73" s="23">
        <f>SUM(G73:L73)</f>
        <v>18</v>
      </c>
      <c r="N73" s="3">
        <v>18</v>
      </c>
    </row>
    <row r="74" spans="1:14" ht="15" customHeight="1" thickBot="1">
      <c r="A74" s="193" t="s">
        <v>29</v>
      </c>
      <c r="B74" s="194"/>
      <c r="C74" s="194"/>
      <c r="D74" s="194"/>
      <c r="E74" s="194"/>
      <c r="F74" s="194"/>
      <c r="G74" s="98">
        <f t="shared" ref="G74:L74" si="0">G72+G73</f>
        <v>33</v>
      </c>
      <c r="H74" s="99">
        <f t="shared" si="0"/>
        <v>34</v>
      </c>
      <c r="I74" s="98">
        <f t="shared" si="0"/>
        <v>32</v>
      </c>
      <c r="J74" s="100">
        <f t="shared" si="0"/>
        <v>32</v>
      </c>
      <c r="K74" s="121">
        <f t="shared" si="0"/>
        <v>32</v>
      </c>
      <c r="L74" s="100">
        <f t="shared" si="0"/>
        <v>29</v>
      </c>
      <c r="M74" s="121">
        <f>SUM(G74:L74)</f>
        <v>192</v>
      </c>
      <c r="N74" s="100"/>
    </row>
    <row r="75" spans="1:14" s="101" customFormat="1" ht="15" customHeight="1">
      <c r="A75" s="175" t="s">
        <v>96</v>
      </c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</row>
    <row r="76" spans="1:14" s="101" customFormat="1" ht="15" customHeight="1">
      <c r="A76" s="101" t="s">
        <v>68</v>
      </c>
      <c r="B76" s="102"/>
      <c r="D76" s="102"/>
      <c r="I76" s="102"/>
      <c r="J76" s="102"/>
      <c r="M76" s="102"/>
      <c r="N76" s="102"/>
    </row>
  </sheetData>
  <mergeCells count="68">
    <mergeCell ref="M10:M14"/>
    <mergeCell ref="N10:N14"/>
    <mergeCell ref="B20:B24"/>
    <mergeCell ref="B25:B29"/>
    <mergeCell ref="M22:M24"/>
    <mergeCell ref="N22:N24"/>
    <mergeCell ref="M25:M29"/>
    <mergeCell ref="N25:N29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A5:A41"/>
    <mergeCell ref="B5:B9"/>
    <mergeCell ref="M5:M9"/>
    <mergeCell ref="N5:N9"/>
    <mergeCell ref="B15:B19"/>
    <mergeCell ref="M15:M19"/>
    <mergeCell ref="N15:N19"/>
    <mergeCell ref="M20:M21"/>
    <mergeCell ref="N20:N21"/>
    <mergeCell ref="M40:M41"/>
    <mergeCell ref="N40:N41"/>
    <mergeCell ref="B30:B35"/>
    <mergeCell ref="M30:M35"/>
    <mergeCell ref="N30:N35"/>
    <mergeCell ref="G36:H36"/>
    <mergeCell ref="B10:B14"/>
    <mergeCell ref="M36:M39"/>
    <mergeCell ref="N36:N39"/>
    <mergeCell ref="I38:J38"/>
    <mergeCell ref="M51:M58"/>
    <mergeCell ref="N51:N58"/>
    <mergeCell ref="K57:K58"/>
    <mergeCell ref="K52:K55"/>
    <mergeCell ref="B52:B53"/>
    <mergeCell ref="M59:M68"/>
    <mergeCell ref="N59:N68"/>
    <mergeCell ref="L60:L64"/>
    <mergeCell ref="B61:B62"/>
    <mergeCell ref="B63:B64"/>
    <mergeCell ref="L66:L68"/>
    <mergeCell ref="B67:B68"/>
    <mergeCell ref="B54:B55"/>
    <mergeCell ref="B36:B39"/>
    <mergeCell ref="A75:N75"/>
    <mergeCell ref="G69:L71"/>
    <mergeCell ref="M69:M71"/>
    <mergeCell ref="N69:N71"/>
    <mergeCell ref="A72:F72"/>
    <mergeCell ref="A73:F73"/>
    <mergeCell ref="A74:F74"/>
    <mergeCell ref="A42:A71"/>
    <mergeCell ref="M42:M45"/>
    <mergeCell ref="N42:N45"/>
    <mergeCell ref="I43:I45"/>
    <mergeCell ref="M46:M50"/>
    <mergeCell ref="N46:N50"/>
    <mergeCell ref="J47:J50"/>
    <mergeCell ref="B59:B60"/>
  </mergeCells>
  <phoneticPr fontId="1" type="noConversion"/>
  <printOptions horizontalCentered="1"/>
  <pageMargins left="0.23622047244094491" right="0.23622047244094491" top="0.39370078740157483" bottom="0.39370078740157483" header="0" footer="0"/>
  <pageSetup paperSize="12" scale="72" orientation="portrait" verticalDpi="300" r:id="rId1"/>
  <rowBreaks count="1" manualBreakCount="1">
    <brk id="75" max="1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B870AC4C27B5B42B044CB40A440EB1E" ma:contentTypeVersion="11" ma:contentTypeDescription="새 문서를 만듭니다." ma:contentTypeScope="" ma:versionID="2a0f4c0831ea2cb888583aabdef146ad">
  <xsd:schema xmlns:xsd="http://www.w3.org/2001/XMLSchema" xmlns:xs="http://www.w3.org/2001/XMLSchema" xmlns:p="http://schemas.microsoft.com/office/2006/metadata/properties" xmlns:ns3="406555e8-6aa0-4d22-b803-21f0610b8396" targetNamespace="http://schemas.microsoft.com/office/2006/metadata/properties" ma:root="true" ma:fieldsID="0717fc66fcf6a3f0121f850b8be36db6" ns3:_="">
    <xsd:import namespace="406555e8-6aa0-4d22-b803-21f0610b83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555e8-6aa0-4d22-b803-21f0610b83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27C4E2-9ECC-44A2-A204-07EF836C46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6555e8-6aa0-4d22-b803-21f0610b83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D8F632-D442-4068-946B-04B9326179CF}">
  <ds:schemaRefs>
    <ds:schemaRef ds:uri="http://purl.org/dc/elements/1.1/"/>
    <ds:schemaRef ds:uri="http://schemas.microsoft.com/office/2006/documentManagement/types"/>
    <ds:schemaRef ds:uri="406555e8-6aa0-4d22-b803-21f0610b8396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0DE51E7-E643-4660-981E-FE5F3CAC0B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2026 신입생</vt:lpstr>
      <vt:lpstr>'2026 신입생'!Print_Area</vt:lpstr>
      <vt:lpstr>'2026 신입생'!Print_Titles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장 준영</cp:lastModifiedBy>
  <cp:lastPrinted>2025-09-16T02:30:10Z</cp:lastPrinted>
  <dcterms:created xsi:type="dcterms:W3CDTF">2022-07-15T02:03:49Z</dcterms:created>
  <dcterms:modified xsi:type="dcterms:W3CDTF">2026-02-05T23:48:34Z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0x010100CB870AC4C27B5B42B044CB40A440EB1E</vt:lpwstr>
  </property>
</Properties>
</file>