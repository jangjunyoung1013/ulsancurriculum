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showObjects="none"/>
  <mc:AlternateContent xmlns:mc="http://schemas.openxmlformats.org/markup-compatibility/2006">
    <mc:Choice Requires="x15">
      <x15ac:absPath xmlns:x15ac="http://schemas.microsoft.com/office/spreadsheetml/2010/11/ac" url="D:\2025학년도\교육과정부\교육과정\2026학년도 교육과정편제표\2026학년도 교육과정편제표 완성본\"/>
    </mc:Choice>
  </mc:AlternateContent>
  <xr:revisionPtr revIDLastSave="0" documentId="13_ncr:1_{FCA4D710-5679-4148-8003-6D982A53F636}" xr6:coauthVersionLast="47" xr6:coauthVersionMax="47" xr10:uidLastSave="{00000000-0000-0000-0000-000000000000}"/>
  <bookViews>
    <workbookView xWindow="-108" yWindow="-108" windowWidth="23256" windowHeight="12456" tabRatio="847" xr2:uid="{00000000-000D-0000-FFFF-FFFF00000000}"/>
  </bookViews>
  <sheets>
    <sheet name="기초안" sheetId="22" r:id="rId1"/>
    <sheet name="Sheet1" sheetId="23" r:id="rId2"/>
  </sheets>
  <definedNames>
    <definedName name="_xlnm.Print_Area" localSheetId="0">기초안!$A$1:$N$75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7" i="22" l="1"/>
  <c r="M25" i="22"/>
  <c r="J74" i="22"/>
  <c r="I74" i="22"/>
  <c r="M73" i="22"/>
  <c r="H72" i="22"/>
  <c r="H74" i="22" s="1"/>
  <c r="G72" i="22"/>
  <c r="G74" i="22" s="1"/>
  <c r="M40" i="22"/>
  <c r="M29" i="22"/>
  <c r="M19" i="22"/>
  <c r="M11" i="22"/>
  <c r="M5" i="22"/>
</calcChain>
</file>

<file path=xl/sharedStrings.xml><?xml version="1.0" encoding="utf-8"?>
<sst xmlns="http://schemas.openxmlformats.org/spreadsheetml/2006/main" count="205" uniqueCount="119">
  <si>
    <t>구분</t>
    <phoneticPr fontId="1" type="noConversion"/>
  </si>
  <si>
    <t>1학년</t>
    <phoneticPr fontId="1" type="noConversion"/>
  </si>
  <si>
    <t>2학년</t>
    <phoneticPr fontId="1" type="noConversion"/>
  </si>
  <si>
    <t>3학년</t>
    <phoneticPr fontId="1" type="noConversion"/>
  </si>
  <si>
    <t>이수
학점</t>
    <phoneticPr fontId="1" type="noConversion"/>
  </si>
  <si>
    <t>1학기</t>
    <phoneticPr fontId="1" type="noConversion"/>
  </si>
  <si>
    <t>2학기</t>
    <phoneticPr fontId="1" type="noConversion"/>
  </si>
  <si>
    <t>기준
학점</t>
    <phoneticPr fontId="1" type="noConversion"/>
  </si>
  <si>
    <t>운영
학점</t>
    <phoneticPr fontId="1" type="noConversion"/>
  </si>
  <si>
    <t>국어</t>
    <phoneticPr fontId="1" type="noConversion"/>
  </si>
  <si>
    <t>공통</t>
    <phoneticPr fontId="1" type="noConversion"/>
  </si>
  <si>
    <t>공통국어1</t>
    <phoneticPr fontId="1" type="noConversion"/>
  </si>
  <si>
    <t>공통국어2</t>
    <phoneticPr fontId="1" type="noConversion"/>
  </si>
  <si>
    <t>일반</t>
    <phoneticPr fontId="1" type="noConversion"/>
  </si>
  <si>
    <t>독서와 작문</t>
    <phoneticPr fontId="1" type="noConversion"/>
  </si>
  <si>
    <t>진로</t>
    <phoneticPr fontId="1" type="noConversion"/>
  </si>
  <si>
    <t>주제 탐구 독서</t>
    <phoneticPr fontId="1" type="noConversion"/>
  </si>
  <si>
    <t>수학</t>
    <phoneticPr fontId="1" type="noConversion"/>
  </si>
  <si>
    <t>공통수학1</t>
    <phoneticPr fontId="1" type="noConversion"/>
  </si>
  <si>
    <t>공통수학2</t>
    <phoneticPr fontId="1" type="noConversion"/>
  </si>
  <si>
    <t>대수</t>
    <phoneticPr fontId="1" type="noConversion"/>
  </si>
  <si>
    <t>미적분Ⅰ</t>
    <phoneticPr fontId="1" type="noConversion"/>
  </si>
  <si>
    <t>기하</t>
    <phoneticPr fontId="1" type="noConversion"/>
  </si>
  <si>
    <t>확률과 통계</t>
    <phoneticPr fontId="1" type="noConversion"/>
  </si>
  <si>
    <t>공통영어1</t>
    <phoneticPr fontId="1" type="noConversion"/>
  </si>
  <si>
    <t>공통영어2</t>
    <phoneticPr fontId="1" type="noConversion"/>
  </si>
  <si>
    <t>영어</t>
    <phoneticPr fontId="1" type="noConversion"/>
  </si>
  <si>
    <t>심화 영어 독해와 작문</t>
    <phoneticPr fontId="1" type="noConversion"/>
  </si>
  <si>
    <t>사회</t>
    <phoneticPr fontId="1" type="noConversion"/>
  </si>
  <si>
    <t>통합사회1</t>
    <phoneticPr fontId="1" type="noConversion"/>
  </si>
  <si>
    <t>통합사회2</t>
    <phoneticPr fontId="1" type="noConversion"/>
  </si>
  <si>
    <t>과학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</si>
  <si>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</si>
  <si>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</si>
  <si>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</si>
  <si>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</si>
  <si>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체육</t>
    <phoneticPr fontId="1" type="noConversion"/>
  </si>
  <si>
    <t>체육1</t>
    <phoneticPr fontId="1" type="noConversion"/>
  </si>
  <si>
    <t>체육2</t>
    <phoneticPr fontId="1" type="noConversion"/>
  </si>
  <si>
    <t>스포츠 문화</t>
    <phoneticPr fontId="1" type="noConversion"/>
  </si>
  <si>
    <t>스포츠 과학</t>
    <phoneticPr fontId="1" type="noConversion"/>
  </si>
  <si>
    <t>스포츠 생활1</t>
    <phoneticPr fontId="1" type="noConversion"/>
  </si>
  <si>
    <t>스포츠 생활2</t>
    <phoneticPr fontId="1" type="noConversion"/>
  </si>
  <si>
    <t>예술</t>
    <phoneticPr fontId="1" type="noConversion"/>
  </si>
  <si>
    <t>택1</t>
    <phoneticPr fontId="1" type="noConversion"/>
  </si>
  <si>
    <t>정보</t>
    <phoneticPr fontId="1" type="noConversion"/>
  </si>
  <si>
    <t>학
교
지
정
교
육
과
정</t>
    <phoneticPr fontId="1" type="noConversion"/>
  </si>
  <si>
    <t>학
생
선
택
교
육
과
정</t>
    <phoneticPr fontId="1" type="noConversion"/>
  </si>
  <si>
    <t>현대청운고등학교</t>
    <phoneticPr fontId="1" type="noConversion"/>
  </si>
  <si>
    <t>택3</t>
    <phoneticPr fontId="1" type="noConversion"/>
  </si>
  <si>
    <t>물리학</t>
    <phoneticPr fontId="1" type="noConversion"/>
  </si>
  <si>
    <t>문학</t>
    <phoneticPr fontId="1" type="noConversion"/>
  </si>
  <si>
    <t>화법과 언어</t>
    <phoneticPr fontId="1" type="noConversion"/>
  </si>
  <si>
    <t>독서 토론과 글쓰기</t>
    <phoneticPr fontId="1" type="noConversion"/>
  </si>
  <si>
    <t>융합</t>
    <phoneticPr fontId="1" type="noConversion"/>
  </si>
  <si>
    <t>진로</t>
  </si>
  <si>
    <t>음악</t>
    <phoneticPr fontId="1" type="noConversion"/>
  </si>
  <si>
    <t>미술</t>
    <phoneticPr fontId="1" type="noConversion"/>
  </si>
  <si>
    <t>교양</t>
    <phoneticPr fontId="1" type="noConversion"/>
  </si>
  <si>
    <t>제2외국어/한문</t>
    <phoneticPr fontId="1" type="noConversion"/>
  </si>
  <si>
    <t>창의적체험활동</t>
    <phoneticPr fontId="1" type="noConversion"/>
  </si>
  <si>
    <t>보건</t>
    <phoneticPr fontId="1" type="noConversion"/>
  </si>
  <si>
    <t>택2</t>
    <phoneticPr fontId="1" type="noConversion"/>
  </si>
  <si>
    <t>한문</t>
    <phoneticPr fontId="1" type="noConversion"/>
  </si>
  <si>
    <t>인간과 경제활동</t>
    <phoneticPr fontId="1" type="noConversion"/>
  </si>
  <si>
    <t>15~17</t>
    <phoneticPr fontId="1" type="noConversion"/>
  </si>
  <si>
    <t>29~30</t>
    <phoneticPr fontId="1" type="noConversion"/>
  </si>
  <si>
    <t>27~28</t>
    <phoneticPr fontId="1" type="noConversion"/>
  </si>
  <si>
    <t>생태와 환경</t>
    <phoneticPr fontId="1" type="noConversion"/>
  </si>
  <si>
    <t>과학의 역사와 문화</t>
    <phoneticPr fontId="1" type="noConversion"/>
  </si>
  <si>
    <t>논술</t>
    <phoneticPr fontId="1" type="noConversion"/>
  </si>
  <si>
    <t>세계사</t>
    <phoneticPr fontId="1" type="noConversion"/>
  </si>
  <si>
    <t>정치</t>
    <phoneticPr fontId="1" type="noConversion"/>
  </si>
  <si>
    <t>사회문제 탐구</t>
    <phoneticPr fontId="1" type="noConversion"/>
  </si>
  <si>
    <t>기후변화와 환경생태</t>
    <phoneticPr fontId="1" type="noConversion"/>
  </si>
  <si>
    <t>융합과학 탐구</t>
    <phoneticPr fontId="1" type="noConversion"/>
  </si>
  <si>
    <t>동아시아 역사 기행</t>
    <phoneticPr fontId="1" type="noConversion"/>
  </si>
  <si>
    <t xml:space="preserve">사회와 문화, 세계시민과 지리, 현대사회와 윤리 </t>
    <phoneticPr fontId="1" type="noConversion"/>
  </si>
  <si>
    <t>화학, 생명과학, 지구과학</t>
    <phoneticPr fontId="1" type="noConversion"/>
  </si>
  <si>
    <t>법과 사회, 경제, 한국지리 탐구, 윤리와 사상</t>
    <phoneticPr fontId="1" type="noConversion"/>
  </si>
  <si>
    <t>전자기와 양자, 화학 반응의 세계, 생물의 유전, 행성우주과학</t>
    <phoneticPr fontId="1" type="noConversion"/>
  </si>
  <si>
    <t>국제 관계의 이해, 도시의 미래 탐구, 인문학과 윤리</t>
    <phoneticPr fontId="1" type="noConversion"/>
  </si>
  <si>
    <t>3
3(4)</t>
    <phoneticPr fontId="1" type="noConversion"/>
  </si>
  <si>
    <t>음악 연주와 창작, 미술 창작</t>
    <phoneticPr fontId="1" type="noConversion"/>
  </si>
  <si>
    <t>인간과 철학, 삶과 종교, 교육의 이해, 논리와 사고</t>
    <phoneticPr fontId="1" type="noConversion"/>
  </si>
  <si>
    <t>175~177</t>
    <phoneticPr fontId="1" type="noConversion"/>
  </si>
  <si>
    <t>3
3
3(4)</t>
    <phoneticPr fontId="1" type="noConversion"/>
  </si>
  <si>
    <t>2
2</t>
    <phoneticPr fontId="1" type="noConversion"/>
  </si>
  <si>
    <t>32~33</t>
    <phoneticPr fontId="1" type="noConversion"/>
  </si>
  <si>
    <t>29~30</t>
    <phoneticPr fontId="1" type="noConversion"/>
  </si>
  <si>
    <t>193~195</t>
    <phoneticPr fontId="1" type="noConversion"/>
  </si>
  <si>
    <t>교과(군)</t>
    <phoneticPr fontId="1" type="noConversion"/>
  </si>
  <si>
    <t>한국사1</t>
    <phoneticPr fontId="1" type="noConversion"/>
  </si>
  <si>
    <t>한국사2</t>
    <phoneticPr fontId="1" type="noConversion"/>
  </si>
  <si>
    <t>심화 중국어, 심화 일본어</t>
    <phoneticPr fontId="1" type="noConversion"/>
  </si>
  <si>
    <t>학기별 총 이수 학점</t>
    <phoneticPr fontId="1" type="noConversion"/>
  </si>
  <si>
    <t>교과 이수 학점 소계</t>
    <phoneticPr fontId="1" type="noConversion"/>
  </si>
  <si>
    <t>세부 과목</t>
    <phoneticPr fontId="1" type="noConversion"/>
  </si>
  <si>
    <t>영어 비판적 읽기☆</t>
    <phoneticPr fontId="1" type="noConversion"/>
  </si>
  <si>
    <t>통합수학Ⅰ☆</t>
    <phoneticPr fontId="1" type="noConversion"/>
  </si>
  <si>
    <t>통합수학Ⅱ☆</t>
    <phoneticPr fontId="1" type="noConversion"/>
  </si>
  <si>
    <t>전문 수학*, 고급 미적분*</t>
    <phoneticPr fontId="1" type="noConversion"/>
  </si>
  <si>
    <t>고급 물리학*, 고급 화학*, 고급 생명과학*, 고급 지구과학*</t>
    <phoneticPr fontId="1" type="noConversion"/>
  </si>
  <si>
    <t>고급 대수*</t>
    <phoneticPr fontId="1" type="noConversion"/>
  </si>
  <si>
    <t>필수 이수
학점</t>
    <phoneticPr fontId="1" type="noConversion"/>
  </si>
  <si>
    <r>
      <t>영어</t>
    </r>
    <r>
      <rPr>
        <sz val="14"/>
        <rFont val="맑은 고딕"/>
        <family val="3"/>
        <charset val="129"/>
      </rPr>
      <t>Ⅱ</t>
    </r>
    <phoneticPr fontId="1" type="noConversion"/>
  </si>
  <si>
    <r>
      <t>기술</t>
    </r>
    <r>
      <rPr>
        <sz val="14"/>
        <color theme="1"/>
        <rFont val="함초롬돋움"/>
        <family val="3"/>
        <charset val="129"/>
      </rPr>
      <t>·</t>
    </r>
    <r>
      <rPr>
        <sz val="14"/>
        <color theme="1"/>
        <rFont val="맑은 고딕"/>
        <family val="3"/>
        <charset val="129"/>
        <scheme val="minor"/>
      </rPr>
      <t>가정/정보</t>
    </r>
    <phoneticPr fontId="1" type="noConversion"/>
  </si>
  <si>
    <t>택4</t>
    <phoneticPr fontId="1" type="noConversion"/>
  </si>
  <si>
    <t>수학</t>
    <phoneticPr fontId="1" type="noConversion"/>
  </si>
  <si>
    <t>교차집중(↔)</t>
    <phoneticPr fontId="1" type="noConversion"/>
  </si>
  <si>
    <t>역학과 에너지, 물질과 에너지, 세포와 물질대사, 지구시스템과학</t>
    <phoneticPr fontId="1" type="noConversion"/>
  </si>
  <si>
    <t>중국어, 일본어</t>
    <phoneticPr fontId="1" type="noConversion"/>
  </si>
  <si>
    <t>미적분Ⅱ, 경제 수학</t>
    <phoneticPr fontId="1" type="noConversion"/>
  </si>
  <si>
    <r>
      <t xml:space="preserve">☞ 표기방법 안내
- </t>
    </r>
    <r>
      <rPr>
        <sz val="12"/>
        <color theme="1"/>
        <rFont val="맑은 고딕"/>
        <family val="3"/>
        <charset val="129"/>
        <scheme val="minor"/>
      </rPr>
      <t>특수 목적 고등학교 선택 과목을 진로선택과목으로 가져올 때 * 표기
- 전문교과를 진로선택과목으로 가져올 때 ★ 표기
◦ 교육감승인과목을 진로선택으로 가져올 때 ☆ 표기
◦ 교과특성화학교 관련 과목은 ■ 표기
☞ 교차집중표기법: 교차집중(↔)</t>
    </r>
    <phoneticPr fontId="1" type="noConversion"/>
  </si>
  <si>
    <t>영어 비판적 사고와 논증☆</t>
    <phoneticPr fontId="1" type="noConversion"/>
  </si>
  <si>
    <t>프로그래밍★</t>
    <phoneticPr fontId="1" type="noConversion"/>
  </si>
  <si>
    <t xml:space="preserve"> </t>
    <phoneticPr fontId="1" type="noConversion"/>
  </si>
  <si>
    <t xml:space="preserve">금융과 경제생활, 기후변화와 지속가능한 세계, 윤리문제 탐구, 
역사로 탐구하는 현대 세계, 여행지리   </t>
    <phoneticPr fontId="1" type="noConversion"/>
  </si>
  <si>
    <r>
      <t>2026학년도 신입생 3개년 교육과정 편제표</t>
    </r>
    <r>
      <rPr>
        <b/>
        <sz val="16"/>
        <color theme="1"/>
        <rFont val="맑은 고딕"/>
        <family val="3"/>
        <charset val="129"/>
        <scheme val="minor"/>
      </rPr>
      <t>(2025.12.24)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</si>
</sst>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4"/>
      <color rgb="FF002060"/>
      <name val="맑은 고딕"/>
      <family val="3"/>
      <charset val="129"/>
      <scheme val="minor"/>
    </font>
    <font>
      <i/>
      <sz val="14"/>
      <color theme="1"/>
      <name val="맑은 고딕"/>
      <family val="3"/>
      <charset val="129"/>
      <scheme val="minor"/>
    </font>
    <font>
      <b/>
      <sz val="14"/>
      <color rgb="FF0000FF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함초롬돋움"/>
      <family val="3"/>
      <charset val="129"/>
    </font>
    <font>
      <sz val="14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6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30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59" xfId="0" applyFont="1" applyFill="1" applyBorder="1" applyAlignment="1">
      <alignment horizontal="center" vertical="center"/>
    </xf>
    <xf numFmtId="0" fontId="7" fillId="0" borderId="60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/>
    </xf>
    <xf numFmtId="0" fontId="7" fillId="0" borderId="55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1" xfId="0" applyFont="1" applyFill="1" applyBorder="1" applyAlignment="1">
      <alignment horizontal="center" vertical="center"/>
    </xf>
    <xf numFmtId="0" fontId="7" fillId="0" borderId="42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9" fillId="0" borderId="10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57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7" fillId="0" borderId="45" xfId="0" applyFont="1" applyFill="1" applyBorder="1" applyAlignment="1">
      <alignment horizontal="center" vertical="center"/>
    </xf>
    <xf numFmtId="0" fontId="7" fillId="0" borderId="44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52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  <xf numFmtId="0" fontId="9" fillId="0" borderId="52" xfId="0" applyFont="1" applyFill="1" applyBorder="1" applyAlignment="1">
      <alignment horizontal="center" vertical="center"/>
    </xf>
    <xf numFmtId="0" fontId="7" fillId="0" borderId="46" xfId="0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0" fontId="9" fillId="0" borderId="42" xfId="0" applyFont="1" applyFill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7" fillId="0" borderId="54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54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58" xfId="0" applyFont="1" applyFill="1" applyBorder="1" applyAlignment="1">
      <alignment horizontal="center" vertical="center"/>
    </xf>
    <xf numFmtId="0" fontId="7" fillId="0" borderId="34" xfId="0" applyFont="1" applyFill="1" applyBorder="1" applyAlignment="1">
      <alignment horizontal="center" vertical="center"/>
    </xf>
    <xf numFmtId="0" fontId="13" fillId="0" borderId="38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5" borderId="43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9" fillId="0" borderId="28" xfId="0" applyFont="1" applyFill="1" applyBorder="1" applyAlignment="1">
      <alignment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3" xfId="0" applyFont="1" applyBorder="1" applyAlignment="1">
      <alignment vertical="center"/>
    </xf>
    <xf numFmtId="0" fontId="7" fillId="0" borderId="29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/>
    </xf>
    <xf numFmtId="0" fontId="13" fillId="8" borderId="19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41" xfId="0" applyFont="1" applyFill="1" applyBorder="1" applyAlignment="1">
      <alignment horizontal="center" vertical="center" wrapText="1"/>
    </xf>
    <xf numFmtId="0" fontId="7" fillId="0" borderId="5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9" fillId="5" borderId="4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horizontal="left" vertical="center"/>
    </xf>
    <xf numFmtId="0" fontId="8" fillId="0" borderId="11" xfId="0" applyFont="1" applyFill="1" applyBorder="1" applyAlignment="1">
      <alignment horizontal="left" vertical="center"/>
    </xf>
    <xf numFmtId="0" fontId="8" fillId="0" borderId="9" xfId="0" applyFont="1" applyFill="1" applyBorder="1" applyAlignment="1">
      <alignment horizontal="left" vertical="center"/>
    </xf>
    <xf numFmtId="0" fontId="7" fillId="0" borderId="11" xfId="0" applyFont="1" applyFill="1" applyBorder="1" applyAlignment="1">
      <alignment horizontal="left" vertical="center"/>
    </xf>
    <xf numFmtId="0" fontId="7" fillId="0" borderId="28" xfId="0" applyFont="1" applyFill="1" applyBorder="1" applyAlignment="1">
      <alignment horizontal="left" vertical="center"/>
    </xf>
    <xf numFmtId="0" fontId="7" fillId="0" borderId="27" xfId="0" applyFont="1" applyFill="1" applyBorder="1" applyAlignment="1">
      <alignment horizontal="left" vertical="center"/>
    </xf>
    <xf numFmtId="0" fontId="7" fillId="0" borderId="55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 wrapText="1"/>
    </xf>
    <xf numFmtId="0" fontId="8" fillId="0" borderId="34" xfId="0" applyFont="1" applyBorder="1" applyAlignment="1">
      <alignment horizontal="left" vertical="center"/>
    </xf>
    <xf numFmtId="0" fontId="8" fillId="0" borderId="34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22" xfId="0" applyFont="1" applyFill="1" applyBorder="1" applyAlignment="1">
      <alignment horizontal="center" vertical="center"/>
    </xf>
    <xf numFmtId="0" fontId="7" fillId="0" borderId="37" xfId="0" applyFont="1" applyFill="1" applyBorder="1" applyAlignment="1">
      <alignment horizontal="center" vertical="center"/>
    </xf>
    <xf numFmtId="0" fontId="11" fillId="0" borderId="26" xfId="0" applyFont="1" applyFill="1" applyBorder="1" applyAlignment="1">
      <alignment horizontal="center" vertical="center"/>
    </xf>
    <xf numFmtId="0" fontId="7" fillId="0" borderId="35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7" fillId="0" borderId="24" xfId="0" applyFont="1" applyFill="1" applyBorder="1" applyAlignment="1">
      <alignment horizontal="left" vertical="center"/>
    </xf>
    <xf numFmtId="0" fontId="7" fillId="0" borderId="52" xfId="0" applyFont="1" applyBorder="1" applyAlignment="1">
      <alignment horizontal="center" vertical="center"/>
    </xf>
    <xf numFmtId="0" fontId="9" fillId="0" borderId="56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9" fillId="6" borderId="58" xfId="0" applyFont="1" applyFill="1" applyBorder="1" applyAlignment="1">
      <alignment horizontal="center" vertical="center"/>
    </xf>
    <xf numFmtId="0" fontId="9" fillId="0" borderId="17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51" xfId="0" applyFont="1" applyFill="1" applyBorder="1" applyAlignment="1">
      <alignment horizontal="center" vertical="center"/>
    </xf>
    <xf numFmtId="0" fontId="9" fillId="0" borderId="28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8" fillId="0" borderId="28" xfId="0" applyFont="1" applyFill="1" applyBorder="1" applyAlignment="1">
      <alignment horizontal="left" vertical="center" wrapText="1"/>
    </xf>
    <xf numFmtId="0" fontId="8" fillId="0" borderId="47" xfId="0" applyFont="1" applyBorder="1" applyAlignment="1">
      <alignment horizontal="left" vertical="center"/>
    </xf>
    <xf numFmtId="0" fontId="7" fillId="0" borderId="47" xfId="0" applyFont="1" applyBorder="1" applyAlignment="1">
      <alignment horizontal="center" vertical="center"/>
    </xf>
    <xf numFmtId="0" fontId="7" fillId="0" borderId="62" xfId="0" applyFont="1" applyFill="1" applyBorder="1" applyAlignment="1">
      <alignment horizontal="center" vertical="center"/>
    </xf>
    <xf numFmtId="0" fontId="7" fillId="0" borderId="61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7" fillId="0" borderId="39" xfId="0" applyFont="1" applyFill="1" applyBorder="1" applyAlignment="1">
      <alignment horizontal="center" vertical="center"/>
    </xf>
    <xf numFmtId="49" fontId="13" fillId="0" borderId="19" xfId="0" applyNumberFormat="1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0" borderId="9" xfId="0" applyFont="1" applyFill="1" applyBorder="1" applyAlignment="1">
      <alignment horizontal="left" vertical="center" wrapText="1"/>
    </xf>
    <xf numFmtId="0" fontId="7" fillId="0" borderId="11" xfId="0" applyFont="1" applyFill="1" applyBorder="1" applyAlignment="1">
      <alignment horizontal="left" vertical="center" wrapText="1"/>
    </xf>
    <xf numFmtId="0" fontId="8" fillId="0" borderId="49" xfId="0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8" fillId="0" borderId="35" xfId="0" applyFont="1" applyBorder="1" applyAlignment="1">
      <alignment horizontal="left" vertical="center"/>
    </xf>
    <xf numFmtId="0" fontId="8" fillId="0" borderId="10" xfId="0" applyFont="1" applyFill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/>
    </xf>
    <xf numFmtId="0" fontId="13" fillId="7" borderId="38" xfId="0" applyFont="1" applyFill="1" applyBorder="1" applyAlignment="1">
      <alignment horizontal="center" vertical="center"/>
    </xf>
    <xf numFmtId="0" fontId="13" fillId="8" borderId="21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 vertical="center"/>
    </xf>
    <xf numFmtId="0" fontId="10" fillId="5" borderId="50" xfId="0" applyFont="1" applyFill="1" applyBorder="1" applyAlignment="1">
      <alignment horizontal="center" vertical="center"/>
    </xf>
    <xf numFmtId="0" fontId="10" fillId="5" borderId="4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0" borderId="39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left" vertical="center" wrapText="1"/>
    </xf>
    <xf numFmtId="0" fontId="6" fillId="0" borderId="40" xfId="0" applyFont="1" applyBorder="1" applyAlignment="1">
      <alignment horizontal="left" vertical="center" wrapText="1"/>
    </xf>
    <xf numFmtId="0" fontId="7" fillId="0" borderId="50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9" fillId="4" borderId="27" xfId="0" applyFont="1" applyFill="1" applyBorder="1" applyAlignment="1">
      <alignment horizontal="center" vertical="center" wrapText="1"/>
    </xf>
    <xf numFmtId="0" fontId="9" fillId="4" borderId="4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0" fillId="2" borderId="50" xfId="0" applyFont="1" applyFill="1" applyBorder="1" applyAlignment="1">
      <alignment horizontal="center" vertical="center"/>
    </xf>
    <xf numFmtId="0" fontId="10" fillId="2" borderId="43" xfId="0" applyFont="1" applyFill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right" vertical="center"/>
    </xf>
    <xf numFmtId="0" fontId="7" fillId="0" borderId="5" xfId="0" applyFont="1" applyBorder="1" applyAlignment="1">
      <alignment horizontal="right" vertical="center"/>
    </xf>
    <xf numFmtId="0" fontId="14" fillId="2" borderId="18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"/>
  <sheetViews>
    <sheetView tabSelected="1" view="pageBreakPreview" zoomScale="70" zoomScaleNormal="73" zoomScaleSheetLayoutView="70" workbookViewId="0">
      <selection activeCell="D7" sqref="D7"/>
    </sheetView>
  </sheetViews>
  <sheetFormatPr defaultColWidth="9" defaultRowHeight="15.6" x14ac:dyDescent="0.4"/>
  <cols>
    <col min="1" max="1" width="8" style="2" customWidth="1"/>
    <col min="2" max="2" width="18.69921875" style="2" customWidth="1"/>
    <col min="3" max="3" width="11.69921875" style="2" customWidth="1"/>
    <col min="4" max="4" width="68.69921875" style="2" customWidth="1"/>
    <col min="5" max="13" width="11.69921875" style="2" customWidth="1"/>
    <col min="14" max="14" width="11.296875" style="2" customWidth="1"/>
    <col min="15" max="16384" width="9" style="1"/>
  </cols>
  <sheetData>
    <row r="1" spans="1:14" ht="45" customHeight="1" x14ac:dyDescent="0.4">
      <c r="A1" s="248" t="s">
        <v>118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</row>
    <row r="2" spans="1:14" ht="22.2" customHeight="1" thickBot="1" x14ac:dyDescent="0.45">
      <c r="L2" s="249" t="s">
        <v>48</v>
      </c>
      <c r="M2" s="250"/>
      <c r="N2" s="250"/>
    </row>
    <row r="3" spans="1:14" s="2" customFormat="1" ht="25.8" customHeight="1" x14ac:dyDescent="0.4">
      <c r="A3" s="251" t="s">
        <v>0</v>
      </c>
      <c r="B3" s="253" t="s">
        <v>91</v>
      </c>
      <c r="C3" s="255" t="s">
        <v>97</v>
      </c>
      <c r="D3" s="256"/>
      <c r="E3" s="259" t="s">
        <v>7</v>
      </c>
      <c r="F3" s="261" t="s">
        <v>8</v>
      </c>
      <c r="G3" s="255" t="s">
        <v>1</v>
      </c>
      <c r="H3" s="256"/>
      <c r="I3" s="263" t="s">
        <v>2</v>
      </c>
      <c r="J3" s="264"/>
      <c r="K3" s="255" t="s">
        <v>3</v>
      </c>
      <c r="L3" s="256"/>
      <c r="M3" s="253" t="s">
        <v>4</v>
      </c>
      <c r="N3" s="265" t="s">
        <v>104</v>
      </c>
    </row>
    <row r="4" spans="1:14" s="2" customFormat="1" ht="25.8" customHeight="1" thickBot="1" x14ac:dyDescent="0.45">
      <c r="A4" s="252"/>
      <c r="B4" s="254"/>
      <c r="C4" s="257"/>
      <c r="D4" s="258"/>
      <c r="E4" s="260"/>
      <c r="F4" s="262"/>
      <c r="G4" s="123" t="s">
        <v>5</v>
      </c>
      <c r="H4" s="124" t="s">
        <v>6</v>
      </c>
      <c r="I4" s="125" t="s">
        <v>5</v>
      </c>
      <c r="J4" s="126" t="s">
        <v>6</v>
      </c>
      <c r="K4" s="123" t="s">
        <v>5</v>
      </c>
      <c r="L4" s="124" t="s">
        <v>6</v>
      </c>
      <c r="M4" s="254"/>
      <c r="N4" s="266"/>
    </row>
    <row r="5" spans="1:14" ht="24.6" customHeight="1" thickBot="1" x14ac:dyDescent="0.45">
      <c r="A5" s="234" t="s">
        <v>46</v>
      </c>
      <c r="B5" s="242" t="s">
        <v>9</v>
      </c>
      <c r="C5" s="20" t="s">
        <v>10</v>
      </c>
      <c r="D5" s="155" t="s">
        <v>11</v>
      </c>
      <c r="E5" s="4">
        <v>4</v>
      </c>
      <c r="F5" s="5">
        <v>4</v>
      </c>
      <c r="G5" s="6">
        <v>4</v>
      </c>
      <c r="H5" s="7"/>
      <c r="I5" s="8"/>
      <c r="J5" s="5"/>
      <c r="K5" s="6"/>
      <c r="L5" s="7"/>
      <c r="M5" s="241">
        <f>SUM(G5:L10)</f>
        <v>24</v>
      </c>
      <c r="N5" s="241">
        <v>8</v>
      </c>
    </row>
    <row r="6" spans="1:14" ht="24.6" customHeight="1" thickBot="1" x14ac:dyDescent="0.45">
      <c r="A6" s="235"/>
      <c r="B6" s="242"/>
      <c r="C6" s="23" t="s">
        <v>10</v>
      </c>
      <c r="D6" s="156" t="s">
        <v>12</v>
      </c>
      <c r="E6" s="9">
        <v>4</v>
      </c>
      <c r="F6" s="10">
        <v>4</v>
      </c>
      <c r="G6" s="11"/>
      <c r="H6" s="12">
        <v>4</v>
      </c>
      <c r="I6" s="13"/>
      <c r="J6" s="10"/>
      <c r="K6" s="11"/>
      <c r="L6" s="12"/>
      <c r="M6" s="220"/>
      <c r="N6" s="220"/>
    </row>
    <row r="7" spans="1:14" ht="24.6" customHeight="1" thickBot="1" x14ac:dyDescent="0.45">
      <c r="A7" s="235"/>
      <c r="B7" s="242"/>
      <c r="C7" s="23" t="s">
        <v>13</v>
      </c>
      <c r="D7" s="156" t="s">
        <v>51</v>
      </c>
      <c r="E7" s="9">
        <v>4</v>
      </c>
      <c r="F7" s="10">
        <v>4</v>
      </c>
      <c r="G7" s="11"/>
      <c r="H7" s="12"/>
      <c r="I7" s="13">
        <v>4</v>
      </c>
      <c r="J7" s="10"/>
      <c r="K7" s="11"/>
      <c r="L7" s="12"/>
      <c r="M7" s="220"/>
      <c r="N7" s="220"/>
    </row>
    <row r="8" spans="1:14" ht="24.6" customHeight="1" thickBot="1" x14ac:dyDescent="0.45">
      <c r="A8" s="235"/>
      <c r="B8" s="242"/>
      <c r="C8" s="23" t="s">
        <v>13</v>
      </c>
      <c r="D8" s="156" t="s">
        <v>52</v>
      </c>
      <c r="E8" s="9">
        <v>4</v>
      </c>
      <c r="F8" s="10">
        <v>4</v>
      </c>
      <c r="G8" s="11"/>
      <c r="H8" s="12"/>
      <c r="I8" s="13"/>
      <c r="J8" s="10">
        <v>4</v>
      </c>
      <c r="K8" s="11"/>
      <c r="L8" s="12"/>
      <c r="M8" s="220"/>
      <c r="N8" s="220"/>
    </row>
    <row r="9" spans="1:14" ht="24.6" customHeight="1" thickBot="1" x14ac:dyDescent="0.45">
      <c r="A9" s="235"/>
      <c r="B9" s="242"/>
      <c r="C9" s="23" t="s">
        <v>13</v>
      </c>
      <c r="D9" s="156" t="s">
        <v>14</v>
      </c>
      <c r="E9" s="9">
        <v>4</v>
      </c>
      <c r="F9" s="10">
        <v>4</v>
      </c>
      <c r="G9" s="11"/>
      <c r="H9" s="12"/>
      <c r="I9" s="13"/>
      <c r="J9" s="10"/>
      <c r="K9" s="11">
        <v>4</v>
      </c>
      <c r="L9" s="12"/>
      <c r="M9" s="220"/>
      <c r="N9" s="220"/>
    </row>
    <row r="10" spans="1:14" ht="24.6" customHeight="1" thickBot="1" x14ac:dyDescent="0.45">
      <c r="A10" s="235"/>
      <c r="B10" s="242"/>
      <c r="C10" s="26" t="s">
        <v>54</v>
      </c>
      <c r="D10" s="157" t="s">
        <v>53</v>
      </c>
      <c r="E10" s="14">
        <v>4</v>
      </c>
      <c r="F10" s="15">
        <v>4</v>
      </c>
      <c r="G10" s="16"/>
      <c r="H10" s="17"/>
      <c r="I10" s="18"/>
      <c r="J10" s="15"/>
      <c r="K10" s="205"/>
      <c r="L10" s="207">
        <v>4</v>
      </c>
      <c r="M10" s="239"/>
      <c r="N10" s="239"/>
    </row>
    <row r="11" spans="1:14" ht="24.6" customHeight="1" thickBot="1" x14ac:dyDescent="0.45">
      <c r="A11" s="235"/>
      <c r="B11" s="242" t="s">
        <v>17</v>
      </c>
      <c r="C11" s="20" t="s">
        <v>10</v>
      </c>
      <c r="D11" s="155" t="s">
        <v>18</v>
      </c>
      <c r="E11" s="4">
        <v>4</v>
      </c>
      <c r="F11" s="19">
        <v>3</v>
      </c>
      <c r="G11" s="20">
        <v>3</v>
      </c>
      <c r="H11" s="21"/>
      <c r="I11" s="4"/>
      <c r="J11" s="19"/>
      <c r="K11" s="63"/>
      <c r="L11" s="64"/>
      <c r="M11" s="241">
        <f>SUM(G11:L18)</f>
        <v>28</v>
      </c>
      <c r="N11" s="241">
        <v>8</v>
      </c>
    </row>
    <row r="12" spans="1:14" ht="24.6" customHeight="1" thickBot="1" x14ac:dyDescent="0.45">
      <c r="A12" s="235"/>
      <c r="B12" s="242"/>
      <c r="C12" s="23" t="s">
        <v>10</v>
      </c>
      <c r="D12" s="156" t="s">
        <v>19</v>
      </c>
      <c r="E12" s="9">
        <v>4</v>
      </c>
      <c r="F12" s="22">
        <v>3</v>
      </c>
      <c r="G12" s="23">
        <v>3</v>
      </c>
      <c r="H12" s="24"/>
      <c r="I12" s="9"/>
      <c r="J12" s="22"/>
      <c r="K12" s="66"/>
      <c r="L12" s="67"/>
      <c r="M12" s="220"/>
      <c r="N12" s="220"/>
    </row>
    <row r="13" spans="1:14" ht="24.6" customHeight="1" thickBot="1" x14ac:dyDescent="0.45">
      <c r="A13" s="235"/>
      <c r="B13" s="242"/>
      <c r="C13" s="23" t="s">
        <v>13</v>
      </c>
      <c r="D13" s="156" t="s">
        <v>20</v>
      </c>
      <c r="E13" s="9">
        <v>4</v>
      </c>
      <c r="F13" s="22">
        <v>3</v>
      </c>
      <c r="G13" s="23"/>
      <c r="H13" s="24">
        <v>3</v>
      </c>
      <c r="I13" s="9"/>
      <c r="J13" s="22"/>
      <c r="K13" s="66"/>
      <c r="L13" s="67"/>
      <c r="M13" s="220"/>
      <c r="N13" s="220"/>
    </row>
    <row r="14" spans="1:14" ht="24.6" customHeight="1" thickBot="1" x14ac:dyDescent="0.45">
      <c r="A14" s="235"/>
      <c r="B14" s="242"/>
      <c r="C14" s="66" t="s">
        <v>55</v>
      </c>
      <c r="D14" s="158" t="s">
        <v>22</v>
      </c>
      <c r="E14" s="9">
        <v>4</v>
      </c>
      <c r="F14" s="22">
        <v>3</v>
      </c>
      <c r="G14" s="23"/>
      <c r="H14" s="24">
        <v>3</v>
      </c>
      <c r="I14" s="9"/>
      <c r="J14" s="22"/>
      <c r="K14" s="66"/>
      <c r="L14" s="67"/>
      <c r="M14" s="220"/>
      <c r="N14" s="220"/>
    </row>
    <row r="15" spans="1:14" ht="24.6" customHeight="1" thickBot="1" x14ac:dyDescent="0.45">
      <c r="A15" s="235"/>
      <c r="B15" s="242"/>
      <c r="C15" s="23" t="s">
        <v>13</v>
      </c>
      <c r="D15" s="156" t="s">
        <v>21</v>
      </c>
      <c r="E15" s="9">
        <v>4</v>
      </c>
      <c r="F15" s="10">
        <v>4</v>
      </c>
      <c r="G15" s="11"/>
      <c r="H15" s="12"/>
      <c r="I15" s="11">
        <v>4</v>
      </c>
      <c r="J15" s="12"/>
      <c r="K15" s="135"/>
      <c r="L15" s="67"/>
      <c r="M15" s="220"/>
      <c r="N15" s="220"/>
    </row>
    <row r="16" spans="1:14" ht="24.6" customHeight="1" thickBot="1" x14ac:dyDescent="0.45">
      <c r="A16" s="235"/>
      <c r="B16" s="242"/>
      <c r="C16" s="23" t="s">
        <v>13</v>
      </c>
      <c r="D16" s="156" t="s">
        <v>23</v>
      </c>
      <c r="E16" s="9">
        <v>4</v>
      </c>
      <c r="F16" s="10">
        <v>4</v>
      </c>
      <c r="G16" s="11"/>
      <c r="H16" s="12"/>
      <c r="I16" s="11"/>
      <c r="J16" s="12">
        <v>4</v>
      </c>
      <c r="K16" s="135"/>
      <c r="L16" s="67"/>
      <c r="M16" s="220"/>
      <c r="N16" s="220"/>
    </row>
    <row r="17" spans="1:14" ht="24.6" customHeight="1" thickBot="1" x14ac:dyDescent="0.45">
      <c r="A17" s="235"/>
      <c r="B17" s="242"/>
      <c r="C17" s="66" t="s">
        <v>15</v>
      </c>
      <c r="D17" s="158" t="s">
        <v>99</v>
      </c>
      <c r="E17" s="9">
        <v>4</v>
      </c>
      <c r="F17" s="10">
        <v>4</v>
      </c>
      <c r="G17" s="11"/>
      <c r="H17" s="12"/>
      <c r="I17" s="13"/>
      <c r="J17" s="10"/>
      <c r="K17" s="135">
        <v>4</v>
      </c>
      <c r="L17" s="67"/>
      <c r="M17" s="220"/>
      <c r="N17" s="220"/>
    </row>
    <row r="18" spans="1:14" ht="24.6" customHeight="1" thickBot="1" x14ac:dyDescent="0.45">
      <c r="A18" s="235"/>
      <c r="B18" s="242"/>
      <c r="C18" s="58" t="s">
        <v>15</v>
      </c>
      <c r="D18" s="157" t="s">
        <v>100</v>
      </c>
      <c r="E18" s="14">
        <v>4</v>
      </c>
      <c r="F18" s="25">
        <v>4</v>
      </c>
      <c r="G18" s="26"/>
      <c r="H18" s="27"/>
      <c r="I18" s="14"/>
      <c r="J18" s="25"/>
      <c r="K18" s="58"/>
      <c r="L18" s="59">
        <v>4</v>
      </c>
      <c r="M18" s="239"/>
      <c r="N18" s="239"/>
    </row>
    <row r="19" spans="1:14" ht="24.6" customHeight="1" thickBot="1" x14ac:dyDescent="0.45">
      <c r="A19" s="235"/>
      <c r="B19" s="242" t="s">
        <v>26</v>
      </c>
      <c r="C19" s="20" t="s">
        <v>10</v>
      </c>
      <c r="D19" s="155" t="s">
        <v>24</v>
      </c>
      <c r="E19" s="4">
        <v>4</v>
      </c>
      <c r="F19" s="19">
        <v>4</v>
      </c>
      <c r="G19" s="20">
        <v>4</v>
      </c>
      <c r="H19" s="21"/>
      <c r="I19" s="4"/>
      <c r="J19" s="19"/>
      <c r="K19" s="63"/>
      <c r="L19" s="64"/>
      <c r="M19" s="241">
        <f>SUM(G19:L24)</f>
        <v>24</v>
      </c>
      <c r="N19" s="241">
        <v>8</v>
      </c>
    </row>
    <row r="20" spans="1:14" ht="24.6" customHeight="1" thickBot="1" x14ac:dyDescent="0.45">
      <c r="A20" s="235"/>
      <c r="B20" s="242"/>
      <c r="C20" s="23" t="s">
        <v>10</v>
      </c>
      <c r="D20" s="156" t="s">
        <v>25</v>
      </c>
      <c r="E20" s="9">
        <v>4</v>
      </c>
      <c r="F20" s="22">
        <v>4</v>
      </c>
      <c r="G20" s="23"/>
      <c r="H20" s="24">
        <v>4</v>
      </c>
      <c r="I20" s="9" t="s">
        <v>116</v>
      </c>
      <c r="J20" s="22"/>
      <c r="K20" s="66"/>
      <c r="L20" s="67"/>
      <c r="M20" s="220"/>
      <c r="N20" s="220"/>
    </row>
    <row r="21" spans="1:14" ht="24.6" customHeight="1" thickBot="1" x14ac:dyDescent="0.45">
      <c r="A21" s="235"/>
      <c r="B21" s="242"/>
      <c r="C21" s="23" t="s">
        <v>13</v>
      </c>
      <c r="D21" s="158" t="s">
        <v>105</v>
      </c>
      <c r="E21" s="9">
        <v>4</v>
      </c>
      <c r="F21" s="22">
        <v>4</v>
      </c>
      <c r="G21" s="23"/>
      <c r="H21" s="24"/>
      <c r="I21" s="23">
        <v>4</v>
      </c>
      <c r="J21" s="24"/>
      <c r="K21" s="66"/>
      <c r="L21" s="67"/>
      <c r="M21" s="220"/>
      <c r="N21" s="220"/>
    </row>
    <row r="22" spans="1:14" ht="24.6" customHeight="1" thickBot="1" x14ac:dyDescent="0.45">
      <c r="A22" s="235"/>
      <c r="B22" s="242"/>
      <c r="C22" s="23" t="s">
        <v>15</v>
      </c>
      <c r="D22" s="158" t="s">
        <v>98</v>
      </c>
      <c r="E22" s="9">
        <v>4</v>
      </c>
      <c r="F22" s="22">
        <v>4</v>
      </c>
      <c r="G22" s="23"/>
      <c r="H22" s="24"/>
      <c r="I22" s="23"/>
      <c r="J22" s="24">
        <v>4</v>
      </c>
      <c r="K22" s="66"/>
      <c r="L22" s="67"/>
      <c r="M22" s="220"/>
      <c r="N22" s="220"/>
    </row>
    <row r="23" spans="1:14" ht="24.6" customHeight="1" thickBot="1" x14ac:dyDescent="0.45">
      <c r="A23" s="235"/>
      <c r="B23" s="242"/>
      <c r="C23" s="66" t="s">
        <v>15</v>
      </c>
      <c r="D23" s="158" t="s">
        <v>114</v>
      </c>
      <c r="E23" s="9">
        <v>4</v>
      </c>
      <c r="F23" s="22">
        <v>4</v>
      </c>
      <c r="G23" s="23"/>
      <c r="H23" s="24"/>
      <c r="I23" s="9"/>
      <c r="J23" s="22"/>
      <c r="K23" s="66">
        <v>4</v>
      </c>
      <c r="L23" s="67"/>
      <c r="M23" s="220"/>
      <c r="N23" s="220"/>
    </row>
    <row r="24" spans="1:14" ht="24.6" customHeight="1" thickBot="1" x14ac:dyDescent="0.45">
      <c r="A24" s="235"/>
      <c r="B24" s="242"/>
      <c r="C24" s="26" t="s">
        <v>15</v>
      </c>
      <c r="D24" s="157" t="s">
        <v>27</v>
      </c>
      <c r="E24" s="14">
        <v>4</v>
      </c>
      <c r="F24" s="25">
        <v>4</v>
      </c>
      <c r="G24" s="26"/>
      <c r="H24" s="27"/>
      <c r="I24" s="14"/>
      <c r="J24" s="25"/>
      <c r="K24" s="58"/>
      <c r="L24" s="59">
        <v>4</v>
      </c>
      <c r="M24" s="239"/>
      <c r="N24" s="239"/>
    </row>
    <row r="25" spans="1:14" ht="24.6" customHeight="1" x14ac:dyDescent="0.4">
      <c r="A25" s="235"/>
      <c r="B25" s="241" t="s">
        <v>28</v>
      </c>
      <c r="C25" s="20" t="s">
        <v>10</v>
      </c>
      <c r="D25" s="155" t="s">
        <v>92</v>
      </c>
      <c r="E25" s="85">
        <v>3</v>
      </c>
      <c r="F25" s="19">
        <v>3</v>
      </c>
      <c r="G25" s="20"/>
      <c r="H25" s="21"/>
      <c r="I25" s="4">
        <v>3</v>
      </c>
      <c r="J25" s="19"/>
      <c r="K25" s="20"/>
      <c r="L25" s="21"/>
      <c r="M25" s="241">
        <f>SUM(G25:L26)</f>
        <v>6</v>
      </c>
      <c r="N25" s="241">
        <v>6</v>
      </c>
    </row>
    <row r="26" spans="1:14" ht="24.6" customHeight="1" thickBot="1" x14ac:dyDescent="0.45">
      <c r="A26" s="235"/>
      <c r="B26" s="220"/>
      <c r="C26" s="26" t="s">
        <v>10</v>
      </c>
      <c r="D26" s="159" t="s">
        <v>93</v>
      </c>
      <c r="E26" s="57">
        <v>3</v>
      </c>
      <c r="F26" s="25">
        <v>3</v>
      </c>
      <c r="G26" s="26"/>
      <c r="H26" s="27"/>
      <c r="I26" s="14"/>
      <c r="J26" s="25">
        <v>3</v>
      </c>
      <c r="K26" s="26"/>
      <c r="L26" s="27"/>
      <c r="M26" s="220"/>
      <c r="N26" s="220"/>
    </row>
    <row r="27" spans="1:14" ht="24.6" customHeight="1" x14ac:dyDescent="0.4">
      <c r="A27" s="235"/>
      <c r="B27" s="220"/>
      <c r="C27" s="30" t="s">
        <v>10</v>
      </c>
      <c r="D27" s="160" t="s">
        <v>29</v>
      </c>
      <c r="E27" s="53">
        <v>4</v>
      </c>
      <c r="F27" s="29">
        <v>3</v>
      </c>
      <c r="G27" s="30">
        <v>3</v>
      </c>
      <c r="H27" s="31"/>
      <c r="I27" s="28"/>
      <c r="J27" s="29"/>
      <c r="K27" s="30"/>
      <c r="L27" s="31"/>
      <c r="M27" s="241">
        <f>SUM(G27:L28)</f>
        <v>6</v>
      </c>
      <c r="N27" s="241">
        <v>8</v>
      </c>
    </row>
    <row r="28" spans="1:14" ht="24.6" customHeight="1" thickBot="1" x14ac:dyDescent="0.45">
      <c r="A28" s="235"/>
      <c r="B28" s="220"/>
      <c r="C28" s="23" t="s">
        <v>10</v>
      </c>
      <c r="D28" s="156" t="s">
        <v>30</v>
      </c>
      <c r="E28" s="105">
        <v>4</v>
      </c>
      <c r="F28" s="22">
        <v>3</v>
      </c>
      <c r="G28" s="23"/>
      <c r="H28" s="24">
        <v>3</v>
      </c>
      <c r="I28" s="9"/>
      <c r="J28" s="22"/>
      <c r="K28" s="23"/>
      <c r="L28" s="206"/>
      <c r="M28" s="220"/>
      <c r="N28" s="220"/>
    </row>
    <row r="29" spans="1:14" ht="24.6" customHeight="1" x14ac:dyDescent="0.4">
      <c r="A29" s="235"/>
      <c r="B29" s="241" t="s">
        <v>31</v>
      </c>
      <c r="C29" s="20" t="s">
        <v>10</v>
      </c>
      <c r="D29" s="155" t="s">
        <v>32</v>
      </c>
      <c r="E29" s="4">
        <v>4</v>
      </c>
      <c r="F29" s="19">
        <v>3</v>
      </c>
      <c r="G29" s="20">
        <v>3</v>
      </c>
      <c r="H29" s="21"/>
      <c r="I29" s="4"/>
      <c r="J29" s="19"/>
      <c r="K29" s="20"/>
      <c r="L29" s="21"/>
      <c r="M29" s="241">
        <f>SUM(G29:L33)</f>
        <v>11</v>
      </c>
      <c r="N29" s="241">
        <v>10</v>
      </c>
    </row>
    <row r="30" spans="1:14" ht="24.6" customHeight="1" x14ac:dyDescent="0.4">
      <c r="A30" s="235"/>
      <c r="B30" s="220"/>
      <c r="C30" s="23" t="s">
        <v>10</v>
      </c>
      <c r="D30" s="156" t="s">
        <v>33</v>
      </c>
      <c r="E30" s="105">
        <v>4</v>
      </c>
      <c r="F30" s="112">
        <v>3</v>
      </c>
      <c r="G30" s="135"/>
      <c r="H30" s="127">
        <v>3</v>
      </c>
      <c r="I30" s="9"/>
      <c r="J30" s="22"/>
      <c r="K30" s="23"/>
      <c r="L30" s="24"/>
      <c r="M30" s="220"/>
      <c r="N30" s="220"/>
    </row>
    <row r="31" spans="1:14" ht="24.6" customHeight="1" x14ac:dyDescent="0.4">
      <c r="A31" s="235"/>
      <c r="B31" s="220"/>
      <c r="C31" s="23" t="s">
        <v>10</v>
      </c>
      <c r="D31" s="156" t="s">
        <v>34</v>
      </c>
      <c r="E31" s="105">
        <v>1</v>
      </c>
      <c r="F31" s="112">
        <v>1</v>
      </c>
      <c r="G31" s="135">
        <v>1</v>
      </c>
      <c r="H31" s="127"/>
      <c r="I31" s="33"/>
      <c r="J31" s="22"/>
      <c r="K31" s="23"/>
      <c r="L31" s="24"/>
      <c r="M31" s="220"/>
      <c r="N31" s="220"/>
    </row>
    <row r="32" spans="1:14" ht="24.6" customHeight="1" x14ac:dyDescent="0.4">
      <c r="A32" s="235"/>
      <c r="B32" s="220"/>
      <c r="C32" s="40" t="s">
        <v>10</v>
      </c>
      <c r="D32" s="161" t="s">
        <v>35</v>
      </c>
      <c r="E32" s="171">
        <v>1</v>
      </c>
      <c r="F32" s="172">
        <v>1</v>
      </c>
      <c r="G32" s="145">
        <v>1</v>
      </c>
      <c r="H32" s="146"/>
      <c r="I32" s="38"/>
      <c r="J32" s="39"/>
      <c r="K32" s="40"/>
      <c r="L32" s="41"/>
      <c r="M32" s="220"/>
      <c r="N32" s="220"/>
    </row>
    <row r="33" spans="1:14" ht="24.6" customHeight="1" thickBot="1" x14ac:dyDescent="0.45">
      <c r="A33" s="235"/>
      <c r="B33" s="239"/>
      <c r="C33" s="26" t="s">
        <v>13</v>
      </c>
      <c r="D33" s="157" t="s">
        <v>50</v>
      </c>
      <c r="E33" s="18">
        <v>4</v>
      </c>
      <c r="F33" s="15">
        <v>3</v>
      </c>
      <c r="G33" s="16"/>
      <c r="H33" s="17">
        <v>3</v>
      </c>
      <c r="I33" s="42"/>
      <c r="J33" s="25"/>
      <c r="K33" s="26"/>
      <c r="L33" s="59"/>
      <c r="M33" s="239"/>
      <c r="N33" s="239"/>
    </row>
    <row r="34" spans="1:14" ht="24.6" customHeight="1" thickBot="1" x14ac:dyDescent="0.45">
      <c r="A34" s="235"/>
      <c r="B34" s="239" t="s">
        <v>36</v>
      </c>
      <c r="C34" s="30" t="s">
        <v>13</v>
      </c>
      <c r="D34" s="160" t="s">
        <v>37</v>
      </c>
      <c r="E34" s="28">
        <v>3</v>
      </c>
      <c r="F34" s="29">
        <v>2</v>
      </c>
      <c r="G34" s="30">
        <v>2</v>
      </c>
      <c r="H34" s="31"/>
      <c r="I34" s="43"/>
      <c r="J34" s="44"/>
      <c r="K34" s="30"/>
      <c r="L34" s="31"/>
      <c r="M34" s="220">
        <v>10</v>
      </c>
      <c r="N34" s="238">
        <v>10</v>
      </c>
    </row>
    <row r="35" spans="1:14" ht="24.6" customHeight="1" thickBot="1" x14ac:dyDescent="0.45">
      <c r="A35" s="235"/>
      <c r="B35" s="242"/>
      <c r="C35" s="23" t="s">
        <v>13</v>
      </c>
      <c r="D35" s="156" t="s">
        <v>38</v>
      </c>
      <c r="E35" s="9">
        <v>3</v>
      </c>
      <c r="F35" s="22">
        <v>2</v>
      </c>
      <c r="G35" s="23"/>
      <c r="H35" s="24">
        <v>2</v>
      </c>
      <c r="I35" s="33"/>
      <c r="J35" s="45"/>
      <c r="K35" s="23"/>
      <c r="L35" s="24"/>
      <c r="M35" s="220"/>
      <c r="N35" s="243"/>
    </row>
    <row r="36" spans="1:14" ht="24.6" customHeight="1" thickBot="1" x14ac:dyDescent="0.45">
      <c r="A36" s="235"/>
      <c r="B36" s="242"/>
      <c r="C36" s="23" t="s">
        <v>15</v>
      </c>
      <c r="D36" s="156" t="s">
        <v>39</v>
      </c>
      <c r="E36" s="9">
        <v>2</v>
      </c>
      <c r="F36" s="22">
        <v>1</v>
      </c>
      <c r="G36" s="46"/>
      <c r="H36" s="32"/>
      <c r="I36" s="13">
        <v>1</v>
      </c>
      <c r="J36" s="10"/>
      <c r="K36" s="46"/>
      <c r="L36" s="32"/>
      <c r="M36" s="220"/>
      <c r="N36" s="243"/>
    </row>
    <row r="37" spans="1:14" ht="24.6" customHeight="1" thickBot="1" x14ac:dyDescent="0.45">
      <c r="A37" s="235"/>
      <c r="B37" s="242"/>
      <c r="C37" s="23" t="s">
        <v>15</v>
      </c>
      <c r="D37" s="156" t="s">
        <v>40</v>
      </c>
      <c r="E37" s="9">
        <v>2</v>
      </c>
      <c r="F37" s="22">
        <v>1</v>
      </c>
      <c r="G37" s="46"/>
      <c r="H37" s="32"/>
      <c r="I37" s="13"/>
      <c r="J37" s="10">
        <v>1</v>
      </c>
      <c r="K37" s="11"/>
      <c r="L37" s="32"/>
      <c r="M37" s="220"/>
      <c r="N37" s="243"/>
    </row>
    <row r="38" spans="1:14" ht="24.6" customHeight="1" thickBot="1" x14ac:dyDescent="0.45">
      <c r="A38" s="235"/>
      <c r="B38" s="242"/>
      <c r="C38" s="23" t="s">
        <v>54</v>
      </c>
      <c r="D38" s="156" t="s">
        <v>41</v>
      </c>
      <c r="E38" s="9">
        <v>3</v>
      </c>
      <c r="F38" s="22">
        <v>2</v>
      </c>
      <c r="G38" s="23"/>
      <c r="H38" s="24"/>
      <c r="I38" s="33"/>
      <c r="J38" s="45"/>
      <c r="K38" s="11">
        <v>2</v>
      </c>
      <c r="L38" s="12"/>
      <c r="M38" s="220"/>
      <c r="N38" s="243"/>
    </row>
    <row r="39" spans="1:14" ht="24.6" customHeight="1" thickBot="1" x14ac:dyDescent="0.45">
      <c r="A39" s="235"/>
      <c r="B39" s="242"/>
      <c r="C39" s="40" t="s">
        <v>54</v>
      </c>
      <c r="D39" s="161" t="s">
        <v>42</v>
      </c>
      <c r="E39" s="34">
        <v>3</v>
      </c>
      <c r="F39" s="35">
        <v>2</v>
      </c>
      <c r="G39" s="40"/>
      <c r="H39" s="41"/>
      <c r="I39" s="38"/>
      <c r="J39" s="39"/>
      <c r="K39" s="36"/>
      <c r="L39" s="37">
        <v>2</v>
      </c>
      <c r="M39" s="239"/>
      <c r="N39" s="237"/>
    </row>
    <row r="40" spans="1:14" ht="24.6" customHeight="1" x14ac:dyDescent="0.4">
      <c r="A40" s="235"/>
      <c r="B40" s="241" t="s">
        <v>43</v>
      </c>
      <c r="C40" s="20" t="s">
        <v>13</v>
      </c>
      <c r="D40" s="155" t="s">
        <v>56</v>
      </c>
      <c r="E40" s="4">
        <v>3</v>
      </c>
      <c r="F40" s="19">
        <v>2</v>
      </c>
      <c r="G40" s="244" t="s">
        <v>109</v>
      </c>
      <c r="H40" s="245"/>
      <c r="I40" s="20"/>
      <c r="J40" s="21"/>
      <c r="K40" s="20"/>
      <c r="L40" s="21"/>
      <c r="M40" s="241">
        <f>SUM(G40:L41)</f>
        <v>4</v>
      </c>
      <c r="N40" s="240">
        <v>5</v>
      </c>
    </row>
    <row r="41" spans="1:14" ht="24.6" customHeight="1" thickBot="1" x14ac:dyDescent="0.45">
      <c r="A41" s="235"/>
      <c r="B41" s="220"/>
      <c r="C41" s="23" t="s">
        <v>13</v>
      </c>
      <c r="D41" s="156" t="s">
        <v>57</v>
      </c>
      <c r="E41" s="9">
        <v>3</v>
      </c>
      <c r="F41" s="22">
        <v>2</v>
      </c>
      <c r="G41" s="200">
        <v>2</v>
      </c>
      <c r="H41" s="201">
        <v>2</v>
      </c>
      <c r="I41" s="23"/>
      <c r="J41" s="24"/>
      <c r="K41" s="23"/>
      <c r="L41" s="24"/>
      <c r="M41" s="239"/>
      <c r="N41" s="228"/>
    </row>
    <row r="42" spans="1:14" ht="24.6" customHeight="1" thickBot="1" x14ac:dyDescent="0.45">
      <c r="A42" s="235"/>
      <c r="B42" s="193" t="s">
        <v>106</v>
      </c>
      <c r="C42" s="128" t="s">
        <v>13</v>
      </c>
      <c r="D42" s="162" t="s">
        <v>45</v>
      </c>
      <c r="E42" s="47">
        <v>4</v>
      </c>
      <c r="F42" s="48">
        <v>3</v>
      </c>
      <c r="G42" s="218" t="s">
        <v>109</v>
      </c>
      <c r="H42" s="219"/>
      <c r="I42" s="49"/>
      <c r="J42" s="50"/>
      <c r="K42" s="51"/>
      <c r="L42" s="52"/>
      <c r="M42" s="208">
        <v>6</v>
      </c>
      <c r="N42" s="240">
        <v>12</v>
      </c>
    </row>
    <row r="43" spans="1:14" ht="24.6" customHeight="1" thickBot="1" x14ac:dyDescent="0.45">
      <c r="A43" s="235"/>
      <c r="B43" s="141" t="s">
        <v>59</v>
      </c>
      <c r="C43" s="30" t="s">
        <v>13</v>
      </c>
      <c r="D43" s="163" t="s">
        <v>111</v>
      </c>
      <c r="E43" s="28">
        <v>4</v>
      </c>
      <c r="F43" s="29">
        <v>3</v>
      </c>
      <c r="G43" s="202">
        <v>3</v>
      </c>
      <c r="H43" s="203">
        <v>3</v>
      </c>
      <c r="I43" s="53"/>
      <c r="J43" s="54"/>
      <c r="K43" s="55"/>
      <c r="L43" s="56"/>
      <c r="M43" s="209"/>
      <c r="N43" s="228"/>
    </row>
    <row r="44" spans="1:14" ht="24.6" customHeight="1" x14ac:dyDescent="0.4">
      <c r="A44" s="234" t="s">
        <v>47</v>
      </c>
      <c r="B44" s="130" t="s">
        <v>9</v>
      </c>
      <c r="C44" s="20" t="s">
        <v>15</v>
      </c>
      <c r="D44" s="155" t="s">
        <v>16</v>
      </c>
      <c r="E44" s="4">
        <v>4</v>
      </c>
      <c r="F44" s="19">
        <v>3</v>
      </c>
      <c r="G44" s="63"/>
      <c r="H44" s="64"/>
      <c r="I44" s="151" t="s">
        <v>107</v>
      </c>
      <c r="J44" s="65"/>
      <c r="K44" s="63"/>
      <c r="L44" s="64"/>
      <c r="M44" s="208">
        <v>12</v>
      </c>
      <c r="N44" s="68"/>
    </row>
    <row r="45" spans="1:14" ht="24.6" customHeight="1" x14ac:dyDescent="0.4">
      <c r="A45" s="235"/>
      <c r="B45" s="143" t="s">
        <v>17</v>
      </c>
      <c r="C45" s="23" t="s">
        <v>15</v>
      </c>
      <c r="D45" s="158" t="s">
        <v>103</v>
      </c>
      <c r="E45" s="9">
        <v>4</v>
      </c>
      <c r="F45" s="22">
        <v>3</v>
      </c>
      <c r="G45" s="66"/>
      <c r="H45" s="67"/>
      <c r="I45" s="148">
        <v>3</v>
      </c>
      <c r="J45" s="175"/>
      <c r="K45" s="66"/>
      <c r="L45" s="67"/>
      <c r="M45" s="209"/>
      <c r="N45" s="70"/>
    </row>
    <row r="46" spans="1:14" ht="24.6" customHeight="1" x14ac:dyDescent="0.4">
      <c r="A46" s="235"/>
      <c r="B46" s="237" t="s">
        <v>28</v>
      </c>
      <c r="C46" s="23" t="s">
        <v>13</v>
      </c>
      <c r="D46" s="197" t="s">
        <v>77</v>
      </c>
      <c r="E46" s="9">
        <v>4</v>
      </c>
      <c r="F46" s="22">
        <v>3</v>
      </c>
      <c r="G46" s="66"/>
      <c r="H46" s="71"/>
      <c r="I46" s="148">
        <v>3</v>
      </c>
      <c r="J46" s="72"/>
      <c r="K46" s="73"/>
      <c r="L46" s="67"/>
      <c r="M46" s="209"/>
      <c r="N46" s="70"/>
    </row>
    <row r="47" spans="1:14" ht="24.6" customHeight="1" x14ac:dyDescent="0.4">
      <c r="A47" s="235"/>
      <c r="B47" s="238"/>
      <c r="C47" s="23" t="s">
        <v>15</v>
      </c>
      <c r="D47" s="156" t="s">
        <v>72</v>
      </c>
      <c r="E47" s="9">
        <v>4</v>
      </c>
      <c r="F47" s="22">
        <v>3</v>
      </c>
      <c r="G47" s="66"/>
      <c r="H47" s="71"/>
      <c r="I47" s="150">
        <v>3</v>
      </c>
      <c r="J47" s="72"/>
      <c r="K47" s="73"/>
      <c r="L47" s="67"/>
      <c r="M47" s="209"/>
      <c r="N47" s="70"/>
    </row>
    <row r="48" spans="1:14" ht="24.6" customHeight="1" thickBot="1" x14ac:dyDescent="0.45">
      <c r="A48" s="235"/>
      <c r="B48" s="220" t="s">
        <v>31</v>
      </c>
      <c r="C48" s="90" t="s">
        <v>13</v>
      </c>
      <c r="D48" s="177" t="s">
        <v>78</v>
      </c>
      <c r="E48" s="178">
        <v>4</v>
      </c>
      <c r="F48" s="91">
        <v>3</v>
      </c>
      <c r="G48" s="92"/>
      <c r="H48" s="93"/>
      <c r="I48" s="148">
        <v>3</v>
      </c>
      <c r="J48" s="179"/>
      <c r="K48" s="180"/>
      <c r="L48" s="82"/>
      <c r="M48" s="209"/>
      <c r="N48" s="142"/>
    </row>
    <row r="49" spans="1:14" ht="24.6" customHeight="1" thickBot="1" x14ac:dyDescent="0.45">
      <c r="A49" s="235"/>
      <c r="B49" s="239"/>
      <c r="C49" s="26" t="s">
        <v>15</v>
      </c>
      <c r="D49" s="198" t="s">
        <v>110</v>
      </c>
      <c r="E49" s="14">
        <v>4</v>
      </c>
      <c r="F49" s="27">
        <v>3</v>
      </c>
      <c r="G49" s="58"/>
      <c r="H49" s="59"/>
      <c r="I49" s="149"/>
      <c r="J49" s="195" t="s">
        <v>107</v>
      </c>
      <c r="K49" s="69"/>
      <c r="L49" s="59"/>
      <c r="M49" s="210"/>
      <c r="N49" s="89"/>
    </row>
    <row r="50" spans="1:14" ht="25.2" customHeight="1" x14ac:dyDescent="0.4">
      <c r="A50" s="235"/>
      <c r="B50" s="140" t="s">
        <v>108</v>
      </c>
      <c r="C50" s="30" t="s">
        <v>15</v>
      </c>
      <c r="D50" s="160" t="s">
        <v>112</v>
      </c>
      <c r="E50" s="28">
        <v>4</v>
      </c>
      <c r="F50" s="29">
        <v>3</v>
      </c>
      <c r="G50" s="55"/>
      <c r="H50" s="56"/>
      <c r="I50" s="173"/>
      <c r="J50" s="154"/>
      <c r="K50" s="73"/>
      <c r="L50" s="67"/>
      <c r="M50" s="209">
        <v>21</v>
      </c>
      <c r="N50" s="76"/>
    </row>
    <row r="51" spans="1:14" ht="24.6" customHeight="1" thickBot="1" x14ac:dyDescent="0.45">
      <c r="A51" s="235"/>
      <c r="B51" s="143" t="s">
        <v>28</v>
      </c>
      <c r="C51" s="23" t="s">
        <v>15</v>
      </c>
      <c r="D51" s="176" t="s">
        <v>79</v>
      </c>
      <c r="E51" s="9">
        <v>4</v>
      </c>
      <c r="F51" s="24">
        <v>3</v>
      </c>
      <c r="G51" s="66"/>
      <c r="H51" s="67"/>
      <c r="I51" s="73"/>
      <c r="J51" s="154">
        <v>3</v>
      </c>
      <c r="K51" s="184"/>
      <c r="L51" s="67"/>
      <c r="M51" s="209"/>
      <c r="N51" s="76"/>
    </row>
    <row r="52" spans="1:14" ht="24.6" customHeight="1" x14ac:dyDescent="0.4">
      <c r="A52" s="235"/>
      <c r="B52" s="144" t="s">
        <v>31</v>
      </c>
      <c r="C52" s="23" t="s">
        <v>15</v>
      </c>
      <c r="D52" s="176" t="s">
        <v>80</v>
      </c>
      <c r="E52" s="9">
        <v>4</v>
      </c>
      <c r="F52" s="24">
        <v>3</v>
      </c>
      <c r="G52" s="66"/>
      <c r="H52" s="67"/>
      <c r="I52" s="73"/>
      <c r="J52" s="152">
        <v>3</v>
      </c>
      <c r="K52" s="181" t="s">
        <v>49</v>
      </c>
      <c r="L52" s="56"/>
      <c r="M52" s="209"/>
      <c r="N52" s="76"/>
    </row>
    <row r="53" spans="1:14" ht="24.6" customHeight="1" x14ac:dyDescent="0.4">
      <c r="A53" s="235"/>
      <c r="B53" s="113" t="s">
        <v>106</v>
      </c>
      <c r="C53" s="23" t="s">
        <v>15</v>
      </c>
      <c r="D53" s="176" t="s">
        <v>115</v>
      </c>
      <c r="E53" s="9">
        <v>4</v>
      </c>
      <c r="F53" s="24">
        <v>3</v>
      </c>
      <c r="G53" s="66"/>
      <c r="H53" s="67"/>
      <c r="I53" s="183"/>
      <c r="J53" s="152">
        <v>3</v>
      </c>
      <c r="K53" s="136"/>
      <c r="L53" s="67"/>
      <c r="M53" s="209"/>
      <c r="N53" s="76"/>
    </row>
    <row r="54" spans="1:14" ht="24.6" customHeight="1" x14ac:dyDescent="0.4">
      <c r="A54" s="235"/>
      <c r="B54" s="235" t="s">
        <v>59</v>
      </c>
      <c r="C54" s="30" t="s">
        <v>13</v>
      </c>
      <c r="D54" s="168" t="s">
        <v>63</v>
      </c>
      <c r="E54" s="28">
        <v>4</v>
      </c>
      <c r="F54" s="31">
        <v>3</v>
      </c>
      <c r="G54" s="55"/>
      <c r="H54" s="56"/>
      <c r="I54" s="182"/>
      <c r="J54" s="152">
        <v>3</v>
      </c>
      <c r="K54" s="137">
        <v>3</v>
      </c>
      <c r="L54" s="56"/>
      <c r="M54" s="209"/>
      <c r="N54" s="76"/>
    </row>
    <row r="55" spans="1:14" ht="24.6" customHeight="1" thickBot="1" x14ac:dyDescent="0.45">
      <c r="A55" s="235"/>
      <c r="B55" s="236"/>
      <c r="C55" s="129" t="s">
        <v>55</v>
      </c>
      <c r="D55" s="164" t="s">
        <v>94</v>
      </c>
      <c r="E55" s="60">
        <v>4</v>
      </c>
      <c r="F55" s="80">
        <v>3</v>
      </c>
      <c r="G55" s="81"/>
      <c r="H55" s="82"/>
      <c r="I55" s="83"/>
      <c r="J55" s="153"/>
      <c r="K55" s="137"/>
      <c r="L55" s="67"/>
      <c r="M55" s="209"/>
      <c r="N55" s="76"/>
    </row>
    <row r="56" spans="1:14" ht="24.6" customHeight="1" x14ac:dyDescent="0.4">
      <c r="A56" s="235"/>
      <c r="B56" s="139" t="s">
        <v>17</v>
      </c>
      <c r="C56" s="6" t="s">
        <v>15</v>
      </c>
      <c r="D56" s="186" t="s">
        <v>101</v>
      </c>
      <c r="E56" s="4">
        <v>4</v>
      </c>
      <c r="F56" s="21">
        <v>3</v>
      </c>
      <c r="G56" s="85"/>
      <c r="H56" s="64"/>
      <c r="I56" s="79"/>
      <c r="J56" s="86"/>
      <c r="K56" s="137">
        <v>3</v>
      </c>
      <c r="L56" s="64"/>
      <c r="M56" s="209"/>
      <c r="N56" s="76"/>
    </row>
    <row r="57" spans="1:14" ht="24.6" customHeight="1" x14ac:dyDescent="0.4">
      <c r="A57" s="235"/>
      <c r="B57" s="237" t="s">
        <v>28</v>
      </c>
      <c r="C57" s="11" t="s">
        <v>13</v>
      </c>
      <c r="D57" s="158" t="s">
        <v>71</v>
      </c>
      <c r="E57" s="9">
        <v>4</v>
      </c>
      <c r="F57" s="24">
        <v>3</v>
      </c>
      <c r="G57" s="105"/>
      <c r="H57" s="67"/>
      <c r="I57" s="183"/>
      <c r="J57" s="147"/>
      <c r="K57" s="137"/>
      <c r="L57" s="67"/>
      <c r="M57" s="209"/>
      <c r="N57" s="76"/>
    </row>
    <row r="58" spans="1:14" ht="24.6" customHeight="1" x14ac:dyDescent="0.4">
      <c r="A58" s="235"/>
      <c r="B58" s="238"/>
      <c r="C58" s="132" t="s">
        <v>15</v>
      </c>
      <c r="D58" s="187" t="s">
        <v>81</v>
      </c>
      <c r="E58" s="28">
        <v>4</v>
      </c>
      <c r="F58" s="31">
        <v>3</v>
      </c>
      <c r="G58" s="53"/>
      <c r="H58" s="56"/>
      <c r="I58" s="182"/>
      <c r="J58" s="185"/>
      <c r="K58" s="137">
        <v>3</v>
      </c>
      <c r="L58" s="67"/>
      <c r="M58" s="209"/>
      <c r="N58" s="76"/>
    </row>
    <row r="59" spans="1:14" ht="24.6" customHeight="1" thickBot="1" x14ac:dyDescent="0.45">
      <c r="A59" s="235"/>
      <c r="B59" s="142" t="s">
        <v>31</v>
      </c>
      <c r="C59" s="129" t="s">
        <v>15</v>
      </c>
      <c r="D59" s="164" t="s">
        <v>102</v>
      </c>
      <c r="E59" s="60">
        <v>4</v>
      </c>
      <c r="F59" s="199">
        <v>3</v>
      </c>
      <c r="G59" s="61"/>
      <c r="H59" s="62"/>
      <c r="I59" s="87"/>
      <c r="J59" s="88"/>
      <c r="K59" s="138"/>
      <c r="L59" s="56"/>
      <c r="M59" s="210"/>
      <c r="N59" s="89"/>
    </row>
    <row r="60" spans="1:14" ht="24.6" customHeight="1" x14ac:dyDescent="0.4">
      <c r="A60" s="235"/>
      <c r="B60" s="241" t="s">
        <v>28</v>
      </c>
      <c r="C60" s="131" t="s">
        <v>15</v>
      </c>
      <c r="D60" s="188" t="s">
        <v>76</v>
      </c>
      <c r="E60" s="131">
        <v>4</v>
      </c>
      <c r="F60" s="189">
        <v>3</v>
      </c>
      <c r="G60" s="78"/>
      <c r="H60" s="77"/>
      <c r="I60" s="84"/>
      <c r="J60" s="190"/>
      <c r="K60" s="133" t="s">
        <v>62</v>
      </c>
      <c r="L60" s="94"/>
      <c r="M60" s="209" t="s">
        <v>65</v>
      </c>
      <c r="N60" s="76"/>
    </row>
    <row r="61" spans="1:14" ht="24.6" customHeight="1" x14ac:dyDescent="0.4">
      <c r="A61" s="235"/>
      <c r="B61" s="238"/>
      <c r="C61" s="23" t="s">
        <v>54</v>
      </c>
      <c r="D61" s="204" t="s">
        <v>73</v>
      </c>
      <c r="E61" s="11">
        <v>4</v>
      </c>
      <c r="F61" s="10">
        <v>3</v>
      </c>
      <c r="G61" s="191"/>
      <c r="H61" s="67"/>
      <c r="I61" s="66"/>
      <c r="J61" s="71"/>
      <c r="K61" s="211" t="s">
        <v>82</v>
      </c>
      <c r="L61" s="95"/>
      <c r="M61" s="209"/>
      <c r="N61" s="76"/>
    </row>
    <row r="62" spans="1:14" ht="24.6" customHeight="1" x14ac:dyDescent="0.4">
      <c r="A62" s="235"/>
      <c r="B62" s="237" t="s">
        <v>31</v>
      </c>
      <c r="C62" s="30" t="s">
        <v>54</v>
      </c>
      <c r="D62" s="165" t="s">
        <v>74</v>
      </c>
      <c r="E62" s="132">
        <v>4</v>
      </c>
      <c r="F62" s="96">
        <v>4</v>
      </c>
      <c r="G62" s="97"/>
      <c r="H62" s="56"/>
      <c r="I62" s="98"/>
      <c r="J62" s="56"/>
      <c r="K62" s="212"/>
      <c r="L62" s="99"/>
      <c r="M62" s="209"/>
      <c r="N62" s="76"/>
    </row>
    <row r="63" spans="1:14" ht="24.6" customHeight="1" x14ac:dyDescent="0.4">
      <c r="A63" s="235"/>
      <c r="B63" s="220"/>
      <c r="C63" s="30" t="s">
        <v>54</v>
      </c>
      <c r="D63" s="165" t="s">
        <v>69</v>
      </c>
      <c r="E63" s="132">
        <v>4</v>
      </c>
      <c r="F63" s="96">
        <v>3</v>
      </c>
      <c r="G63" s="97"/>
      <c r="H63" s="56"/>
      <c r="I63" s="98"/>
      <c r="J63" s="56"/>
      <c r="K63" s="213"/>
      <c r="L63" s="134" t="s">
        <v>49</v>
      </c>
      <c r="M63" s="209"/>
      <c r="N63" s="76"/>
    </row>
    <row r="64" spans="1:14" ht="24.6" customHeight="1" x14ac:dyDescent="0.4">
      <c r="A64" s="235"/>
      <c r="B64" s="238"/>
      <c r="C64" s="23" t="s">
        <v>54</v>
      </c>
      <c r="D64" s="204" t="s">
        <v>75</v>
      </c>
      <c r="E64" s="11">
        <v>4</v>
      </c>
      <c r="F64" s="10">
        <v>4</v>
      </c>
      <c r="G64" s="191"/>
      <c r="H64" s="67"/>
      <c r="I64" s="174"/>
      <c r="J64" s="67"/>
      <c r="K64" s="194"/>
      <c r="L64" s="214" t="s">
        <v>86</v>
      </c>
      <c r="M64" s="209"/>
      <c r="N64" s="76"/>
    </row>
    <row r="65" spans="1:14" ht="50.4" customHeight="1" thickBot="1" x14ac:dyDescent="0.45">
      <c r="A65" s="235"/>
      <c r="B65" s="74" t="s">
        <v>28</v>
      </c>
      <c r="C65" s="30" t="s">
        <v>54</v>
      </c>
      <c r="D65" s="166" t="s">
        <v>117</v>
      </c>
      <c r="E65" s="132">
        <v>4</v>
      </c>
      <c r="F65" s="96">
        <v>3</v>
      </c>
      <c r="G65" s="97"/>
      <c r="H65" s="56"/>
      <c r="I65" s="98"/>
      <c r="J65" s="56"/>
      <c r="K65" s="99"/>
      <c r="L65" s="215"/>
      <c r="M65" s="209"/>
      <c r="N65" s="89"/>
    </row>
    <row r="66" spans="1:14" ht="24.6" customHeight="1" x14ac:dyDescent="0.4">
      <c r="A66" s="235"/>
      <c r="B66" s="130" t="s">
        <v>43</v>
      </c>
      <c r="C66" s="20" t="s">
        <v>55</v>
      </c>
      <c r="D66" s="192" t="s">
        <v>83</v>
      </c>
      <c r="E66" s="4">
        <v>3</v>
      </c>
      <c r="F66" s="19">
        <v>2</v>
      </c>
      <c r="G66" s="63"/>
      <c r="H66" s="64"/>
      <c r="I66" s="100" t="s">
        <v>44</v>
      </c>
      <c r="J66" s="101" t="s">
        <v>44</v>
      </c>
      <c r="K66" s="63"/>
      <c r="L66" s="64"/>
      <c r="M66" s="110">
        <v>2</v>
      </c>
      <c r="N66" s="196"/>
    </row>
    <row r="67" spans="1:14" ht="24.6" customHeight="1" x14ac:dyDescent="0.4">
      <c r="A67" s="235"/>
      <c r="B67" s="228" t="s">
        <v>58</v>
      </c>
      <c r="C67" s="132" t="s">
        <v>15</v>
      </c>
      <c r="D67" s="167" t="s">
        <v>61</v>
      </c>
      <c r="E67" s="102">
        <v>3</v>
      </c>
      <c r="F67" s="103">
        <v>2</v>
      </c>
      <c r="G67" s="55"/>
      <c r="H67" s="56"/>
      <c r="I67" s="230">
        <v>2</v>
      </c>
      <c r="J67" s="216">
        <v>2</v>
      </c>
      <c r="K67" s="55"/>
      <c r="L67" s="56"/>
      <c r="M67" s="209">
        <v>6</v>
      </c>
      <c r="N67" s="220"/>
    </row>
    <row r="68" spans="1:14" ht="24.6" customHeight="1" x14ac:dyDescent="0.4">
      <c r="A68" s="235"/>
      <c r="B68" s="229"/>
      <c r="C68" s="132" t="s">
        <v>54</v>
      </c>
      <c r="D68" s="167" t="s">
        <v>64</v>
      </c>
      <c r="E68" s="102">
        <v>3</v>
      </c>
      <c r="F68" s="103">
        <v>2</v>
      </c>
      <c r="G68" s="53"/>
      <c r="H68" s="56"/>
      <c r="I68" s="230"/>
      <c r="J68" s="217"/>
      <c r="K68" s="55"/>
      <c r="L68" s="56"/>
      <c r="M68" s="209"/>
      <c r="N68" s="220"/>
    </row>
    <row r="69" spans="1:14" ht="24.6" customHeight="1" x14ac:dyDescent="0.4">
      <c r="A69" s="235"/>
      <c r="B69" s="229"/>
      <c r="C69" s="30" t="s">
        <v>15</v>
      </c>
      <c r="D69" s="168" t="s">
        <v>84</v>
      </c>
      <c r="E69" s="102">
        <v>3</v>
      </c>
      <c r="F69" s="103">
        <v>2</v>
      </c>
      <c r="G69" s="53"/>
      <c r="H69" s="56"/>
      <c r="I69" s="230"/>
      <c r="J69" s="104"/>
      <c r="K69" s="55"/>
      <c r="L69" s="75" t="s">
        <v>62</v>
      </c>
      <c r="M69" s="209"/>
      <c r="N69" s="220"/>
    </row>
    <row r="70" spans="1:14" ht="24.6" customHeight="1" x14ac:dyDescent="0.4">
      <c r="A70" s="235"/>
      <c r="B70" s="229"/>
      <c r="C70" s="30" t="s">
        <v>54</v>
      </c>
      <c r="D70" s="169" t="s">
        <v>70</v>
      </c>
      <c r="E70" s="11">
        <v>3</v>
      </c>
      <c r="F70" s="103">
        <v>2</v>
      </c>
      <c r="G70" s="53"/>
      <c r="H70" s="56"/>
      <c r="I70" s="231"/>
      <c r="J70" s="104"/>
      <c r="K70" s="55"/>
      <c r="L70" s="232" t="s">
        <v>87</v>
      </c>
      <c r="M70" s="209"/>
      <c r="N70" s="220"/>
    </row>
    <row r="71" spans="1:14" ht="24.6" customHeight="1" thickBot="1" x14ac:dyDescent="0.45">
      <c r="A71" s="236"/>
      <c r="B71" s="229"/>
      <c r="C71" s="23" t="s">
        <v>13</v>
      </c>
      <c r="D71" s="170" t="s">
        <v>68</v>
      </c>
      <c r="E71" s="11">
        <v>3</v>
      </c>
      <c r="F71" s="12">
        <v>2</v>
      </c>
      <c r="G71" s="105"/>
      <c r="H71" s="56"/>
      <c r="I71" s="54"/>
      <c r="J71" s="106"/>
      <c r="K71" s="55"/>
      <c r="L71" s="233"/>
      <c r="M71" s="209"/>
      <c r="N71" s="220"/>
    </row>
    <row r="72" spans="1:14" ht="24.6" customHeight="1" x14ac:dyDescent="0.4">
      <c r="A72" s="224" t="s">
        <v>96</v>
      </c>
      <c r="B72" s="225"/>
      <c r="C72" s="225"/>
      <c r="D72" s="225"/>
      <c r="E72" s="107"/>
      <c r="F72" s="108"/>
      <c r="G72" s="63">
        <f>SUM(G5:G71)</f>
        <v>29</v>
      </c>
      <c r="H72" s="109">
        <f>SUM(H5:H71)</f>
        <v>30</v>
      </c>
      <c r="I72" s="63">
        <v>30</v>
      </c>
      <c r="J72" s="64">
        <v>30</v>
      </c>
      <c r="K72" s="63" t="s">
        <v>66</v>
      </c>
      <c r="L72" s="64" t="s">
        <v>67</v>
      </c>
      <c r="M72" s="110" t="s">
        <v>85</v>
      </c>
      <c r="N72" s="111"/>
    </row>
    <row r="73" spans="1:14" ht="24.6" customHeight="1" x14ac:dyDescent="0.4">
      <c r="A73" s="226" t="s">
        <v>60</v>
      </c>
      <c r="B73" s="227"/>
      <c r="C73" s="227"/>
      <c r="D73" s="227"/>
      <c r="E73" s="115"/>
      <c r="F73" s="116"/>
      <c r="G73" s="66">
        <v>4</v>
      </c>
      <c r="H73" s="112">
        <v>3</v>
      </c>
      <c r="I73" s="66">
        <v>3</v>
      </c>
      <c r="J73" s="67">
        <v>3</v>
      </c>
      <c r="K73" s="66">
        <v>3</v>
      </c>
      <c r="L73" s="67">
        <v>2</v>
      </c>
      <c r="M73" s="113">
        <f>SUM(G73:L73)</f>
        <v>18</v>
      </c>
      <c r="N73" s="114"/>
    </row>
    <row r="74" spans="1:14" ht="24.6" customHeight="1" thickBot="1" x14ac:dyDescent="0.45">
      <c r="A74" s="226" t="s">
        <v>95</v>
      </c>
      <c r="B74" s="227"/>
      <c r="C74" s="227"/>
      <c r="D74" s="227"/>
      <c r="E74" s="115"/>
      <c r="F74" s="116"/>
      <c r="G74" s="117">
        <f>G72+G73</f>
        <v>33</v>
      </c>
      <c r="H74" s="118">
        <f>H72+H73</f>
        <v>33</v>
      </c>
      <c r="I74" s="119">
        <f>I72+I73</f>
        <v>33</v>
      </c>
      <c r="J74" s="120">
        <f>J72+J73</f>
        <v>33</v>
      </c>
      <c r="K74" s="121" t="s">
        <v>88</v>
      </c>
      <c r="L74" s="122" t="s">
        <v>89</v>
      </c>
      <c r="M74" s="113" t="s">
        <v>90</v>
      </c>
      <c r="N74" s="114"/>
    </row>
    <row r="75" spans="1:14" s="3" customFormat="1" ht="123.6" customHeight="1" thickBot="1" x14ac:dyDescent="0.45">
      <c r="A75" s="221" t="s">
        <v>113</v>
      </c>
      <c r="B75" s="222"/>
      <c r="C75" s="222"/>
      <c r="D75" s="222"/>
      <c r="E75" s="222"/>
      <c r="F75" s="222"/>
      <c r="G75" s="222"/>
      <c r="H75" s="222"/>
      <c r="I75" s="222"/>
      <c r="J75" s="222"/>
      <c r="K75" s="222"/>
      <c r="L75" s="222"/>
      <c r="M75" s="222"/>
      <c r="N75" s="223"/>
    </row>
    <row r="76" spans="1:14" x14ac:dyDescent="0.4">
      <c r="A76" s="246"/>
      <c r="B76" s="246"/>
      <c r="C76" s="246"/>
      <c r="D76" s="246"/>
      <c r="E76" s="246"/>
      <c r="F76" s="246"/>
      <c r="G76" s="246"/>
      <c r="H76" s="246"/>
      <c r="I76" s="246"/>
      <c r="J76" s="246"/>
      <c r="K76" s="246"/>
      <c r="L76" s="246"/>
      <c r="M76" s="246"/>
      <c r="N76" s="246"/>
    </row>
    <row r="77" spans="1:14" x14ac:dyDescent="0.4">
      <c r="A77" s="247"/>
      <c r="B77" s="247"/>
      <c r="C77" s="247"/>
      <c r="D77" s="247"/>
      <c r="E77" s="247"/>
      <c r="F77" s="247"/>
      <c r="G77" s="247"/>
      <c r="H77" s="247"/>
      <c r="I77" s="247"/>
      <c r="J77" s="247"/>
      <c r="K77" s="247"/>
      <c r="L77" s="247"/>
      <c r="M77" s="247"/>
      <c r="N77" s="247"/>
    </row>
    <row r="78" spans="1:14" x14ac:dyDescent="0.4">
      <c r="A78" s="247"/>
      <c r="B78" s="247"/>
      <c r="C78" s="247"/>
      <c r="D78" s="247"/>
      <c r="E78" s="247"/>
      <c r="F78" s="247"/>
      <c r="G78" s="247"/>
      <c r="H78" s="247"/>
      <c r="I78" s="247"/>
      <c r="J78" s="247"/>
      <c r="K78" s="247"/>
      <c r="L78" s="247"/>
      <c r="M78" s="247"/>
      <c r="N78" s="247"/>
    </row>
  </sheetData>
  <mergeCells count="63">
    <mergeCell ref="A76:N78"/>
    <mergeCell ref="A1:N1"/>
    <mergeCell ref="L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A5:A43"/>
    <mergeCell ref="N5:N10"/>
    <mergeCell ref="B5:B10"/>
    <mergeCell ref="M5:M10"/>
    <mergeCell ref="N19:N24"/>
    <mergeCell ref="B29:B33"/>
    <mergeCell ref="B19:B24"/>
    <mergeCell ref="M19:M24"/>
    <mergeCell ref="B11:B18"/>
    <mergeCell ref="M11:M18"/>
    <mergeCell ref="N11:N18"/>
    <mergeCell ref="B40:B41"/>
    <mergeCell ref="M40:M41"/>
    <mergeCell ref="N40:N41"/>
    <mergeCell ref="B25:B28"/>
    <mergeCell ref="M25:M26"/>
    <mergeCell ref="N25:N26"/>
    <mergeCell ref="M27:M28"/>
    <mergeCell ref="N27:N28"/>
    <mergeCell ref="M29:M33"/>
    <mergeCell ref="N29:N33"/>
    <mergeCell ref="B34:B39"/>
    <mergeCell ref="M34:M39"/>
    <mergeCell ref="N34:N39"/>
    <mergeCell ref="G40:H40"/>
    <mergeCell ref="A75:N75"/>
    <mergeCell ref="A72:D72"/>
    <mergeCell ref="A73:D73"/>
    <mergeCell ref="A74:D74"/>
    <mergeCell ref="B67:B71"/>
    <mergeCell ref="I67:I70"/>
    <mergeCell ref="L70:L71"/>
    <mergeCell ref="A44:A71"/>
    <mergeCell ref="B54:B55"/>
    <mergeCell ref="B57:B58"/>
    <mergeCell ref="B46:B47"/>
    <mergeCell ref="B48:B49"/>
    <mergeCell ref="B62:B64"/>
    <mergeCell ref="B60:B61"/>
    <mergeCell ref="J67:J68"/>
    <mergeCell ref="M67:M71"/>
    <mergeCell ref="G42:H42"/>
    <mergeCell ref="M42:M43"/>
    <mergeCell ref="N67:N71"/>
    <mergeCell ref="N42:N43"/>
    <mergeCell ref="M44:M49"/>
    <mergeCell ref="M50:M59"/>
    <mergeCell ref="M60:M65"/>
    <mergeCell ref="K61:K63"/>
    <mergeCell ref="L64:L65"/>
  </mergeCells>
  <phoneticPr fontId="1" type="noConversion"/>
  <printOptions horizontalCentered="1" verticalCentered="1" gridLines="1"/>
  <pageMargins left="0.7" right="0.7" top="0.75" bottom="0.75" header="0.3" footer="0.3"/>
  <pageSetup paperSize="12" scale="4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2DB52-4573-44EB-A1AD-5891DDDCC172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기초안</vt:lpstr>
      <vt:lpstr>Sheet1</vt:lpstr>
      <vt:lpstr>기초안!Print_Area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수빈</cp:lastModifiedBy>
  <cp:lastPrinted>2025-08-25T05:16:00Z</cp:lastPrinted>
  <dcterms:created xsi:type="dcterms:W3CDTF">2024-05-21T07:59:19Z</dcterms:created>
  <dcterms:modified xsi:type="dcterms:W3CDTF">2025-12-22T05:33:12Z</dcterms:modified>
</cp:coreProperties>
</file>