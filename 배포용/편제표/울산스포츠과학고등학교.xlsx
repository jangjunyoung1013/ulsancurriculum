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2025교육과정업무\교육과정\편제표\편제표 확정안(12.17기준)\2026학년도\"/>
    </mc:Choice>
  </mc:AlternateContent>
  <xr:revisionPtr revIDLastSave="0" documentId="13_ncr:1_{B4FFB929-3902-47A3-AB85-2DE65635F471}" xr6:coauthVersionLast="36" xr6:coauthVersionMax="36" xr10:uidLastSave="{00000000-0000-0000-0000-000000000000}"/>
  <bookViews>
    <workbookView xWindow="0" yWindow="0" windowWidth="23040" windowHeight="8976" firstSheet="1" activeTab="1" xr2:uid="{00000000-000D-0000-FFFF-FFFF00000000}"/>
  </bookViews>
  <sheets>
    <sheet name="2026학년도 신입생 3개년 편제표(전문과정)" sheetId="4" r:id="rId1"/>
    <sheet name="2026학년도 신입생 3개년 편제표(인재과정)" sheetId="3" r:id="rId2"/>
  </sheets>
  <definedNames>
    <definedName name="_xlnm.Print_Area" localSheetId="1">'2026학년도 신입생 3개년 편제표(인재과정)'!$A$1:$N$80</definedName>
    <definedName name="_xlnm.Print_Area" localSheetId="0">'2026학년도 신입생 3개년 편제표(전문과정)'!$A$1:$N$62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1" i="3" l="1"/>
  <c r="N58" i="4" l="1"/>
  <c r="M30" i="3"/>
  <c r="M28" i="3"/>
  <c r="M23" i="3"/>
  <c r="M21" i="3"/>
  <c r="M19" i="3"/>
  <c r="M17" i="3"/>
  <c r="M13" i="3"/>
  <c r="M9" i="3"/>
  <c r="M5" i="3"/>
  <c r="M52" i="3" l="1"/>
  <c r="M50" i="4" l="1"/>
  <c r="M51" i="4"/>
  <c r="I50" i="4" l="1"/>
  <c r="H76" i="3" l="1"/>
  <c r="I76" i="3"/>
  <c r="J76" i="3"/>
  <c r="K76" i="3"/>
  <c r="L76" i="3"/>
  <c r="H58" i="4" l="1"/>
  <c r="I58" i="4"/>
  <c r="I59" i="4" s="1"/>
  <c r="J58" i="4"/>
  <c r="K58" i="4"/>
  <c r="L58" i="4"/>
  <c r="G58" i="4"/>
  <c r="H50" i="4"/>
  <c r="H59" i="4" s="1"/>
  <c r="J50" i="4"/>
  <c r="K50" i="4"/>
  <c r="L50" i="4"/>
  <c r="G50" i="4"/>
  <c r="G76" i="3"/>
  <c r="M76" i="3" s="1"/>
  <c r="M51" i="3"/>
  <c r="J51" i="3"/>
  <c r="J77" i="3" s="1"/>
  <c r="H51" i="3"/>
  <c r="H77" i="3" s="1"/>
  <c r="K51" i="3"/>
  <c r="L51" i="3"/>
  <c r="L77" i="3" s="1"/>
  <c r="G51" i="3"/>
  <c r="G59" i="4" l="1"/>
  <c r="L59" i="4"/>
  <c r="K59" i="4"/>
  <c r="J61" i="4"/>
  <c r="J59" i="4"/>
  <c r="M77" i="3"/>
  <c r="L61" i="4"/>
  <c r="K61" i="4"/>
  <c r="G77" i="3"/>
  <c r="H61" i="4"/>
  <c r="I61" i="4"/>
  <c r="G61" i="4"/>
  <c r="K77" i="3"/>
  <c r="I77" i="3"/>
  <c r="M58" i="4"/>
  <c r="M59" i="4" s="1"/>
  <c r="M60" i="4"/>
  <c r="M61" i="4" l="1"/>
  <c r="L79" i="3"/>
  <c r="K79" i="3"/>
  <c r="J79" i="3"/>
  <c r="I79" i="3"/>
  <c r="H79" i="3"/>
  <c r="G79" i="3"/>
  <c r="M78" i="3"/>
  <c r="M79" i="3" s="1"/>
</calcChain>
</file>

<file path=xl/sharedStrings.xml><?xml version="1.0" encoding="utf-8"?>
<sst xmlns="http://schemas.openxmlformats.org/spreadsheetml/2006/main" count="340" uniqueCount="145">
  <si>
    <t>구분</t>
    <phoneticPr fontId="2" type="noConversion"/>
  </si>
  <si>
    <t>교과
(군)</t>
    <phoneticPr fontId="2" type="noConversion"/>
  </si>
  <si>
    <t>세부과목</t>
  </si>
  <si>
    <t>1학년</t>
    <phoneticPr fontId="2" type="noConversion"/>
  </si>
  <si>
    <t>2학년</t>
  </si>
  <si>
    <t>3학년</t>
  </si>
  <si>
    <t>1학기</t>
  </si>
  <si>
    <t>2학기</t>
  </si>
  <si>
    <t>국어</t>
  </si>
  <si>
    <t>공통</t>
    <phoneticPr fontId="2" type="noConversion"/>
  </si>
  <si>
    <t>일반</t>
    <phoneticPr fontId="2" type="noConversion"/>
  </si>
  <si>
    <t>수학</t>
  </si>
  <si>
    <t>영어</t>
  </si>
  <si>
    <t>사회</t>
  </si>
  <si>
    <t>과학</t>
    <phoneticPr fontId="2" type="noConversion"/>
  </si>
  <si>
    <t>진로</t>
    <phoneticPr fontId="2" type="noConversion"/>
  </si>
  <si>
    <t>예술</t>
    <phoneticPr fontId="2" type="noConversion"/>
  </si>
  <si>
    <t>음악</t>
    <phoneticPr fontId="2" type="noConversion"/>
  </si>
  <si>
    <t>창의적 체험활동</t>
  </si>
  <si>
    <t>공통국어1</t>
    <phoneticPr fontId="2" type="noConversion"/>
  </si>
  <si>
    <t>공통수학1</t>
    <phoneticPr fontId="2" type="noConversion"/>
  </si>
  <si>
    <t>공통수학2</t>
    <phoneticPr fontId="2" type="noConversion"/>
  </si>
  <si>
    <t>공통영어1</t>
    <phoneticPr fontId="2" type="noConversion"/>
  </si>
  <si>
    <t>공통영어2</t>
    <phoneticPr fontId="2" type="noConversion"/>
  </si>
  <si>
    <t>한국사1</t>
    <phoneticPr fontId="2" type="noConversion"/>
  </si>
  <si>
    <t>한국사2</t>
    <phoneticPr fontId="2" type="noConversion"/>
  </si>
  <si>
    <t>통합사회1</t>
    <phoneticPr fontId="2" type="noConversion"/>
  </si>
  <si>
    <t>통합사회2</t>
    <phoneticPr fontId="2" type="noConversion"/>
  </si>
  <si>
    <t>통합과학1</t>
    <phoneticPr fontId="2" type="noConversion"/>
  </si>
  <si>
    <t>통합과학2</t>
    <phoneticPr fontId="2" type="noConversion"/>
  </si>
  <si>
    <t>기준
학점</t>
    <phoneticPr fontId="2" type="noConversion"/>
  </si>
  <si>
    <t>운영학점</t>
    <phoneticPr fontId="2" type="noConversion"/>
  </si>
  <si>
    <t>이수 
학점</t>
    <phoneticPr fontId="2" type="noConversion"/>
  </si>
  <si>
    <t>필수
이수
학점</t>
    <phoneticPr fontId="2" type="noConversion"/>
  </si>
  <si>
    <t>일반</t>
  </si>
  <si>
    <t>사 회</t>
  </si>
  <si>
    <t>학기별 총 이수 학점</t>
    <phoneticPr fontId="2" type="noConversion"/>
  </si>
  <si>
    <t>국어</t>
    <phoneticPr fontId="2" type="noConversion"/>
  </si>
  <si>
    <t>일반</t>
    <phoneticPr fontId="2" type="noConversion"/>
  </si>
  <si>
    <t>문학</t>
    <phoneticPr fontId="2" type="noConversion"/>
  </si>
  <si>
    <t>대수</t>
    <phoneticPr fontId="2" type="noConversion"/>
  </si>
  <si>
    <t>체육</t>
    <phoneticPr fontId="2" type="noConversion"/>
  </si>
  <si>
    <t>진로와 직업</t>
    <phoneticPr fontId="2" type="noConversion"/>
  </si>
  <si>
    <t>교양</t>
    <phoneticPr fontId="2" type="noConversion"/>
  </si>
  <si>
    <t>택1</t>
    <phoneticPr fontId="2" type="noConversion"/>
  </si>
  <si>
    <t>융합</t>
    <phoneticPr fontId="2" type="noConversion"/>
  </si>
  <si>
    <t>수학</t>
    <phoneticPr fontId="2" type="noConversion"/>
  </si>
  <si>
    <t>일반</t>
    <phoneticPr fontId="2" type="noConversion"/>
  </si>
  <si>
    <t>영어</t>
    <phoneticPr fontId="2" type="noConversion"/>
  </si>
  <si>
    <t>진로</t>
    <phoneticPr fontId="2" type="noConversion"/>
  </si>
  <si>
    <t>일반</t>
    <phoneticPr fontId="2" type="noConversion"/>
  </si>
  <si>
    <t>사회와 문화</t>
    <phoneticPr fontId="2" type="noConversion"/>
  </si>
  <si>
    <t>화법과 언어</t>
    <phoneticPr fontId="2" type="noConversion"/>
  </si>
  <si>
    <t>확률과 통계</t>
    <phoneticPr fontId="2" type="noConversion"/>
  </si>
  <si>
    <t>융합</t>
    <phoneticPr fontId="2" type="noConversion"/>
  </si>
  <si>
    <t>제2외국어</t>
    <phoneticPr fontId="2" type="noConversion"/>
  </si>
  <si>
    <t>교양</t>
    <phoneticPr fontId="2" type="noConversion"/>
  </si>
  <si>
    <t>택2</t>
    <phoneticPr fontId="2" type="noConversion"/>
  </si>
  <si>
    <t>체육1</t>
    <phoneticPr fontId="2" type="noConversion"/>
  </si>
  <si>
    <t>체육2</t>
    <phoneticPr fontId="2" type="noConversion"/>
  </si>
  <si>
    <t>운동과 건강</t>
    <phoneticPr fontId="2" type="noConversion"/>
  </si>
  <si>
    <t>인간과 경제활동, 논술</t>
    <phoneticPr fontId="2" type="noConversion"/>
  </si>
  <si>
    <t>생태과 환경</t>
    <phoneticPr fontId="2" type="noConversion"/>
  </si>
  <si>
    <t>독서와 작문</t>
    <phoneticPr fontId="2" type="noConversion"/>
  </si>
  <si>
    <t>일반</t>
    <phoneticPr fontId="2" type="noConversion"/>
  </si>
  <si>
    <t>택1</t>
    <phoneticPr fontId="2" type="noConversion"/>
  </si>
  <si>
    <t>실생활 영어 회화</t>
    <phoneticPr fontId="2" type="noConversion"/>
  </si>
  <si>
    <t xml:space="preserve"> 경제 수학</t>
    <phoneticPr fontId="2" type="noConversion"/>
  </si>
  <si>
    <t>수학과제 탐구</t>
    <phoneticPr fontId="2" type="noConversion"/>
  </si>
  <si>
    <t>경제 수학</t>
    <phoneticPr fontId="2" type="noConversion"/>
  </si>
  <si>
    <t>문학과 영상</t>
    <phoneticPr fontId="2" type="noConversion"/>
  </si>
  <si>
    <t>독서 토론과 글쓰기</t>
    <phoneticPr fontId="2" type="noConversion"/>
  </si>
  <si>
    <t>영어Ⅰ</t>
    <phoneticPr fontId="2" type="noConversion"/>
  </si>
  <si>
    <t>미적분Ⅰ</t>
    <phoneticPr fontId="2" type="noConversion"/>
  </si>
  <si>
    <t>영어Ⅱ</t>
    <phoneticPr fontId="2" type="noConversion"/>
  </si>
  <si>
    <t>학
교
지
정</t>
    <phoneticPr fontId="2" type="noConversion"/>
  </si>
  <si>
    <t xml:space="preserve">체육계열 </t>
    <phoneticPr fontId="2" type="noConversion"/>
  </si>
  <si>
    <t xml:space="preserve">학
교
지
정
</t>
    <phoneticPr fontId="2" type="noConversion"/>
  </si>
  <si>
    <t xml:space="preserve">학
생
선
택
</t>
    <phoneticPr fontId="2" type="noConversion"/>
  </si>
  <si>
    <t>스포츠 개론</t>
    <phoneticPr fontId="2" type="noConversion"/>
  </si>
  <si>
    <t>스포츠 과학</t>
    <phoneticPr fontId="2" type="noConversion"/>
  </si>
  <si>
    <t>육상</t>
    <phoneticPr fontId="2" type="noConversion"/>
  </si>
  <si>
    <t>체조</t>
    <phoneticPr fontId="2" type="noConversion"/>
  </si>
  <si>
    <t>수상 스포츠</t>
    <phoneticPr fontId="2" type="noConversion"/>
  </si>
  <si>
    <t>택1</t>
    <phoneticPr fontId="2" type="noConversion"/>
  </si>
  <si>
    <t>스포츠 문화</t>
    <phoneticPr fontId="2" type="noConversion"/>
  </si>
  <si>
    <t>스포츠 생활1</t>
    <phoneticPr fontId="2" type="noConversion"/>
  </si>
  <si>
    <t>스포츠 생활2</t>
    <phoneticPr fontId="2" type="noConversion"/>
  </si>
  <si>
    <t>진로</t>
    <phoneticPr fontId="2" type="noConversion"/>
  </si>
  <si>
    <t>진로</t>
    <phoneticPr fontId="2" type="noConversion"/>
  </si>
  <si>
    <t>공통국어2</t>
    <phoneticPr fontId="2" type="noConversion"/>
  </si>
  <si>
    <t>육상 심화☆</t>
    <phoneticPr fontId="2" type="noConversion"/>
  </si>
  <si>
    <t>체조 심화☆</t>
    <phoneticPr fontId="2" type="noConversion"/>
  </si>
  <si>
    <t>육상 고급☆</t>
    <phoneticPr fontId="2" type="noConversion"/>
  </si>
  <si>
    <t>체조 고급☆</t>
    <phoneticPr fontId="2" type="noConversion"/>
  </si>
  <si>
    <t>수상 스포츠 고급☆</t>
    <phoneticPr fontId="2" type="noConversion"/>
  </si>
  <si>
    <t>수상 스포츠 응용☆</t>
    <phoneticPr fontId="2" type="noConversion"/>
  </si>
  <si>
    <t>스포츠 경기 체력</t>
    <phoneticPr fontId="2" type="noConversion"/>
  </si>
  <si>
    <t>스포츠 경기 체력 심화☆</t>
    <phoneticPr fontId="2" type="noConversion"/>
  </si>
  <si>
    <t>스포츠 경기 기술</t>
    <phoneticPr fontId="2" type="noConversion"/>
  </si>
  <si>
    <t>스포츠 경기 기술 심화☆</t>
    <phoneticPr fontId="2" type="noConversion"/>
  </si>
  <si>
    <t>스포츠 경기 분석</t>
    <phoneticPr fontId="2" type="noConversion"/>
  </si>
  <si>
    <t>스포츠 경기 분석 심화☆</t>
    <phoneticPr fontId="2" type="noConversion"/>
  </si>
  <si>
    <t>독서와 작문</t>
    <phoneticPr fontId="2" type="noConversion"/>
  </si>
  <si>
    <t>체육계열 제외 이수 학점 소계</t>
    <phoneticPr fontId="2" type="noConversion"/>
  </si>
  <si>
    <t>체육계열  이수 학점 소계</t>
    <phoneticPr fontId="2" type="noConversion"/>
  </si>
  <si>
    <t>교과(군) 이수 학점 소계</t>
    <phoneticPr fontId="2" type="noConversion"/>
  </si>
  <si>
    <t>교과(군) 이수 학점 소계</t>
    <phoneticPr fontId="2" type="noConversion"/>
  </si>
  <si>
    <t>체육계열 이수 학점 소계</t>
    <phoneticPr fontId="2" type="noConversion"/>
  </si>
  <si>
    <t>영어 독해와 작문</t>
    <phoneticPr fontId="2" type="noConversion"/>
  </si>
  <si>
    <t>스포츠 교육</t>
    <phoneticPr fontId="2" type="noConversion"/>
  </si>
  <si>
    <t>스포츠 생리의학</t>
    <phoneticPr fontId="2" type="noConversion"/>
  </si>
  <si>
    <t>일본어, 중국어</t>
    <phoneticPr fontId="2" type="noConversion"/>
  </si>
  <si>
    <t>스포츠 행정 및 경영</t>
    <phoneticPr fontId="2" type="noConversion"/>
  </si>
  <si>
    <t>기초 종목별(육상 외 13개 종목) 전공 실기☆</t>
    <phoneticPr fontId="2" type="noConversion"/>
  </si>
  <si>
    <t>심화 종목별(육상 외 13개 종목) 전공 실기☆</t>
    <phoneticPr fontId="2" type="noConversion"/>
  </si>
  <si>
    <t>고급 종목별(육상 외 13개 종목) 전공 실기☆</t>
    <phoneticPr fontId="2" type="noConversion"/>
  </si>
  <si>
    <t>종목별(육상 외 13개 종목) 경기 체력☆</t>
    <phoneticPr fontId="2" type="noConversion"/>
  </si>
  <si>
    <t>종목별(육상 외 13개 종목) 경기 기술☆</t>
    <phoneticPr fontId="2" type="noConversion"/>
  </si>
  <si>
    <t>종목별(육상 외 13개종목) 경기 분석☆</t>
    <phoneticPr fontId="2" type="noConversion"/>
  </si>
  <si>
    <t>수상 스포츠 심화☆</t>
    <phoneticPr fontId="2" type="noConversion"/>
  </si>
  <si>
    <t>운동과 건강</t>
    <phoneticPr fontId="2" type="noConversion"/>
  </si>
  <si>
    <t>택3</t>
    <phoneticPr fontId="2" type="noConversion"/>
  </si>
  <si>
    <t xml:space="preserve">  인간과 심리, 교육의 이해, 보건, 인간과 철학, 논리와 사고</t>
    <phoneticPr fontId="2" type="noConversion"/>
  </si>
  <si>
    <t>인간과 심리, 교육의 이해, 보건, 인간과 철학, 논리와 사고</t>
    <phoneticPr fontId="2" type="noConversion"/>
  </si>
  <si>
    <t>진로</t>
    <phoneticPr fontId="2" type="noConversion"/>
  </si>
  <si>
    <t>세포와 물질대사, 역학과 에너지, 물질과 에너지, 지구시스템과학</t>
    <phoneticPr fontId="2" type="noConversion"/>
  </si>
  <si>
    <t>체조 응용☆</t>
    <phoneticPr fontId="2" type="noConversion"/>
  </si>
  <si>
    <t>육상 응용☆</t>
    <phoneticPr fontId="2" type="noConversion"/>
  </si>
  <si>
    <t>음악 감상과 비평</t>
    <phoneticPr fontId="2" type="noConversion"/>
  </si>
  <si>
    <t>일반</t>
    <phoneticPr fontId="2" type="noConversion"/>
  </si>
  <si>
    <t>생명과학, 물리학, 화학, 지구과학</t>
    <phoneticPr fontId="2" type="noConversion"/>
  </si>
  <si>
    <t>과 학</t>
    <phoneticPr fontId="2" type="noConversion"/>
  </si>
  <si>
    <t>사 회</t>
    <phoneticPr fontId="2" type="noConversion"/>
  </si>
  <si>
    <t>현대사회와 윤리</t>
    <phoneticPr fontId="2" type="noConversion"/>
  </si>
  <si>
    <t>세계시민과 지리</t>
    <phoneticPr fontId="2" type="noConversion"/>
  </si>
  <si>
    <t>경제, 법과 사회, 윤리와 사상</t>
    <phoneticPr fontId="2" type="noConversion"/>
  </si>
  <si>
    <t>세계시민과 지리</t>
    <phoneticPr fontId="2" type="noConversion"/>
  </si>
  <si>
    <t>구기·단체 운동☆</t>
    <phoneticPr fontId="2" type="noConversion"/>
  </si>
  <si>
    <t>개인·대인 스포츠☆</t>
    <phoneticPr fontId="2" type="noConversion"/>
  </si>
  <si>
    <r>
      <t>2026학년도 신입생 3개년 교육과정 편제표 인재과정</t>
    </r>
    <r>
      <rPr>
        <b/>
        <sz val="18"/>
        <color rgb="FFFF0000"/>
        <rFont val="맑은 고딕"/>
        <family val="3"/>
        <charset val="129"/>
        <scheme val="major"/>
      </rPr>
      <t xml:space="preserve"> </t>
    </r>
    <r>
      <rPr>
        <b/>
        <sz val="12"/>
        <color rgb="FF0070C0"/>
        <rFont val="맑은 고딕"/>
        <family val="3"/>
        <charset val="129"/>
        <scheme val="major"/>
      </rPr>
      <t xml:space="preserve">      </t>
    </r>
    <phoneticPr fontId="2" type="noConversion"/>
  </si>
  <si>
    <r>
      <t>2026학년도 신입생 3개년 교육과정 편제표 전문과정</t>
    </r>
    <r>
      <rPr>
        <b/>
        <sz val="12"/>
        <color rgb="FF0070C0"/>
        <rFont val="맑은 고딕"/>
        <family val="3"/>
        <charset val="129"/>
        <scheme val="major"/>
      </rPr>
      <t xml:space="preserve">       </t>
    </r>
    <phoneticPr fontId="2" type="noConversion"/>
  </si>
  <si>
    <r>
      <t xml:space="preserve">
</t>
    </r>
    <r>
      <rPr>
        <sz val="9"/>
        <color theme="1"/>
        <rFont val="Segoe UI Symbol"/>
        <family val="3"/>
      </rPr>
      <t>☞</t>
    </r>
    <r>
      <rPr>
        <sz val="9"/>
        <color theme="1"/>
        <rFont val="나눔고딕"/>
        <family val="3"/>
        <charset val="129"/>
      </rPr>
      <t xml:space="preserve"> 표기방법 안내
 </t>
    </r>
    <r>
      <rPr>
        <sz val="9"/>
        <color theme="1"/>
        <rFont val="Segoe UI Symbol"/>
        <family val="3"/>
      </rPr>
      <t>◦</t>
    </r>
    <r>
      <rPr>
        <sz val="9"/>
        <color theme="1"/>
        <rFont val="나눔고딕"/>
        <family val="3"/>
        <charset val="129"/>
      </rPr>
      <t xml:space="preserve"> </t>
    </r>
    <r>
      <rPr>
        <sz val="9"/>
        <color theme="1"/>
        <rFont val="맑은 고딕"/>
        <family val="3"/>
        <charset val="129"/>
      </rPr>
      <t>특목고 과목(보통교과 표6)을</t>
    </r>
    <r>
      <rPr>
        <sz val="9"/>
        <color theme="1"/>
        <rFont val="나눔고딕"/>
        <family val="3"/>
        <charset val="129"/>
      </rPr>
      <t xml:space="preserve"> 진로선택과목으로 가져올 때 * 표기
</t>
    </r>
    <r>
      <rPr>
        <sz val="9"/>
        <color theme="1"/>
        <rFont val="Segoe UI Symbol"/>
        <family val="2"/>
      </rPr>
      <t>◦</t>
    </r>
    <r>
      <rPr>
        <sz val="9"/>
        <color theme="1"/>
        <rFont val="나눔고딕"/>
        <family val="3"/>
        <charset val="129"/>
      </rPr>
      <t xml:space="preserve"> 고시외과목은 </t>
    </r>
    <r>
      <rPr>
        <sz val="9"/>
        <color theme="1"/>
        <rFont val="Segoe UI Symbol"/>
        <family val="2"/>
      </rPr>
      <t>☆</t>
    </r>
    <r>
      <rPr>
        <sz val="9"/>
        <color theme="1"/>
        <rFont val="나눔고딕"/>
        <family val="3"/>
        <charset val="129"/>
      </rPr>
      <t xml:space="preserve"> 표기
 </t>
    </r>
    <r>
      <rPr>
        <sz val="9"/>
        <color theme="1"/>
        <rFont val="Segoe UI Symbol"/>
        <family val="2"/>
      </rPr>
      <t>◦</t>
    </r>
    <r>
      <rPr>
        <sz val="9"/>
        <color theme="1"/>
        <rFont val="나눔고딕"/>
        <family val="3"/>
        <charset val="129"/>
      </rPr>
      <t xml:space="preserve"> 교과특성화학교 관련 과목은 </t>
    </r>
    <r>
      <rPr>
        <sz val="9"/>
        <color theme="1"/>
        <rFont val="Segoe UI Symbol"/>
        <family val="2"/>
      </rPr>
      <t>■</t>
    </r>
    <r>
      <rPr>
        <sz val="9"/>
        <color theme="1"/>
        <rFont val="나눔고딕"/>
        <family val="3"/>
        <charset val="129"/>
      </rPr>
      <t xml:space="preserve"> 표기
</t>
    </r>
    <r>
      <rPr>
        <sz val="9"/>
        <color theme="1"/>
        <rFont val="Segoe UI Symbol"/>
        <family val="2"/>
      </rPr>
      <t>☞</t>
    </r>
    <r>
      <rPr>
        <sz val="9"/>
        <color theme="1"/>
        <rFont val="나눔고딕"/>
        <family val="3"/>
        <charset val="129"/>
      </rPr>
      <t xml:space="preserve"> 교차집중표기법: 교차집중(↔)</t>
    </r>
    <phoneticPr fontId="2" type="noConversion"/>
  </si>
  <si>
    <r>
      <t xml:space="preserve">
</t>
    </r>
    <r>
      <rPr>
        <sz val="9"/>
        <color theme="1"/>
        <rFont val="맑은 고딕"/>
        <family val="3"/>
        <charset val="129"/>
      </rPr>
      <t>&lt;</t>
    </r>
    <r>
      <rPr>
        <sz val="9"/>
        <color theme="1"/>
        <rFont val="나눔고딕"/>
        <family val="3"/>
        <charset val="129"/>
      </rPr>
      <t xml:space="preserve">체육 전공 실기 </t>
    </r>
    <r>
      <rPr>
        <sz val="9"/>
        <color theme="1"/>
        <rFont val="맑은 고딕"/>
        <family val="3"/>
        <charset val="129"/>
      </rPr>
      <t>종목별</t>
    </r>
    <r>
      <rPr>
        <sz val="9"/>
        <color theme="1"/>
        <rFont val="나눔고딕"/>
        <family val="3"/>
        <charset val="129"/>
      </rPr>
      <t>(택1): 14개 전공 실기</t>
    </r>
    <r>
      <rPr>
        <sz val="9"/>
        <color theme="1"/>
        <rFont val="맑은 고딕"/>
        <family val="3"/>
        <charset val="129"/>
      </rPr>
      <t>&gt;</t>
    </r>
    <r>
      <rPr>
        <sz val="9"/>
        <color theme="1"/>
        <rFont val="나눔고딕"/>
        <family val="3"/>
        <charset val="129"/>
      </rPr>
      <t xml:space="preserve">
배구, 수영, 체조, 사격, 레슬링, 역도, 태권도, 카누, 근대5종, 펜싱, 복싱, 양궁, 육상, 유도
</t>
    </r>
    <r>
      <rPr>
        <sz val="9"/>
        <color theme="1"/>
        <rFont val="Segoe UI Symbol"/>
        <family val="3"/>
      </rPr>
      <t>☞</t>
    </r>
    <r>
      <rPr>
        <sz val="9"/>
        <color theme="1"/>
        <rFont val="나눔고딕"/>
        <family val="3"/>
        <charset val="129"/>
      </rPr>
      <t xml:space="preserve"> 표기방법 안내
 </t>
    </r>
    <r>
      <rPr>
        <sz val="9"/>
        <color theme="1"/>
        <rFont val="Segoe UI Symbol"/>
        <family val="3"/>
      </rPr>
      <t>◦</t>
    </r>
    <r>
      <rPr>
        <sz val="9"/>
        <color theme="1"/>
        <rFont val="나눔고딕"/>
        <family val="3"/>
        <charset val="129"/>
      </rPr>
      <t xml:space="preserve"> </t>
    </r>
    <r>
      <rPr>
        <sz val="9"/>
        <color theme="1"/>
        <rFont val="맑은 고딕"/>
        <family val="3"/>
        <charset val="129"/>
      </rPr>
      <t>특목고 과목(보통교과 표6)을</t>
    </r>
    <r>
      <rPr>
        <sz val="9"/>
        <color theme="1"/>
        <rFont val="나눔고딕"/>
        <family val="3"/>
        <charset val="129"/>
      </rPr>
      <t xml:space="preserve"> 진로선택과목으로 가져올 때 * 표기
 </t>
    </r>
    <r>
      <rPr>
        <sz val="9"/>
        <color theme="1"/>
        <rFont val="Segoe UI Symbol"/>
        <family val="2"/>
      </rPr>
      <t>◦</t>
    </r>
    <r>
      <rPr>
        <sz val="9"/>
        <color theme="1"/>
        <rFont val="나눔고딕"/>
        <family val="3"/>
        <charset val="129"/>
      </rPr>
      <t xml:space="preserve"> 고시외과목은 </t>
    </r>
    <r>
      <rPr>
        <sz val="9"/>
        <color theme="1"/>
        <rFont val="Segoe UI Symbol"/>
        <family val="2"/>
      </rPr>
      <t>☆</t>
    </r>
    <r>
      <rPr>
        <sz val="9"/>
        <color theme="1"/>
        <rFont val="나눔고딕"/>
        <family val="3"/>
        <charset val="129"/>
      </rPr>
      <t xml:space="preserve"> 표기
 </t>
    </r>
    <r>
      <rPr>
        <sz val="9"/>
        <color theme="1"/>
        <rFont val="Segoe UI Symbol"/>
        <family val="2"/>
      </rPr>
      <t>◦</t>
    </r>
    <r>
      <rPr>
        <sz val="9"/>
        <color theme="1"/>
        <rFont val="나눔고딕"/>
        <family val="3"/>
        <charset val="129"/>
      </rPr>
      <t xml:space="preserve"> 교과특성화학교 관련 과목은 </t>
    </r>
    <r>
      <rPr>
        <sz val="9"/>
        <color theme="1"/>
        <rFont val="Segoe UI Symbol"/>
        <family val="2"/>
      </rPr>
      <t>■</t>
    </r>
    <r>
      <rPr>
        <sz val="9"/>
        <color theme="1"/>
        <rFont val="나눔고딕"/>
        <family val="3"/>
        <charset val="129"/>
      </rPr>
      <t xml:space="preserve"> 표기
</t>
    </r>
    <r>
      <rPr>
        <sz val="9"/>
        <color theme="1"/>
        <rFont val="Segoe UI Symbol"/>
        <family val="2"/>
      </rPr>
      <t>☞</t>
    </r>
    <r>
      <rPr>
        <sz val="9"/>
        <color theme="1"/>
        <rFont val="나눔고딕"/>
        <family val="3"/>
        <charset val="129"/>
      </rPr>
      <t xml:space="preserve"> 교차집중표기법: 교차집중(↔)</t>
    </r>
    <phoneticPr fontId="2" type="noConversion"/>
  </si>
  <si>
    <t>심화 영어, 영미 문학 읽기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</si>
</sst>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9"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sz val="10"/>
      <color theme="1"/>
      <name val="나눔고딕"/>
      <family val="3"/>
      <charset val="129"/>
    </font>
    <font>
      <sz val="9"/>
      <color theme="1"/>
      <name val="나눔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b/>
      <sz val="12"/>
      <color rgb="FF0070C0"/>
      <name val="맑은 고딕"/>
      <family val="3"/>
      <charset val="129"/>
      <scheme val="major"/>
    </font>
    <font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9"/>
      <color theme="1"/>
      <name val="Segoe UI Symbol"/>
      <family val="3"/>
    </font>
    <font>
      <sz val="9"/>
      <color theme="1"/>
      <name val="Segoe UI Symbol"/>
      <family val="2"/>
    </font>
    <font>
      <b/>
      <sz val="10"/>
      <color theme="1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10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01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76" fontId="3" fillId="0" borderId="0" xfId="0" applyNumberFormat="1" applyFont="1">
      <alignment vertical="center"/>
    </xf>
    <xf numFmtId="176" fontId="7" fillId="0" borderId="16" xfId="0" applyNumberFormat="1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176" fontId="7" fillId="0" borderId="18" xfId="0" applyNumberFormat="1" applyFont="1" applyBorder="1" applyAlignment="1">
      <alignment horizontal="center" vertical="center" wrapText="1"/>
    </xf>
    <xf numFmtId="176" fontId="7" fillId="0" borderId="8" xfId="0" applyNumberFormat="1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176" fontId="7" fillId="0" borderId="10" xfId="0" applyNumberFormat="1" applyFont="1" applyBorder="1" applyAlignment="1">
      <alignment horizontal="center" vertical="center" wrapText="1"/>
    </xf>
    <xf numFmtId="176" fontId="7" fillId="3" borderId="9" xfId="0" applyNumberFormat="1" applyFont="1" applyFill="1" applyBorder="1" applyAlignment="1">
      <alignment horizontal="center" vertical="center" wrapText="1"/>
    </xf>
    <xf numFmtId="176" fontId="7" fillId="3" borderId="10" xfId="0" applyNumberFormat="1" applyFont="1" applyFill="1" applyBorder="1" applyAlignment="1">
      <alignment horizontal="center" vertical="center" wrapText="1"/>
    </xf>
    <xf numFmtId="176" fontId="7" fillId="0" borderId="8" xfId="0" applyNumberFormat="1" applyFont="1" applyFill="1" applyBorder="1" applyAlignment="1">
      <alignment horizontal="center" vertical="center" shrinkToFit="1"/>
    </xf>
    <xf numFmtId="176" fontId="7" fillId="0" borderId="20" xfId="0" applyNumberFormat="1" applyFont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176" fontId="7" fillId="3" borderId="6" xfId="0" applyNumberFormat="1" applyFont="1" applyFill="1" applyBorder="1" applyAlignment="1">
      <alignment horizontal="center" vertical="center" shrinkToFit="1"/>
    </xf>
    <xf numFmtId="176" fontId="7" fillId="3" borderId="7" xfId="0" applyNumberFormat="1" applyFont="1" applyFill="1" applyBorder="1" applyAlignment="1">
      <alignment horizontal="center" vertical="center" shrinkToFit="1"/>
    </xf>
    <xf numFmtId="176" fontId="7" fillId="3" borderId="6" xfId="0" applyNumberFormat="1" applyFont="1" applyFill="1" applyBorder="1" applyAlignment="1">
      <alignment horizontal="center" vertical="center" wrapText="1"/>
    </xf>
    <xf numFmtId="176" fontId="7" fillId="3" borderId="7" xfId="0" applyNumberFormat="1" applyFont="1" applyFill="1" applyBorder="1" applyAlignment="1">
      <alignment horizontal="center" vertical="center" wrapText="1"/>
    </xf>
    <xf numFmtId="176" fontId="7" fillId="0" borderId="17" xfId="0" applyNumberFormat="1" applyFont="1" applyFill="1" applyBorder="1" applyAlignment="1">
      <alignment horizontal="center" vertical="center" wrapText="1"/>
    </xf>
    <xf numFmtId="176" fontId="7" fillId="0" borderId="5" xfId="0" applyNumberFormat="1" applyFont="1" applyFill="1" applyBorder="1" applyAlignment="1">
      <alignment horizontal="center" vertical="center" wrapText="1" shrinkToFit="1"/>
    </xf>
    <xf numFmtId="176" fontId="7" fillId="0" borderId="7" xfId="0" applyNumberFormat="1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176" fontId="7" fillId="0" borderId="9" xfId="0" applyNumberFormat="1" applyFont="1" applyFill="1" applyBorder="1" applyAlignment="1">
      <alignment horizontal="center" vertical="center" wrapText="1"/>
    </xf>
    <xf numFmtId="176" fontId="7" fillId="0" borderId="26" xfId="0" applyNumberFormat="1" applyFont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 vertical="center" wrapText="1"/>
    </xf>
    <xf numFmtId="176" fontId="7" fillId="0" borderId="33" xfId="0" applyNumberFormat="1" applyFont="1" applyFill="1" applyBorder="1" applyAlignment="1">
      <alignment horizontal="center" vertical="center" wrapText="1"/>
    </xf>
    <xf numFmtId="176" fontId="7" fillId="0" borderId="10" xfId="0" applyNumberFormat="1" applyFont="1" applyFill="1" applyBorder="1" applyAlignment="1">
      <alignment horizontal="center" vertical="center" wrapText="1"/>
    </xf>
    <xf numFmtId="176" fontId="7" fillId="0" borderId="9" xfId="0" applyNumberFormat="1" applyFont="1" applyFill="1" applyBorder="1" applyAlignment="1">
      <alignment vertical="center" wrapText="1"/>
    </xf>
    <xf numFmtId="176" fontId="7" fillId="0" borderId="35" xfId="0" applyNumberFormat="1" applyFont="1" applyBorder="1" applyAlignment="1">
      <alignment horizontal="center" vertical="center" wrapText="1"/>
    </xf>
    <xf numFmtId="176" fontId="7" fillId="0" borderId="36" xfId="0" applyNumberFormat="1" applyFont="1" applyBorder="1" applyAlignment="1">
      <alignment horizontal="center" vertical="center" wrapText="1"/>
    </xf>
    <xf numFmtId="176" fontId="7" fillId="0" borderId="36" xfId="0" applyNumberFormat="1" applyFont="1" applyFill="1" applyBorder="1" applyAlignment="1">
      <alignment horizontal="center" vertical="center" wrapText="1"/>
    </xf>
    <xf numFmtId="176" fontId="7" fillId="0" borderId="41" xfId="0" applyNumberFormat="1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7" fillId="3" borderId="3" xfId="0" applyFont="1" applyFill="1" applyBorder="1" applyAlignment="1">
      <alignment horizontal="center" vertical="center" wrapText="1"/>
    </xf>
    <xf numFmtId="176" fontId="7" fillId="3" borderId="5" xfId="0" applyNumberFormat="1" applyFont="1" applyFill="1" applyBorder="1" applyAlignment="1">
      <alignment horizontal="center" vertical="center" wrapText="1"/>
    </xf>
    <xf numFmtId="176" fontId="7" fillId="0" borderId="5" xfId="0" applyNumberFormat="1" applyFont="1" applyFill="1" applyBorder="1" applyAlignment="1">
      <alignment horizontal="center" vertical="center" wrapText="1"/>
    </xf>
    <xf numFmtId="176" fontId="7" fillId="0" borderId="40" xfId="0" applyNumberFormat="1" applyFont="1" applyFill="1" applyBorder="1" applyAlignment="1">
      <alignment horizontal="center" vertical="center" wrapText="1"/>
    </xf>
    <xf numFmtId="176" fontId="7" fillId="0" borderId="16" xfId="0" applyNumberFormat="1" applyFont="1" applyFill="1" applyBorder="1" applyAlignment="1">
      <alignment horizontal="center" vertical="center" wrapText="1" shrinkToFit="1"/>
    </xf>
    <xf numFmtId="176" fontId="7" fillId="0" borderId="15" xfId="0" applyNumberFormat="1" applyFont="1" applyFill="1" applyBorder="1" applyAlignment="1">
      <alignment horizontal="center" vertical="center" wrapText="1"/>
    </xf>
    <xf numFmtId="176" fontId="13" fillId="3" borderId="10" xfId="0" applyNumberFormat="1" applyFont="1" applyFill="1" applyBorder="1" applyAlignment="1">
      <alignment horizontal="center" vertical="center" wrapText="1"/>
    </xf>
    <xf numFmtId="176" fontId="13" fillId="0" borderId="5" xfId="0" applyNumberFormat="1" applyFont="1" applyFill="1" applyBorder="1" applyAlignment="1">
      <alignment horizontal="center" vertical="center" shrinkToFi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31" xfId="0" applyFont="1" applyFill="1" applyBorder="1" applyAlignment="1">
      <alignment horizontal="center" vertical="center" wrapText="1"/>
    </xf>
    <xf numFmtId="176" fontId="13" fillId="3" borderId="6" xfId="0" applyNumberFormat="1" applyFont="1" applyFill="1" applyBorder="1" applyAlignment="1">
      <alignment horizontal="center" vertical="center" shrinkToFit="1"/>
    </xf>
    <xf numFmtId="176" fontId="13" fillId="3" borderId="7" xfId="0" applyNumberFormat="1" applyFont="1" applyFill="1" applyBorder="1" applyAlignment="1">
      <alignment horizontal="center" vertical="center" shrinkToFit="1"/>
    </xf>
    <xf numFmtId="176" fontId="13" fillId="3" borderId="6" xfId="0" applyNumberFormat="1" applyFont="1" applyFill="1" applyBorder="1" applyAlignment="1">
      <alignment horizontal="center" vertical="center" wrapText="1"/>
    </xf>
    <xf numFmtId="176" fontId="13" fillId="3" borderId="7" xfId="0" applyNumberFormat="1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176" fontId="7" fillId="0" borderId="18" xfId="0" applyNumberFormat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76" fontId="7" fillId="0" borderId="12" xfId="0" applyNumberFormat="1" applyFont="1" applyFill="1" applyBorder="1" applyAlignment="1">
      <alignment horizontal="center" vertical="center" shrinkToFit="1"/>
    </xf>
    <xf numFmtId="176" fontId="7" fillId="0" borderId="5" xfId="0" applyNumberFormat="1" applyFont="1" applyFill="1" applyBorder="1" applyAlignment="1">
      <alignment horizontal="center" vertical="center" shrinkToFit="1"/>
    </xf>
    <xf numFmtId="176" fontId="7" fillId="5" borderId="40" xfId="0" applyNumberFormat="1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176" fontId="7" fillId="0" borderId="16" xfId="0" applyNumberFormat="1" applyFont="1" applyFill="1" applyBorder="1" applyAlignment="1">
      <alignment horizontal="center" vertical="center" shrinkToFit="1"/>
    </xf>
    <xf numFmtId="176" fontId="7" fillId="0" borderId="7" xfId="0" applyNumberFormat="1" applyFont="1" applyBorder="1" applyAlignment="1">
      <alignment horizontal="center" vertical="center" wrapText="1"/>
    </xf>
    <xf numFmtId="176" fontId="7" fillId="0" borderId="9" xfId="0" applyNumberFormat="1" applyFont="1" applyBorder="1" applyAlignment="1">
      <alignment horizontal="center" vertical="center" wrapText="1"/>
    </xf>
    <xf numFmtId="176" fontId="7" fillId="0" borderId="34" xfId="0" applyNumberFormat="1" applyFont="1" applyBorder="1" applyAlignment="1">
      <alignment horizontal="center" vertical="center" wrapText="1"/>
    </xf>
    <xf numFmtId="176" fontId="7" fillId="0" borderId="5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176" fontId="7" fillId="0" borderId="45" xfId="0" applyNumberFormat="1" applyFont="1" applyBorder="1" applyAlignment="1">
      <alignment horizontal="center" vertical="center" wrapText="1"/>
    </xf>
    <xf numFmtId="176" fontId="7" fillId="0" borderId="17" xfId="0" applyNumberFormat="1" applyFont="1" applyBorder="1" applyAlignment="1">
      <alignment horizontal="center" vertical="center" wrapText="1"/>
    </xf>
    <xf numFmtId="176" fontId="7" fillId="0" borderId="25" xfId="0" applyNumberFormat="1" applyFont="1" applyBorder="1" applyAlignment="1">
      <alignment horizontal="center" vertical="center" wrapText="1"/>
    </xf>
    <xf numFmtId="176" fontId="8" fillId="2" borderId="53" xfId="0" applyNumberFormat="1" applyFont="1" applyFill="1" applyBorder="1" applyAlignment="1">
      <alignment horizontal="center" vertical="center" shrinkToFit="1"/>
    </xf>
    <xf numFmtId="176" fontId="8" fillId="2" borderId="56" xfId="0" applyNumberFormat="1" applyFont="1" applyFill="1" applyBorder="1" applyAlignment="1">
      <alignment horizontal="center" vertical="center" shrinkToFit="1"/>
    </xf>
    <xf numFmtId="176" fontId="7" fillId="0" borderId="60" xfId="0" applyNumberFormat="1" applyFont="1" applyFill="1" applyBorder="1" applyAlignment="1">
      <alignment horizontal="center" vertical="center" wrapText="1"/>
    </xf>
    <xf numFmtId="0" fontId="7" fillId="3" borderId="60" xfId="0" applyFont="1" applyFill="1" applyBorder="1" applyAlignment="1">
      <alignment horizontal="center" vertical="center" wrapText="1"/>
    </xf>
    <xf numFmtId="0" fontId="7" fillId="3" borderId="61" xfId="0" applyFont="1" applyFill="1" applyBorder="1" applyAlignment="1">
      <alignment horizontal="center" vertical="center" wrapText="1"/>
    </xf>
    <xf numFmtId="176" fontId="7" fillId="0" borderId="62" xfId="0" applyNumberFormat="1" applyFont="1" applyBorder="1" applyAlignment="1">
      <alignment horizontal="center" vertical="center" wrapText="1"/>
    </xf>
    <xf numFmtId="176" fontId="7" fillId="0" borderId="63" xfId="0" applyNumberFormat="1" applyFont="1" applyBorder="1" applyAlignment="1">
      <alignment horizontal="center" vertical="center" wrapText="1"/>
    </xf>
    <xf numFmtId="176" fontId="13" fillId="0" borderId="15" xfId="0" applyNumberFormat="1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 wrapText="1"/>
    </xf>
    <xf numFmtId="176" fontId="7" fillId="3" borderId="2" xfId="0" applyNumberFormat="1" applyFont="1" applyFill="1" applyBorder="1" applyAlignment="1">
      <alignment horizontal="center" vertical="center" wrapText="1"/>
    </xf>
    <xf numFmtId="176" fontId="7" fillId="3" borderId="17" xfId="0" applyNumberFormat="1" applyFont="1" applyFill="1" applyBorder="1" applyAlignment="1">
      <alignment horizontal="center" vertical="center" wrapText="1"/>
    </xf>
    <xf numFmtId="176" fontId="7" fillId="3" borderId="18" xfId="0" applyNumberFormat="1" applyFont="1" applyFill="1" applyBorder="1" applyAlignment="1">
      <alignment horizontal="center" vertical="center" wrapText="1"/>
    </xf>
    <xf numFmtId="176" fontId="7" fillId="0" borderId="15" xfId="0" applyNumberFormat="1" applyFont="1" applyFill="1" applyBorder="1" applyAlignment="1">
      <alignment horizontal="center" vertical="center" shrinkToFit="1"/>
    </xf>
    <xf numFmtId="176" fontId="7" fillId="3" borderId="17" xfId="0" applyNumberFormat="1" applyFont="1" applyFill="1" applyBorder="1" applyAlignment="1">
      <alignment horizontal="center" vertical="center" wrapText="1" shrinkToFit="1"/>
    </xf>
    <xf numFmtId="176" fontId="7" fillId="3" borderId="18" xfId="0" applyNumberFormat="1" applyFont="1" applyFill="1" applyBorder="1" applyAlignment="1">
      <alignment horizontal="center" vertical="center" wrapText="1" shrinkToFit="1"/>
    </xf>
    <xf numFmtId="176" fontId="16" fillId="3" borderId="18" xfId="0" applyNumberFormat="1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 shrinkToFit="1"/>
    </xf>
    <xf numFmtId="176" fontId="7" fillId="3" borderId="2" xfId="0" applyNumberFormat="1" applyFont="1" applyFill="1" applyBorder="1" applyAlignment="1">
      <alignment horizontal="center" vertical="center" shrinkToFit="1"/>
    </xf>
    <xf numFmtId="176" fontId="16" fillId="3" borderId="1" xfId="0" applyNumberFormat="1" applyFont="1" applyFill="1" applyBorder="1" applyAlignment="1">
      <alignment horizontal="center" vertical="center" wrapText="1"/>
    </xf>
    <xf numFmtId="176" fontId="7" fillId="0" borderId="27" xfId="0" applyNumberFormat="1" applyFont="1" applyFill="1" applyBorder="1" applyAlignment="1">
      <alignment horizontal="center" vertical="center" wrapText="1" shrinkToFit="1"/>
    </xf>
    <xf numFmtId="176" fontId="7" fillId="0" borderId="1" xfId="0" applyNumberFormat="1" applyFont="1" applyFill="1" applyBorder="1" applyAlignment="1">
      <alignment horizontal="center" vertical="center" wrapText="1"/>
    </xf>
    <xf numFmtId="176" fontId="7" fillId="0" borderId="66" xfId="0" applyNumberFormat="1" applyFont="1" applyBorder="1" applyAlignment="1">
      <alignment horizontal="center" vertical="center" wrapText="1"/>
    </xf>
    <xf numFmtId="176" fontId="7" fillId="0" borderId="17" xfId="0" applyNumberFormat="1" applyFont="1" applyFill="1" applyBorder="1" applyAlignment="1">
      <alignment vertical="center" wrapText="1"/>
    </xf>
    <xf numFmtId="176" fontId="7" fillId="0" borderId="1" xfId="0" applyNumberFormat="1" applyFont="1" applyFill="1" applyBorder="1" applyAlignment="1">
      <alignment vertical="center" wrapText="1"/>
    </xf>
    <xf numFmtId="176" fontId="7" fillId="0" borderId="44" xfId="0" applyNumberFormat="1" applyFont="1" applyBorder="1" applyAlignment="1">
      <alignment horizontal="center" vertical="center" wrapText="1"/>
    </xf>
    <xf numFmtId="176" fontId="7" fillId="0" borderId="31" xfId="0" applyNumberFormat="1" applyFont="1" applyBorder="1" applyAlignment="1">
      <alignment horizontal="center" vertical="center" wrapText="1"/>
    </xf>
    <xf numFmtId="176" fontId="7" fillId="0" borderId="21" xfId="0" applyNumberFormat="1" applyFont="1" applyFill="1" applyBorder="1" applyAlignment="1">
      <alignment horizontal="center" vertical="center" wrapText="1"/>
    </xf>
    <xf numFmtId="176" fontId="7" fillId="0" borderId="28" xfId="0" applyNumberFormat="1" applyFont="1" applyFill="1" applyBorder="1" applyAlignment="1">
      <alignment horizontal="center" vertical="center" wrapText="1"/>
    </xf>
    <xf numFmtId="176" fontId="7" fillId="0" borderId="54" xfId="0" applyNumberFormat="1" applyFont="1" applyFill="1" applyBorder="1" applyAlignment="1">
      <alignment horizontal="center" vertical="center" wrapText="1"/>
    </xf>
    <xf numFmtId="176" fontId="7" fillId="0" borderId="57" xfId="0" applyNumberFormat="1" applyFont="1" applyBorder="1" applyAlignment="1">
      <alignment horizontal="center" vertical="center" wrapText="1"/>
    </xf>
    <xf numFmtId="176" fontId="7" fillId="0" borderId="55" xfId="0" applyNumberFormat="1" applyFont="1" applyBorder="1" applyAlignment="1">
      <alignment horizontal="center" vertical="center" wrapText="1"/>
    </xf>
    <xf numFmtId="176" fontId="7" fillId="0" borderId="53" xfId="0" applyNumberFormat="1" applyFont="1" applyBorder="1" applyAlignment="1">
      <alignment horizontal="center" vertical="center" wrapText="1"/>
    </xf>
    <xf numFmtId="176" fontId="7" fillId="0" borderId="56" xfId="0" applyNumberFormat="1" applyFont="1" applyFill="1" applyBorder="1" applyAlignment="1">
      <alignment horizontal="center" vertical="center" wrapText="1"/>
    </xf>
    <xf numFmtId="176" fontId="7" fillId="0" borderId="71" xfId="0" applyNumberFormat="1" applyFont="1" applyFill="1" applyBorder="1" applyAlignment="1">
      <alignment horizontal="center" vertical="center" wrapText="1"/>
    </xf>
    <xf numFmtId="176" fontId="7" fillId="4" borderId="72" xfId="0" applyNumberFormat="1" applyFont="1" applyFill="1" applyBorder="1" applyAlignment="1">
      <alignment horizontal="center" vertical="center" wrapText="1"/>
    </xf>
    <xf numFmtId="176" fontId="7" fillId="2" borderId="76" xfId="0" applyNumberFormat="1" applyFont="1" applyFill="1" applyBorder="1" applyAlignment="1">
      <alignment horizontal="center" vertical="center" wrapText="1"/>
    </xf>
    <xf numFmtId="176" fontId="7" fillId="2" borderId="77" xfId="0" applyNumberFormat="1" applyFont="1" applyFill="1" applyBorder="1" applyAlignment="1">
      <alignment horizontal="center" vertical="center" wrapText="1"/>
    </xf>
    <xf numFmtId="176" fontId="7" fillId="0" borderId="32" xfId="0" applyNumberFormat="1" applyFont="1" applyFill="1" applyBorder="1" applyAlignment="1">
      <alignment horizontal="center" vertical="center" shrinkToFit="1"/>
    </xf>
    <xf numFmtId="0" fontId="7" fillId="3" borderId="79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3" borderId="54" xfId="0" applyFont="1" applyFill="1" applyBorder="1" applyAlignment="1">
      <alignment horizontal="center" vertical="center" wrapText="1"/>
    </xf>
    <xf numFmtId="0" fontId="7" fillId="3" borderId="55" xfId="0" applyFont="1" applyFill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 wrapText="1"/>
    </xf>
    <xf numFmtId="176" fontId="7" fillId="2" borderId="45" xfId="0" applyNumberFormat="1" applyFont="1" applyFill="1" applyBorder="1" applyAlignment="1">
      <alignment horizontal="center" vertical="center" wrapText="1"/>
    </xf>
    <xf numFmtId="176" fontId="7" fillId="2" borderId="29" xfId="0" applyNumberFormat="1" applyFont="1" applyFill="1" applyBorder="1" applyAlignment="1">
      <alignment horizontal="center" vertical="center" wrapText="1"/>
    </xf>
    <xf numFmtId="0" fontId="7" fillId="2" borderId="76" xfId="0" applyFont="1" applyFill="1" applyBorder="1" applyAlignment="1">
      <alignment horizontal="center" vertical="center"/>
    </xf>
    <xf numFmtId="176" fontId="7" fillId="2" borderId="58" xfId="0" applyNumberFormat="1" applyFont="1" applyFill="1" applyBorder="1" applyAlignment="1">
      <alignment horizontal="center" vertical="center" wrapText="1"/>
    </xf>
    <xf numFmtId="176" fontId="7" fillId="2" borderId="52" xfId="0" applyNumberFormat="1" applyFont="1" applyFill="1" applyBorder="1" applyAlignment="1">
      <alignment horizontal="center" vertical="center" wrapText="1"/>
    </xf>
    <xf numFmtId="176" fontId="7" fillId="2" borderId="47" xfId="0" applyNumberFormat="1" applyFont="1" applyFill="1" applyBorder="1" applyAlignment="1">
      <alignment horizontal="center" vertical="center" wrapText="1"/>
    </xf>
    <xf numFmtId="176" fontId="7" fillId="0" borderId="70" xfId="0" applyNumberFormat="1" applyFont="1" applyBorder="1" applyAlignment="1">
      <alignment horizontal="center" vertical="center" wrapText="1"/>
    </xf>
    <xf numFmtId="176" fontId="7" fillId="0" borderId="82" xfId="0" applyNumberFormat="1" applyFont="1" applyBorder="1" applyAlignment="1">
      <alignment horizontal="center" vertical="center" wrapText="1"/>
    </xf>
    <xf numFmtId="176" fontId="7" fillId="2" borderId="67" xfId="0" applyNumberFormat="1" applyFont="1" applyFill="1" applyBorder="1" applyAlignment="1">
      <alignment horizontal="center" vertical="center" wrapText="1"/>
    </xf>
    <xf numFmtId="176" fontId="13" fillId="3" borderId="18" xfId="0" applyNumberFormat="1" applyFont="1" applyFill="1" applyBorder="1" applyAlignment="1">
      <alignment horizontal="center" vertical="center" wrapText="1"/>
    </xf>
    <xf numFmtId="176" fontId="7" fillId="2" borderId="87" xfId="0" applyNumberFormat="1" applyFont="1" applyFill="1" applyBorder="1" applyAlignment="1">
      <alignment horizontal="center" vertical="center" wrapText="1"/>
    </xf>
    <xf numFmtId="176" fontId="7" fillId="0" borderId="88" xfId="0" applyNumberFormat="1" applyFont="1" applyBorder="1" applyAlignment="1">
      <alignment horizontal="center" vertical="center" wrapText="1"/>
    </xf>
    <xf numFmtId="176" fontId="7" fillId="0" borderId="91" xfId="0" applyNumberFormat="1" applyFont="1" applyBorder="1" applyAlignment="1">
      <alignment horizontal="center" vertical="center" wrapText="1"/>
    </xf>
    <xf numFmtId="176" fontId="7" fillId="0" borderId="92" xfId="0" applyNumberFormat="1" applyFont="1" applyBorder="1" applyAlignment="1">
      <alignment horizontal="center" vertical="center" wrapText="1"/>
    </xf>
    <xf numFmtId="176" fontId="7" fillId="2" borderId="48" xfId="0" applyNumberFormat="1" applyFont="1" applyFill="1" applyBorder="1" applyAlignment="1">
      <alignment horizontal="center" vertical="center" wrapText="1"/>
    </xf>
    <xf numFmtId="176" fontId="7" fillId="0" borderId="70" xfId="0" applyNumberFormat="1" applyFont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176" fontId="7" fillId="0" borderId="45" xfId="0" applyNumberFormat="1" applyFont="1" applyBorder="1" applyAlignment="1">
      <alignment horizontal="center" vertical="center" wrapText="1"/>
    </xf>
    <xf numFmtId="176" fontId="7" fillId="0" borderId="29" xfId="0" applyNumberFormat="1" applyFont="1" applyBorder="1" applyAlignment="1">
      <alignment horizontal="center" vertical="center" wrapText="1"/>
    </xf>
    <xf numFmtId="176" fontId="7" fillId="0" borderId="9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176" fontId="7" fillId="0" borderId="17" xfId="0" applyNumberFormat="1" applyFont="1" applyBorder="1" applyAlignment="1">
      <alignment horizontal="center" vertical="center" wrapText="1"/>
    </xf>
    <xf numFmtId="176" fontId="7" fillId="3" borderId="4" xfId="0" applyNumberFormat="1" applyFont="1" applyFill="1" applyBorder="1" applyAlignment="1">
      <alignment horizontal="center" vertical="center" wrapText="1"/>
    </xf>
    <xf numFmtId="176" fontId="7" fillId="2" borderId="73" xfId="0" applyNumberFormat="1" applyFont="1" applyFill="1" applyBorder="1" applyAlignment="1">
      <alignment horizontal="center" vertical="center" wrapText="1"/>
    </xf>
    <xf numFmtId="176" fontId="7" fillId="2" borderId="66" xfId="0" applyNumberFormat="1" applyFont="1" applyFill="1" applyBorder="1" applyAlignment="1">
      <alignment horizontal="center" vertical="center" wrapText="1"/>
    </xf>
    <xf numFmtId="176" fontId="7" fillId="0" borderId="27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176" fontId="7" fillId="3" borderId="69" xfId="0" applyNumberFormat="1" applyFont="1" applyFill="1" applyBorder="1" applyAlignment="1">
      <alignment horizontal="center" vertical="center" wrapText="1"/>
    </xf>
    <xf numFmtId="176" fontId="7" fillId="0" borderId="6" xfId="0" applyNumberFormat="1" applyFont="1" applyBorder="1" applyAlignment="1">
      <alignment horizontal="center" vertical="center" wrapText="1"/>
    </xf>
    <xf numFmtId="176" fontId="7" fillId="0" borderId="68" xfId="0" applyNumberFormat="1" applyFont="1" applyBorder="1" applyAlignment="1">
      <alignment horizontal="center" vertical="center" wrapText="1"/>
    </xf>
    <xf numFmtId="176" fontId="7" fillId="2" borderId="45" xfId="0" applyNumberFormat="1" applyFont="1" applyFill="1" applyBorder="1" applyAlignment="1">
      <alignment horizontal="center" vertical="center" wrapText="1"/>
    </xf>
    <xf numFmtId="176" fontId="7" fillId="0" borderId="82" xfId="0" applyNumberFormat="1" applyFont="1" applyBorder="1" applyAlignment="1">
      <alignment horizontal="center" vertical="center" wrapText="1"/>
    </xf>
    <xf numFmtId="176" fontId="7" fillId="2" borderId="76" xfId="0" applyNumberFormat="1" applyFont="1" applyFill="1" applyBorder="1" applyAlignment="1">
      <alignment horizontal="center" vertical="center" wrapText="1"/>
    </xf>
    <xf numFmtId="176" fontId="7" fillId="4" borderId="37" xfId="0" applyNumberFormat="1" applyFont="1" applyFill="1" applyBorder="1" applyAlignment="1">
      <alignment horizontal="center" vertical="center" wrapText="1"/>
    </xf>
    <xf numFmtId="176" fontId="7" fillId="0" borderId="54" xfId="0" applyNumberFormat="1" applyFont="1" applyFill="1" applyBorder="1" applyAlignment="1">
      <alignment horizontal="center" vertical="center" shrinkToFit="1"/>
    </xf>
    <xf numFmtId="176" fontId="7" fillId="3" borderId="4" xfId="0" applyNumberFormat="1" applyFont="1" applyFill="1" applyBorder="1" applyAlignment="1">
      <alignment horizontal="center" vertical="center" wrapText="1"/>
    </xf>
    <xf numFmtId="176" fontId="7" fillId="0" borderId="14" xfId="0" applyNumberFormat="1" applyFont="1" applyBorder="1" applyAlignment="1">
      <alignment horizontal="center" vertical="center" wrapText="1"/>
    </xf>
    <xf numFmtId="176" fontId="7" fillId="0" borderId="93" xfId="0" applyNumberFormat="1" applyFont="1" applyBorder="1" applyAlignment="1">
      <alignment horizontal="center" vertical="center" wrapText="1"/>
    </xf>
    <xf numFmtId="176" fontId="7" fillId="0" borderId="19" xfId="0" applyNumberFormat="1" applyFont="1" applyBorder="1" applyAlignment="1">
      <alignment horizontal="center" vertical="center" wrapText="1"/>
    </xf>
    <xf numFmtId="176" fontId="7" fillId="0" borderId="13" xfId="0" applyNumberFormat="1" applyFont="1" applyFill="1" applyBorder="1" applyAlignment="1">
      <alignment horizontal="center" vertical="center" wrapText="1"/>
    </xf>
    <xf numFmtId="176" fontId="7" fillId="0" borderId="94" xfId="0" applyNumberFormat="1" applyFont="1" applyFill="1" applyBorder="1" applyAlignment="1">
      <alignment horizontal="center" vertical="center" wrapText="1"/>
    </xf>
    <xf numFmtId="176" fontId="7" fillId="0" borderId="44" xfId="0" applyNumberFormat="1" applyFont="1" applyFill="1" applyBorder="1" applyAlignment="1">
      <alignment horizontal="center" vertical="center" wrapText="1"/>
    </xf>
    <xf numFmtId="176" fontId="7" fillId="0" borderId="43" xfId="0" applyNumberFormat="1" applyFont="1" applyFill="1" applyBorder="1" applyAlignment="1">
      <alignment horizontal="center" vertical="center" wrapText="1"/>
    </xf>
    <xf numFmtId="176" fontId="13" fillId="0" borderId="44" xfId="0" applyNumberFormat="1" applyFont="1" applyBorder="1" applyAlignment="1">
      <alignment horizontal="center" vertical="center" wrapText="1"/>
    </xf>
    <xf numFmtId="176" fontId="13" fillId="4" borderId="37" xfId="0" applyNumberFormat="1" applyFont="1" applyFill="1" applyBorder="1" applyAlignment="1">
      <alignment horizontal="center" vertical="center" wrapText="1"/>
    </xf>
    <xf numFmtId="176" fontId="13" fillId="4" borderId="38" xfId="0" applyNumberFormat="1" applyFont="1" applyFill="1" applyBorder="1" applyAlignment="1">
      <alignment horizontal="center" vertical="center" wrapText="1"/>
    </xf>
    <xf numFmtId="176" fontId="13" fillId="4" borderId="72" xfId="0" applyNumberFormat="1" applyFont="1" applyFill="1" applyBorder="1" applyAlignment="1">
      <alignment horizontal="center" vertical="center" wrapText="1"/>
    </xf>
    <xf numFmtId="176" fontId="7" fillId="0" borderId="5" xfId="0" applyNumberFormat="1" applyFont="1" applyFill="1" applyBorder="1" applyAlignment="1">
      <alignment horizontal="center" vertical="center" wrapText="1"/>
    </xf>
    <xf numFmtId="176" fontId="7" fillId="0" borderId="5" xfId="0" applyNumberFormat="1" applyFont="1" applyFill="1" applyBorder="1" applyAlignment="1">
      <alignment horizontal="center" vertical="center" wrapText="1"/>
    </xf>
    <xf numFmtId="176" fontId="7" fillId="0" borderId="5" xfId="0" applyNumberFormat="1" applyFont="1" applyFill="1" applyBorder="1" applyAlignment="1">
      <alignment horizontal="center" vertical="center" wrapText="1"/>
    </xf>
    <xf numFmtId="176" fontId="7" fillId="3" borderId="4" xfId="0" applyNumberFormat="1" applyFont="1" applyFill="1" applyBorder="1" applyAlignment="1">
      <alignment horizontal="center" vertical="center" wrapText="1"/>
    </xf>
    <xf numFmtId="176" fontId="7" fillId="0" borderId="17" xfId="0" applyNumberFormat="1" applyFont="1" applyBorder="1" applyAlignment="1">
      <alignment horizontal="center" vertical="center" wrapText="1"/>
    </xf>
    <xf numFmtId="176" fontId="7" fillId="0" borderId="9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176" fontId="7" fillId="3" borderId="69" xfId="0" applyNumberFormat="1" applyFont="1" applyFill="1" applyBorder="1" applyAlignment="1">
      <alignment horizontal="center" vertical="center" wrapText="1"/>
    </xf>
    <xf numFmtId="176" fontId="7" fillId="0" borderId="5" xfId="0" applyNumberFormat="1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176" fontId="7" fillId="0" borderId="6" xfId="0" applyNumberFormat="1" applyFont="1" applyBorder="1" applyAlignment="1">
      <alignment horizontal="center" vertical="center" wrapText="1"/>
    </xf>
    <xf numFmtId="176" fontId="13" fillId="0" borderId="15" xfId="0" applyNumberFormat="1" applyFont="1" applyFill="1" applyBorder="1" applyAlignment="1">
      <alignment horizontal="center" vertical="center" shrinkToFit="1"/>
    </xf>
    <xf numFmtId="176" fontId="13" fillId="3" borderId="2" xfId="0" applyNumberFormat="1" applyFont="1" applyFill="1" applyBorder="1" applyAlignment="1">
      <alignment horizontal="center" vertical="center" wrapText="1"/>
    </xf>
    <xf numFmtId="176" fontId="7" fillId="0" borderId="8" xfId="0" applyNumberFormat="1" applyFont="1" applyFill="1" applyBorder="1" applyAlignment="1">
      <alignment horizontal="center" vertical="center" wrapText="1" shrinkToFit="1"/>
    </xf>
    <xf numFmtId="176" fontId="7" fillId="3" borderId="15" xfId="0" applyNumberFormat="1" applyFont="1" applyFill="1" applyBorder="1" applyAlignment="1">
      <alignment horizontal="center" vertical="center" wrapText="1"/>
    </xf>
    <xf numFmtId="176" fontId="7" fillId="3" borderId="93" xfId="0" applyNumberFormat="1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176" fontId="7" fillId="0" borderId="22" xfId="0" applyNumberFormat="1" applyFont="1" applyFill="1" applyBorder="1" applyAlignment="1">
      <alignment vertical="center" wrapText="1"/>
    </xf>
    <xf numFmtId="176" fontId="7" fillId="0" borderId="26" xfId="0" applyNumberFormat="1" applyFont="1" applyFill="1" applyBorder="1" applyAlignment="1">
      <alignment vertical="center" wrapText="1"/>
    </xf>
    <xf numFmtId="176" fontId="7" fillId="0" borderId="99" xfId="0" applyNumberFormat="1" applyFont="1" applyFill="1" applyBorder="1" applyAlignment="1">
      <alignment vertical="center" wrapText="1"/>
    </xf>
    <xf numFmtId="176" fontId="7" fillId="4" borderId="14" xfId="0" applyNumberFormat="1" applyFont="1" applyFill="1" applyBorder="1" applyAlignment="1">
      <alignment horizontal="center" vertical="center" wrapText="1"/>
    </xf>
    <xf numFmtId="176" fontId="7" fillId="4" borderId="45" xfId="0" applyNumberFormat="1" applyFont="1" applyFill="1" applyBorder="1" applyAlignment="1">
      <alignment horizontal="center" vertical="center" wrapText="1"/>
    </xf>
    <xf numFmtId="176" fontId="7" fillId="4" borderId="13" xfId="0" applyNumberFormat="1" applyFont="1" applyFill="1" applyBorder="1" applyAlignment="1">
      <alignment horizontal="center" vertical="center" wrapText="1"/>
    </xf>
    <xf numFmtId="176" fontId="7" fillId="4" borderId="29" xfId="0" applyNumberFormat="1" applyFont="1" applyFill="1" applyBorder="1" applyAlignment="1">
      <alignment horizontal="center" vertical="center" wrapText="1"/>
    </xf>
    <xf numFmtId="176" fontId="7" fillId="0" borderId="52" xfId="0" applyNumberFormat="1" applyFont="1" applyBorder="1" applyAlignment="1">
      <alignment horizontal="center" vertical="center" wrapText="1"/>
    </xf>
    <xf numFmtId="176" fontId="7" fillId="0" borderId="47" xfId="0" applyNumberFormat="1" applyFont="1" applyBorder="1" applyAlignment="1">
      <alignment horizontal="center" vertical="center" wrapText="1"/>
    </xf>
    <xf numFmtId="176" fontId="7" fillId="3" borderId="12" xfId="0" applyNumberFormat="1" applyFont="1" applyFill="1" applyBorder="1" applyAlignment="1">
      <alignment horizontal="center" vertical="center" wrapText="1"/>
    </xf>
    <xf numFmtId="176" fontId="7" fillId="2" borderId="76" xfId="0" applyNumberFormat="1" applyFont="1" applyFill="1" applyBorder="1" applyAlignment="1">
      <alignment horizontal="center" vertical="center" wrapText="1"/>
    </xf>
    <xf numFmtId="176" fontId="18" fillId="0" borderId="12" xfId="0" applyNumberFormat="1" applyFont="1" applyFill="1" applyBorder="1" applyAlignment="1">
      <alignment horizontal="center" vertical="center" shrinkToFit="1"/>
    </xf>
    <xf numFmtId="176" fontId="7" fillId="3" borderId="32" xfId="0" applyNumberFormat="1" applyFont="1" applyFill="1" applyBorder="1" applyAlignment="1">
      <alignment horizontal="center" vertical="center" wrapText="1"/>
    </xf>
    <xf numFmtId="176" fontId="7" fillId="3" borderId="5" xfId="0" applyNumberFormat="1" applyFont="1" applyFill="1" applyBorder="1" applyAlignment="1">
      <alignment horizontal="center" vertical="center" wrapText="1"/>
    </xf>
    <xf numFmtId="176" fontId="7" fillId="0" borderId="23" xfId="0" applyNumberFormat="1" applyFont="1" applyBorder="1" applyAlignment="1">
      <alignment horizontal="center" vertical="center" wrapText="1"/>
    </xf>
    <xf numFmtId="176" fontId="7" fillId="0" borderId="3" xfId="0" applyNumberFormat="1" applyFont="1" applyBorder="1" applyAlignment="1">
      <alignment horizontal="center" vertical="center" wrapText="1"/>
    </xf>
    <xf numFmtId="176" fontId="7" fillId="0" borderId="6" xfId="0" applyNumberFormat="1" applyFont="1" applyBorder="1" applyAlignment="1">
      <alignment horizontal="center" vertical="center" wrapText="1"/>
    </xf>
    <xf numFmtId="176" fontId="7" fillId="3" borderId="22" xfId="0" applyNumberFormat="1" applyFont="1" applyFill="1" applyBorder="1" applyAlignment="1">
      <alignment horizontal="center" vertical="center" wrapText="1"/>
    </xf>
    <xf numFmtId="176" fontId="7" fillId="3" borderId="26" xfId="0" applyNumberFormat="1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68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top" wrapText="1"/>
    </xf>
    <xf numFmtId="176" fontId="7" fillId="3" borderId="4" xfId="0" applyNumberFormat="1" applyFont="1" applyFill="1" applyBorder="1" applyAlignment="1">
      <alignment horizontal="center" vertical="center" wrapText="1"/>
    </xf>
    <xf numFmtId="176" fontId="7" fillId="3" borderId="69" xfId="0" applyNumberFormat="1" applyFont="1" applyFill="1" applyBorder="1" applyAlignment="1">
      <alignment horizontal="center" vertical="center" wrapText="1"/>
    </xf>
    <xf numFmtId="176" fontId="7" fillId="0" borderId="84" xfId="0" applyNumberFormat="1" applyFont="1" applyBorder="1" applyAlignment="1">
      <alignment horizontal="center" vertical="center" wrapText="1"/>
    </xf>
    <xf numFmtId="176" fontId="7" fillId="0" borderId="30" xfId="0" applyNumberFormat="1" applyFont="1" applyBorder="1" applyAlignment="1">
      <alignment horizontal="center" vertical="center" wrapText="1"/>
    </xf>
    <xf numFmtId="176" fontId="7" fillId="0" borderId="82" xfId="0" applyNumberFormat="1" applyFont="1" applyBorder="1" applyAlignment="1">
      <alignment horizontal="center" vertical="center" wrapText="1"/>
    </xf>
    <xf numFmtId="176" fontId="7" fillId="0" borderId="24" xfId="0" applyNumberFormat="1" applyFont="1" applyBorder="1" applyAlignment="1">
      <alignment horizontal="center" vertical="center" wrapText="1"/>
    </xf>
    <xf numFmtId="176" fontId="7" fillId="0" borderId="11" xfId="0" applyNumberFormat="1" applyFont="1" applyBorder="1" applyAlignment="1">
      <alignment horizontal="center" vertical="center" wrapText="1"/>
    </xf>
    <xf numFmtId="176" fontId="7" fillId="0" borderId="70" xfId="0" applyNumberFormat="1" applyFont="1" applyBorder="1" applyAlignment="1">
      <alignment horizontal="center" vertical="center" wrapText="1"/>
    </xf>
    <xf numFmtId="176" fontId="7" fillId="0" borderId="68" xfId="0" applyNumberFormat="1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69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70" xfId="0" applyFont="1" applyFill="1" applyBorder="1" applyAlignment="1">
      <alignment horizontal="center" vertical="center" wrapText="1"/>
    </xf>
    <xf numFmtId="176" fontId="7" fillId="3" borderId="27" xfId="0" applyNumberFormat="1" applyFont="1" applyFill="1" applyBorder="1" applyAlignment="1">
      <alignment horizontal="center" vertical="center" wrapText="1"/>
    </xf>
    <xf numFmtId="176" fontId="7" fillId="0" borderId="12" xfId="0" applyNumberFormat="1" applyFont="1" applyFill="1" applyBorder="1" applyAlignment="1">
      <alignment horizontal="center" vertical="center" wrapText="1"/>
    </xf>
    <xf numFmtId="176" fontId="7" fillId="0" borderId="5" xfId="0" applyNumberFormat="1" applyFont="1" applyFill="1" applyBorder="1" applyAlignment="1">
      <alignment horizontal="center" vertical="center" wrapText="1"/>
    </xf>
    <xf numFmtId="176" fontId="7" fillId="4" borderId="37" xfId="0" applyNumberFormat="1" applyFont="1" applyFill="1" applyBorder="1" applyAlignment="1">
      <alignment horizontal="center" vertical="center" wrapText="1"/>
    </xf>
    <xf numFmtId="176" fontId="7" fillId="4" borderId="39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right" vertical="center" wrapText="1"/>
    </xf>
    <xf numFmtId="0" fontId="7" fillId="2" borderId="17" xfId="0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176" fontId="8" fillId="2" borderId="16" xfId="0" applyNumberFormat="1" applyFont="1" applyFill="1" applyBorder="1" applyAlignment="1">
      <alignment horizontal="center" vertical="center" wrapText="1"/>
    </xf>
    <xf numFmtId="176" fontId="8" fillId="2" borderId="54" xfId="0" applyNumberFormat="1" applyFont="1" applyFill="1" applyBorder="1" applyAlignment="1">
      <alignment horizontal="center" vertical="center" wrapText="1"/>
    </xf>
    <xf numFmtId="176" fontId="8" fillId="2" borderId="21" xfId="0" applyNumberFormat="1" applyFont="1" applyFill="1" applyBorder="1" applyAlignment="1">
      <alignment horizontal="center" vertical="center" wrapText="1"/>
    </xf>
    <xf numFmtId="176" fontId="8" fillId="2" borderId="55" xfId="0" applyNumberFormat="1" applyFont="1" applyFill="1" applyBorder="1" applyAlignment="1">
      <alignment horizontal="center" vertical="center" wrapText="1"/>
    </xf>
    <xf numFmtId="176" fontId="8" fillId="2" borderId="17" xfId="0" applyNumberFormat="1" applyFont="1" applyFill="1" applyBorder="1" applyAlignment="1">
      <alignment horizontal="center" vertical="center" wrapText="1"/>
    </xf>
    <xf numFmtId="176" fontId="8" fillId="2" borderId="18" xfId="0" applyNumberFormat="1" applyFont="1" applyFill="1" applyBorder="1" applyAlignment="1">
      <alignment horizontal="center" vertical="center" wrapText="1"/>
    </xf>
    <xf numFmtId="176" fontId="8" fillId="2" borderId="22" xfId="0" applyNumberFormat="1" applyFont="1" applyFill="1" applyBorder="1" applyAlignment="1">
      <alignment horizontal="center" vertical="center" wrapText="1"/>
    </xf>
    <xf numFmtId="176" fontId="8" fillId="2" borderId="57" xfId="0" applyNumberFormat="1" applyFont="1" applyFill="1" applyBorder="1" applyAlignment="1">
      <alignment horizontal="center" vertical="center" wrapText="1"/>
    </xf>
    <xf numFmtId="176" fontId="8" fillId="2" borderId="56" xfId="0" applyNumberFormat="1" applyFont="1" applyFill="1" applyBorder="1" applyAlignment="1">
      <alignment horizontal="center" vertical="center" wrapText="1"/>
    </xf>
    <xf numFmtId="176" fontId="7" fillId="0" borderId="45" xfId="0" applyNumberFormat="1" applyFont="1" applyBorder="1" applyAlignment="1">
      <alignment horizontal="center" vertical="center" wrapText="1"/>
    </xf>
    <xf numFmtId="176" fontId="7" fillId="0" borderId="29" xfId="0" applyNumberFormat="1" applyFont="1" applyBorder="1" applyAlignment="1">
      <alignment horizontal="center" vertical="center" wrapText="1"/>
    </xf>
    <xf numFmtId="176" fontId="7" fillId="0" borderId="17" xfId="0" applyNumberFormat="1" applyFont="1" applyBorder="1" applyAlignment="1">
      <alignment horizontal="center" vertical="center" wrapText="1"/>
    </xf>
    <xf numFmtId="176" fontId="7" fillId="0" borderId="9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76" fontId="7" fillId="0" borderId="65" xfId="0" applyNumberFormat="1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176" fontId="7" fillId="4" borderId="42" xfId="0" applyNumberFormat="1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176" fontId="7" fillId="2" borderId="45" xfId="0" applyNumberFormat="1" applyFont="1" applyFill="1" applyBorder="1" applyAlignment="1">
      <alignment horizontal="center" vertical="center" wrapText="1"/>
    </xf>
    <xf numFmtId="176" fontId="7" fillId="2" borderId="27" xfId="0" applyNumberFormat="1" applyFont="1" applyFill="1" applyBorder="1" applyAlignment="1">
      <alignment horizontal="center" vertical="center" wrapText="1"/>
    </xf>
    <xf numFmtId="176" fontId="7" fillId="2" borderId="83" xfId="0" applyNumberFormat="1" applyFont="1" applyFill="1" applyBorder="1" applyAlignment="1">
      <alignment horizontal="center" vertical="center" wrapText="1"/>
    </xf>
    <xf numFmtId="176" fontId="7" fillId="2" borderId="76" xfId="0" applyNumberFormat="1" applyFont="1" applyFill="1" applyBorder="1" applyAlignment="1">
      <alignment horizontal="center" vertical="center" wrapText="1"/>
    </xf>
    <xf numFmtId="176" fontId="7" fillId="2" borderId="85" xfId="0" applyNumberFormat="1" applyFont="1" applyFill="1" applyBorder="1" applyAlignment="1">
      <alignment horizontal="center" vertical="center" wrapText="1"/>
    </xf>
    <xf numFmtId="176" fontId="7" fillId="2" borderId="86" xfId="0" applyNumberFormat="1" applyFont="1" applyFill="1" applyBorder="1" applyAlignment="1">
      <alignment horizontal="center" vertical="center" wrapText="1"/>
    </xf>
    <xf numFmtId="176" fontId="7" fillId="0" borderId="88" xfId="0" applyNumberFormat="1" applyFont="1" applyBorder="1" applyAlignment="1">
      <alignment horizontal="center" vertical="center" wrapText="1"/>
    </xf>
    <xf numFmtId="176" fontId="7" fillId="0" borderId="89" xfId="0" applyNumberFormat="1" applyFont="1" applyBorder="1" applyAlignment="1">
      <alignment horizontal="center" vertical="center" wrapText="1"/>
    </xf>
    <xf numFmtId="176" fontId="7" fillId="0" borderId="90" xfId="0" applyNumberFormat="1" applyFont="1" applyBorder="1" applyAlignment="1">
      <alignment horizontal="center" vertical="center" wrapText="1"/>
    </xf>
    <xf numFmtId="0" fontId="7" fillId="2" borderId="78" xfId="0" applyFont="1" applyFill="1" applyBorder="1" applyAlignment="1">
      <alignment horizontal="center" vertical="center" wrapText="1"/>
    </xf>
    <xf numFmtId="0" fontId="7" fillId="2" borderId="73" xfId="0" applyFont="1" applyFill="1" applyBorder="1" applyAlignment="1">
      <alignment horizontal="center" vertical="center" wrapText="1"/>
    </xf>
    <xf numFmtId="0" fontId="7" fillId="2" borderId="66" xfId="0" applyFont="1" applyFill="1" applyBorder="1" applyAlignment="1">
      <alignment horizontal="center" vertical="center" wrapText="1"/>
    </xf>
    <xf numFmtId="176" fontId="7" fillId="2" borderId="51" xfId="0" applyNumberFormat="1" applyFont="1" applyFill="1" applyBorder="1" applyAlignment="1">
      <alignment horizontal="center" vertical="center" wrapText="1"/>
    </xf>
    <xf numFmtId="176" fontId="7" fillId="2" borderId="49" xfId="0" applyNumberFormat="1" applyFont="1" applyFill="1" applyBorder="1" applyAlignment="1">
      <alignment horizontal="center" vertical="center" wrapText="1"/>
    </xf>
    <xf numFmtId="176" fontId="7" fillId="2" borderId="50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176" fontId="7" fillId="3" borderId="59" xfId="0" applyNumberFormat="1" applyFont="1" applyFill="1" applyBorder="1" applyAlignment="1">
      <alignment horizontal="center" vertical="center" wrapText="1"/>
    </xf>
    <xf numFmtId="176" fontId="7" fillId="0" borderId="64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76" fontId="7" fillId="5" borderId="38" xfId="0" applyNumberFormat="1" applyFont="1" applyFill="1" applyBorder="1" applyAlignment="1">
      <alignment horizontal="center" vertical="center" wrapText="1"/>
    </xf>
    <xf numFmtId="176" fontId="7" fillId="5" borderId="39" xfId="0" applyNumberFormat="1" applyFont="1" applyFill="1" applyBorder="1" applyAlignment="1">
      <alignment horizontal="center" vertical="center" wrapText="1"/>
    </xf>
    <xf numFmtId="176" fontId="7" fillId="5" borderId="37" xfId="0" applyNumberFormat="1" applyFont="1" applyFill="1" applyBorder="1" applyAlignment="1">
      <alignment horizontal="center" vertical="center" wrapText="1"/>
    </xf>
    <xf numFmtId="176" fontId="7" fillId="2" borderId="80" xfId="0" applyNumberFormat="1" applyFont="1" applyFill="1" applyBorder="1" applyAlignment="1">
      <alignment horizontal="center" vertical="center" wrapText="1"/>
    </xf>
    <xf numFmtId="176" fontId="7" fillId="2" borderId="75" xfId="0" applyNumberFormat="1" applyFont="1" applyFill="1" applyBorder="1" applyAlignment="1">
      <alignment horizontal="center" vertical="center" wrapText="1"/>
    </xf>
    <xf numFmtId="176" fontId="7" fillId="2" borderId="81" xfId="0" applyNumberFormat="1" applyFont="1" applyFill="1" applyBorder="1" applyAlignment="1">
      <alignment horizontal="center" vertical="center" wrapText="1"/>
    </xf>
    <xf numFmtId="0" fontId="6" fillId="0" borderId="46" xfId="0" applyFont="1" applyBorder="1" applyAlignment="1">
      <alignment horizontal="left" vertical="top" wrapText="1"/>
    </xf>
    <xf numFmtId="176" fontId="7" fillId="0" borderId="32" xfId="0" applyNumberFormat="1" applyFont="1" applyFill="1" applyBorder="1" applyAlignment="1">
      <alignment horizontal="center" vertical="center" wrapText="1"/>
    </xf>
    <xf numFmtId="176" fontId="7" fillId="0" borderId="27" xfId="0" applyNumberFormat="1" applyFont="1" applyFill="1" applyBorder="1" applyAlignment="1">
      <alignment horizontal="center" vertical="center" wrapText="1"/>
    </xf>
    <xf numFmtId="176" fontId="7" fillId="0" borderId="95" xfId="0" applyNumberFormat="1" applyFont="1" applyBorder="1" applyAlignment="1">
      <alignment horizontal="center" vertical="center" wrapText="1"/>
    </xf>
    <xf numFmtId="176" fontId="7" fillId="0" borderId="96" xfId="0" applyNumberFormat="1" applyFont="1" applyBorder="1" applyAlignment="1">
      <alignment horizontal="center" vertical="center" wrapText="1"/>
    </xf>
    <xf numFmtId="176" fontId="7" fillId="0" borderId="97" xfId="0" applyNumberFormat="1" applyFont="1" applyBorder="1" applyAlignment="1">
      <alignment horizontal="center" vertical="center" wrapText="1"/>
    </xf>
    <xf numFmtId="0" fontId="7" fillId="2" borderId="80" xfId="0" applyFont="1" applyFill="1" applyBorder="1" applyAlignment="1">
      <alignment horizontal="center" vertical="center" wrapText="1"/>
    </xf>
    <xf numFmtId="0" fontId="7" fillId="2" borderId="75" xfId="0" applyFont="1" applyFill="1" applyBorder="1" applyAlignment="1">
      <alignment horizontal="center" vertical="center" wrapText="1"/>
    </xf>
    <xf numFmtId="0" fontId="7" fillId="2" borderId="81" xfId="0" applyFont="1" applyFill="1" applyBorder="1" applyAlignment="1">
      <alignment horizontal="center" vertical="center" wrapText="1"/>
    </xf>
    <xf numFmtId="176" fontId="7" fillId="0" borderId="14" xfId="0" applyNumberFormat="1" applyFont="1" applyBorder="1" applyAlignment="1">
      <alignment horizontal="center" vertical="center" wrapText="1"/>
    </xf>
    <xf numFmtId="176" fontId="7" fillId="2" borderId="74" xfId="0" applyNumberFormat="1" applyFont="1" applyFill="1" applyBorder="1" applyAlignment="1">
      <alignment horizontal="center" vertical="center" wrapText="1"/>
    </xf>
    <xf numFmtId="0" fontId="7" fillId="3" borderId="45" xfId="0" applyFont="1" applyFill="1" applyBorder="1" applyAlignment="1">
      <alignment horizontal="center" vertical="center" wrapText="1"/>
    </xf>
    <xf numFmtId="0" fontId="7" fillId="3" borderId="100" xfId="0" applyFont="1" applyFill="1" applyBorder="1" applyAlignment="1">
      <alignment horizontal="center" vertical="center" wrapText="1"/>
    </xf>
    <xf numFmtId="0" fontId="7" fillId="3" borderId="98" xfId="0" applyFont="1" applyFill="1" applyBorder="1" applyAlignment="1">
      <alignment horizontal="center" vertical="center" wrapText="1"/>
    </xf>
    <xf numFmtId="0" fontId="7" fillId="3" borderId="101" xfId="0" applyFont="1" applyFill="1" applyBorder="1" applyAlignment="1">
      <alignment horizontal="center" vertical="center" wrapText="1"/>
    </xf>
    <xf numFmtId="176" fontId="7" fillId="3" borderId="16" xfId="0" applyNumberFormat="1" applyFont="1" applyFill="1" applyBorder="1" applyAlignment="1">
      <alignment horizontal="center" vertical="center" wrapText="1"/>
    </xf>
    <xf numFmtId="176" fontId="7" fillId="3" borderId="8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D63E-5034-45FE-908C-5537261D0EFB}">
  <sheetPr>
    <pageSetUpPr fitToPage="1"/>
  </sheetPr>
  <dimension ref="A1:N62"/>
  <sheetViews>
    <sheetView view="pageBreakPreview" topLeftCell="E27" zoomScaleNormal="100" zoomScaleSheetLayoutView="100" workbookViewId="0">
      <selection activeCell="D44" sqref="D44"/>
    </sheetView>
  </sheetViews>
  <sheetFormatPr defaultRowHeight="17.399999999999999"/>
  <cols>
    <col min="1" max="1" width="4.59765625" customWidth="1"/>
    <col min="2" max="2" width="8.09765625" customWidth="1"/>
    <col min="3" max="3" width="6.59765625" customWidth="1"/>
    <col min="4" max="4" width="55.59765625" customWidth="1"/>
    <col min="5" max="14" width="5.59765625" customWidth="1"/>
  </cols>
  <sheetData>
    <row r="1" spans="1:14" ht="17.399999999999999" customHeight="1">
      <c r="A1" s="271" t="s">
        <v>141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</row>
    <row r="2" spans="1:14" ht="18" thickBot="1">
      <c r="A2" s="232"/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</row>
    <row r="3" spans="1:14" ht="24.9" customHeight="1">
      <c r="A3" s="233" t="s">
        <v>0</v>
      </c>
      <c r="B3" s="235" t="s">
        <v>1</v>
      </c>
      <c r="C3" s="235" t="s">
        <v>2</v>
      </c>
      <c r="D3" s="235"/>
      <c r="E3" s="235" t="s">
        <v>30</v>
      </c>
      <c r="F3" s="237" t="s">
        <v>31</v>
      </c>
      <c r="G3" s="239" t="s">
        <v>3</v>
      </c>
      <c r="H3" s="240"/>
      <c r="I3" s="239" t="s">
        <v>4</v>
      </c>
      <c r="J3" s="240"/>
      <c r="K3" s="239" t="s">
        <v>5</v>
      </c>
      <c r="L3" s="240"/>
      <c r="M3" s="241" t="s">
        <v>32</v>
      </c>
      <c r="N3" s="240" t="s">
        <v>33</v>
      </c>
    </row>
    <row r="4" spans="1:14" ht="24.9" customHeight="1" thickBot="1">
      <c r="A4" s="234"/>
      <c r="B4" s="236"/>
      <c r="C4" s="236"/>
      <c r="D4" s="236"/>
      <c r="E4" s="236"/>
      <c r="F4" s="238"/>
      <c r="G4" s="73" t="s">
        <v>6</v>
      </c>
      <c r="H4" s="74" t="s">
        <v>7</v>
      </c>
      <c r="I4" s="73" t="s">
        <v>6</v>
      </c>
      <c r="J4" s="74" t="s">
        <v>7</v>
      </c>
      <c r="K4" s="73" t="s">
        <v>6</v>
      </c>
      <c r="L4" s="74" t="s">
        <v>7</v>
      </c>
      <c r="M4" s="242"/>
      <c r="N4" s="243"/>
    </row>
    <row r="5" spans="1:14" ht="15" customHeight="1" thickTop="1">
      <c r="A5" s="211" t="s">
        <v>77</v>
      </c>
      <c r="B5" s="275" t="s">
        <v>8</v>
      </c>
      <c r="C5" s="75" t="s">
        <v>9</v>
      </c>
      <c r="D5" s="75" t="s">
        <v>19</v>
      </c>
      <c r="E5" s="76">
        <v>4</v>
      </c>
      <c r="F5" s="77">
        <v>3</v>
      </c>
      <c r="G5" s="78">
        <v>3</v>
      </c>
      <c r="H5" s="79"/>
      <c r="I5" s="78"/>
      <c r="J5" s="79"/>
      <c r="K5" s="78"/>
      <c r="L5" s="79"/>
      <c r="M5" s="276">
        <v>12</v>
      </c>
      <c r="N5" s="250">
        <v>8</v>
      </c>
    </row>
    <row r="6" spans="1:14" ht="15" customHeight="1">
      <c r="A6" s="211"/>
      <c r="B6" s="214"/>
      <c r="C6" s="9" t="s">
        <v>9</v>
      </c>
      <c r="D6" s="9" t="s">
        <v>90</v>
      </c>
      <c r="E6" s="10">
        <v>4</v>
      </c>
      <c r="F6" s="11">
        <v>3</v>
      </c>
      <c r="G6" s="66"/>
      <c r="H6" s="12">
        <v>3</v>
      </c>
      <c r="I6" s="66"/>
      <c r="J6" s="12"/>
      <c r="K6" s="66"/>
      <c r="L6" s="12"/>
      <c r="M6" s="206"/>
      <c r="N6" s="220"/>
    </row>
    <row r="7" spans="1:14" ht="15" customHeight="1">
      <c r="A7" s="211"/>
      <c r="B7" s="214"/>
      <c r="C7" s="9" t="s">
        <v>10</v>
      </c>
      <c r="D7" s="9" t="s">
        <v>39</v>
      </c>
      <c r="E7" s="10">
        <v>4</v>
      </c>
      <c r="F7" s="11">
        <v>3</v>
      </c>
      <c r="G7" s="66"/>
      <c r="H7" s="12"/>
      <c r="I7" s="66">
        <v>3</v>
      </c>
      <c r="J7" s="12"/>
      <c r="K7" s="66"/>
      <c r="L7" s="12"/>
      <c r="M7" s="206"/>
      <c r="N7" s="220"/>
    </row>
    <row r="8" spans="1:14" ht="15" customHeight="1" thickBot="1">
      <c r="A8" s="211"/>
      <c r="B8" s="227"/>
      <c r="C8" s="42" t="s">
        <v>10</v>
      </c>
      <c r="D8" s="80" t="s">
        <v>52</v>
      </c>
      <c r="E8" s="81">
        <v>4</v>
      </c>
      <c r="F8" s="82">
        <v>3</v>
      </c>
      <c r="G8" s="69"/>
      <c r="H8" s="28"/>
      <c r="I8" s="69"/>
      <c r="J8" s="28">
        <v>3</v>
      </c>
      <c r="K8" s="69"/>
      <c r="L8" s="28"/>
      <c r="M8" s="244"/>
      <c r="N8" s="245"/>
    </row>
    <row r="9" spans="1:14" ht="15" customHeight="1">
      <c r="A9" s="211"/>
      <c r="B9" s="203" t="s">
        <v>11</v>
      </c>
      <c r="C9" s="5" t="s">
        <v>9</v>
      </c>
      <c r="D9" s="5" t="s">
        <v>20</v>
      </c>
      <c r="E9" s="6">
        <v>4</v>
      </c>
      <c r="F9" s="7">
        <v>3</v>
      </c>
      <c r="G9" s="71">
        <v>3</v>
      </c>
      <c r="H9" s="8"/>
      <c r="I9" s="71"/>
      <c r="J9" s="8"/>
      <c r="K9" s="71"/>
      <c r="L9" s="8"/>
      <c r="M9" s="205">
        <v>12</v>
      </c>
      <c r="N9" s="219">
        <v>8</v>
      </c>
    </row>
    <row r="10" spans="1:14" ht="15" customHeight="1">
      <c r="A10" s="211"/>
      <c r="B10" s="214"/>
      <c r="C10" s="9" t="s">
        <v>9</v>
      </c>
      <c r="D10" s="9" t="s">
        <v>21</v>
      </c>
      <c r="E10" s="10">
        <v>4</v>
      </c>
      <c r="F10" s="11">
        <v>3</v>
      </c>
      <c r="G10" s="66"/>
      <c r="H10" s="12">
        <v>3</v>
      </c>
      <c r="I10" s="66"/>
      <c r="J10" s="12"/>
      <c r="K10" s="66"/>
      <c r="L10" s="12"/>
      <c r="M10" s="206"/>
      <c r="N10" s="220"/>
    </row>
    <row r="11" spans="1:14" ht="15" customHeight="1">
      <c r="A11" s="211"/>
      <c r="B11" s="214"/>
      <c r="C11" s="9" t="s">
        <v>10</v>
      </c>
      <c r="D11" s="9" t="s">
        <v>40</v>
      </c>
      <c r="E11" s="10">
        <v>4</v>
      </c>
      <c r="F11" s="11">
        <v>3</v>
      </c>
      <c r="G11" s="66"/>
      <c r="H11" s="12"/>
      <c r="I11" s="66">
        <v>3</v>
      </c>
      <c r="J11" s="12"/>
      <c r="K11" s="66"/>
      <c r="L11" s="12"/>
      <c r="M11" s="206"/>
      <c r="N11" s="220"/>
    </row>
    <row r="12" spans="1:14" ht="15" customHeight="1" thickBot="1">
      <c r="A12" s="211"/>
      <c r="B12" s="227"/>
      <c r="C12" s="42" t="s">
        <v>10</v>
      </c>
      <c r="D12" s="42" t="s">
        <v>73</v>
      </c>
      <c r="E12" s="81">
        <v>4</v>
      </c>
      <c r="F12" s="82">
        <v>3</v>
      </c>
      <c r="G12" s="69"/>
      <c r="H12" s="28"/>
      <c r="I12" s="69"/>
      <c r="J12" s="28">
        <v>3</v>
      </c>
      <c r="K12" s="69"/>
      <c r="L12" s="28"/>
      <c r="M12" s="244"/>
      <c r="N12" s="245"/>
    </row>
    <row r="13" spans="1:14" ht="15" customHeight="1">
      <c r="A13" s="211"/>
      <c r="B13" s="203" t="s">
        <v>12</v>
      </c>
      <c r="C13" s="5" t="s">
        <v>9</v>
      </c>
      <c r="D13" s="5" t="s">
        <v>22</v>
      </c>
      <c r="E13" s="6">
        <v>4</v>
      </c>
      <c r="F13" s="7">
        <v>3</v>
      </c>
      <c r="G13" s="71">
        <v>3</v>
      </c>
      <c r="H13" s="8"/>
      <c r="I13" s="71"/>
      <c r="J13" s="8"/>
      <c r="K13" s="71"/>
      <c r="L13" s="8"/>
      <c r="M13" s="205">
        <v>12</v>
      </c>
      <c r="N13" s="219">
        <v>8</v>
      </c>
    </row>
    <row r="14" spans="1:14" ht="15" customHeight="1">
      <c r="A14" s="211"/>
      <c r="B14" s="214"/>
      <c r="C14" s="9" t="s">
        <v>9</v>
      </c>
      <c r="D14" s="9" t="s">
        <v>23</v>
      </c>
      <c r="E14" s="10">
        <v>4</v>
      </c>
      <c r="F14" s="11">
        <v>3</v>
      </c>
      <c r="G14" s="66"/>
      <c r="H14" s="12">
        <v>3</v>
      </c>
      <c r="I14" s="13"/>
      <c r="J14" s="14"/>
      <c r="K14" s="13"/>
      <c r="L14" s="14"/>
      <c r="M14" s="206"/>
      <c r="N14" s="220"/>
    </row>
    <row r="15" spans="1:14" ht="15" customHeight="1">
      <c r="A15" s="211"/>
      <c r="B15" s="214"/>
      <c r="C15" s="9" t="s">
        <v>10</v>
      </c>
      <c r="D15" s="9" t="s">
        <v>72</v>
      </c>
      <c r="E15" s="10">
        <v>4</v>
      </c>
      <c r="F15" s="11">
        <v>3</v>
      </c>
      <c r="G15" s="66"/>
      <c r="H15" s="12"/>
      <c r="I15" s="13">
        <v>3</v>
      </c>
      <c r="J15" s="14"/>
      <c r="K15" s="13"/>
      <c r="L15" s="14"/>
      <c r="M15" s="206"/>
      <c r="N15" s="220"/>
    </row>
    <row r="16" spans="1:14" ht="15" customHeight="1" thickBot="1">
      <c r="A16" s="211"/>
      <c r="B16" s="227"/>
      <c r="C16" s="42" t="s">
        <v>10</v>
      </c>
      <c r="D16" s="42" t="s">
        <v>74</v>
      </c>
      <c r="E16" s="81">
        <v>4</v>
      </c>
      <c r="F16" s="82">
        <v>3</v>
      </c>
      <c r="G16" s="69"/>
      <c r="H16" s="28"/>
      <c r="I16" s="83"/>
      <c r="J16" s="84">
        <v>3</v>
      </c>
      <c r="K16" s="83"/>
      <c r="L16" s="84"/>
      <c r="M16" s="244"/>
      <c r="N16" s="245"/>
    </row>
    <row r="17" spans="1:14" ht="15" customHeight="1">
      <c r="A17" s="211"/>
      <c r="B17" s="203" t="s">
        <v>13</v>
      </c>
      <c r="C17" s="5" t="s">
        <v>9</v>
      </c>
      <c r="D17" s="5" t="s">
        <v>26</v>
      </c>
      <c r="E17" s="6">
        <v>4</v>
      </c>
      <c r="F17" s="7">
        <v>3</v>
      </c>
      <c r="G17" s="71">
        <v>3</v>
      </c>
      <c r="H17" s="8"/>
      <c r="I17" s="85"/>
      <c r="J17" s="86"/>
      <c r="K17" s="85"/>
      <c r="L17" s="86"/>
      <c r="M17" s="246">
        <v>6</v>
      </c>
      <c r="N17" s="248">
        <v>8</v>
      </c>
    </row>
    <row r="18" spans="1:14" ht="15" customHeight="1">
      <c r="A18" s="211"/>
      <c r="B18" s="214"/>
      <c r="C18" s="9" t="s">
        <v>9</v>
      </c>
      <c r="D18" s="9" t="s">
        <v>27</v>
      </c>
      <c r="E18" s="10">
        <v>4</v>
      </c>
      <c r="F18" s="11">
        <v>3</v>
      </c>
      <c r="G18" s="66"/>
      <c r="H18" s="12">
        <v>3</v>
      </c>
      <c r="I18" s="13"/>
      <c r="J18" s="14"/>
      <c r="K18" s="13"/>
      <c r="L18" s="14"/>
      <c r="M18" s="247"/>
      <c r="N18" s="249"/>
    </row>
    <row r="19" spans="1:14" ht="15" customHeight="1">
      <c r="A19" s="211"/>
      <c r="B19" s="214"/>
      <c r="C19" s="9" t="s">
        <v>9</v>
      </c>
      <c r="D19" s="9" t="s">
        <v>24</v>
      </c>
      <c r="E19" s="10">
        <v>3</v>
      </c>
      <c r="F19" s="11">
        <v>3</v>
      </c>
      <c r="G19" s="66"/>
      <c r="H19" s="12"/>
      <c r="I19" s="13"/>
      <c r="J19" s="14"/>
      <c r="K19" s="13">
        <v>3</v>
      </c>
      <c r="L19" s="14"/>
      <c r="M19" s="247">
        <v>6</v>
      </c>
      <c r="N19" s="273">
        <v>6</v>
      </c>
    </row>
    <row r="20" spans="1:14" ht="15" customHeight="1" thickBot="1">
      <c r="A20" s="211"/>
      <c r="B20" s="227"/>
      <c r="C20" s="42" t="s">
        <v>9</v>
      </c>
      <c r="D20" s="42" t="s">
        <v>25</v>
      </c>
      <c r="E20" s="81">
        <v>3</v>
      </c>
      <c r="F20" s="82">
        <v>3</v>
      </c>
      <c r="G20" s="69"/>
      <c r="H20" s="28"/>
      <c r="I20" s="83"/>
      <c r="J20" s="84"/>
      <c r="K20" s="83"/>
      <c r="L20" s="84">
        <v>3</v>
      </c>
      <c r="M20" s="272"/>
      <c r="N20" s="274"/>
    </row>
    <row r="21" spans="1:14" ht="15" customHeight="1">
      <c r="A21" s="211"/>
      <c r="B21" s="203" t="s">
        <v>14</v>
      </c>
      <c r="C21" s="5" t="s">
        <v>9</v>
      </c>
      <c r="D21" s="64" t="s">
        <v>28</v>
      </c>
      <c r="E21" s="6">
        <v>4</v>
      </c>
      <c r="F21" s="7">
        <v>3</v>
      </c>
      <c r="G21" s="71">
        <v>3</v>
      </c>
      <c r="H21" s="8"/>
      <c r="I21" s="85"/>
      <c r="J21" s="86"/>
      <c r="K21" s="85"/>
      <c r="L21" s="86"/>
      <c r="M21" s="246">
        <v>6</v>
      </c>
      <c r="N21" s="219">
        <v>10</v>
      </c>
    </row>
    <row r="22" spans="1:14" ht="15" customHeight="1" thickBot="1">
      <c r="A22" s="211"/>
      <c r="B22" s="227"/>
      <c r="C22" s="42" t="s">
        <v>9</v>
      </c>
      <c r="D22" s="87" t="s">
        <v>29</v>
      </c>
      <c r="E22" s="81">
        <v>4</v>
      </c>
      <c r="F22" s="82">
        <v>3</v>
      </c>
      <c r="G22" s="69"/>
      <c r="H22" s="28">
        <v>3</v>
      </c>
      <c r="I22" s="83"/>
      <c r="J22" s="84"/>
      <c r="K22" s="83"/>
      <c r="L22" s="84"/>
      <c r="M22" s="272"/>
      <c r="N22" s="245"/>
    </row>
    <row r="23" spans="1:14" ht="15" customHeight="1">
      <c r="A23" s="211"/>
      <c r="B23" s="203" t="s">
        <v>41</v>
      </c>
      <c r="C23" s="5" t="s">
        <v>15</v>
      </c>
      <c r="D23" s="64" t="s">
        <v>85</v>
      </c>
      <c r="E23" s="6">
        <v>2</v>
      </c>
      <c r="F23" s="7">
        <v>1</v>
      </c>
      <c r="G23" s="71">
        <v>1</v>
      </c>
      <c r="H23" s="8"/>
      <c r="I23" s="85"/>
      <c r="J23" s="86"/>
      <c r="K23" s="85"/>
      <c r="L23" s="129"/>
      <c r="M23" s="205">
        <v>11</v>
      </c>
      <c r="N23" s="219">
        <v>10</v>
      </c>
    </row>
    <row r="24" spans="1:14" ht="15" customHeight="1">
      <c r="A24" s="211"/>
      <c r="B24" s="214"/>
      <c r="C24" s="9" t="s">
        <v>45</v>
      </c>
      <c r="D24" s="15" t="s">
        <v>86</v>
      </c>
      <c r="E24" s="10">
        <v>3</v>
      </c>
      <c r="F24" s="11">
        <v>3</v>
      </c>
      <c r="G24" s="66"/>
      <c r="H24" s="12">
        <v>3</v>
      </c>
      <c r="I24" s="13"/>
      <c r="J24" s="14"/>
      <c r="K24" s="13"/>
      <c r="L24" s="43"/>
      <c r="M24" s="206"/>
      <c r="N24" s="220"/>
    </row>
    <row r="25" spans="1:14" ht="15" customHeight="1">
      <c r="A25" s="211"/>
      <c r="B25" s="214"/>
      <c r="C25" s="9" t="s">
        <v>88</v>
      </c>
      <c r="D25" s="15" t="s">
        <v>80</v>
      </c>
      <c r="E25" s="10">
        <v>2</v>
      </c>
      <c r="F25" s="11">
        <v>1</v>
      </c>
      <c r="G25" s="66"/>
      <c r="H25" s="12"/>
      <c r="I25" s="13"/>
      <c r="J25" s="14">
        <v>1</v>
      </c>
      <c r="K25" s="13"/>
      <c r="L25" s="43"/>
      <c r="M25" s="206"/>
      <c r="N25" s="220"/>
    </row>
    <row r="26" spans="1:14" ht="15" customHeight="1">
      <c r="A26" s="211"/>
      <c r="B26" s="214"/>
      <c r="C26" s="9" t="s">
        <v>15</v>
      </c>
      <c r="D26" s="15" t="s">
        <v>121</v>
      </c>
      <c r="E26" s="10">
        <v>3</v>
      </c>
      <c r="F26" s="11">
        <v>2</v>
      </c>
      <c r="G26" s="139"/>
      <c r="H26" s="12"/>
      <c r="I26" s="13"/>
      <c r="J26" s="14">
        <v>2</v>
      </c>
      <c r="K26" s="13"/>
      <c r="L26" s="14"/>
      <c r="M26" s="206"/>
      <c r="N26" s="220"/>
    </row>
    <row r="27" spans="1:14" ht="15" customHeight="1" thickBot="1">
      <c r="A27" s="211"/>
      <c r="B27" s="227"/>
      <c r="C27" s="42" t="s">
        <v>45</v>
      </c>
      <c r="D27" s="87" t="s">
        <v>87</v>
      </c>
      <c r="E27" s="81">
        <v>3</v>
      </c>
      <c r="F27" s="82">
        <v>4</v>
      </c>
      <c r="G27" s="140"/>
      <c r="H27" s="28"/>
      <c r="I27" s="83"/>
      <c r="J27" s="84"/>
      <c r="K27" s="83"/>
      <c r="L27" s="84">
        <v>4</v>
      </c>
      <c r="M27" s="244"/>
      <c r="N27" s="245"/>
    </row>
    <row r="28" spans="1:14" ht="15" customHeight="1">
      <c r="A28" s="211"/>
      <c r="B28" s="203" t="s">
        <v>16</v>
      </c>
      <c r="C28" s="5" t="s">
        <v>10</v>
      </c>
      <c r="D28" s="64" t="s">
        <v>17</v>
      </c>
      <c r="E28" s="6">
        <v>3</v>
      </c>
      <c r="F28" s="7">
        <v>3</v>
      </c>
      <c r="G28" s="88"/>
      <c r="H28" s="89"/>
      <c r="I28" s="85"/>
      <c r="J28" s="86"/>
      <c r="K28" s="85">
        <v>3</v>
      </c>
      <c r="L28" s="86"/>
      <c r="M28" s="205">
        <v>5</v>
      </c>
      <c r="N28" s="219">
        <v>5</v>
      </c>
    </row>
    <row r="29" spans="1:14" ht="15" customHeight="1" thickBot="1">
      <c r="A29" s="211"/>
      <c r="B29" s="227"/>
      <c r="C29" s="42" t="s">
        <v>15</v>
      </c>
      <c r="D29" s="184" t="s">
        <v>129</v>
      </c>
      <c r="E29" s="81">
        <v>3</v>
      </c>
      <c r="F29" s="82">
        <v>2</v>
      </c>
      <c r="G29" s="91"/>
      <c r="H29" s="92"/>
      <c r="I29" s="91"/>
      <c r="J29" s="92"/>
      <c r="K29" s="83"/>
      <c r="L29" s="185">
        <v>2</v>
      </c>
      <c r="M29" s="244"/>
      <c r="N29" s="245"/>
    </row>
    <row r="30" spans="1:14" ht="15" customHeight="1" thickBot="1">
      <c r="A30" s="37"/>
      <c r="B30" s="38" t="s">
        <v>43</v>
      </c>
      <c r="C30" s="39" t="s">
        <v>10</v>
      </c>
      <c r="D30" s="44" t="s">
        <v>42</v>
      </c>
      <c r="E30" s="45">
        <v>3</v>
      </c>
      <c r="F30" s="46">
        <v>3</v>
      </c>
      <c r="G30" s="47"/>
      <c r="H30" s="48"/>
      <c r="I30" s="47">
        <v>3</v>
      </c>
      <c r="J30" s="48"/>
      <c r="K30" s="49"/>
      <c r="L30" s="50"/>
      <c r="M30" s="70">
        <v>3</v>
      </c>
      <c r="N30" s="199">
        <v>12</v>
      </c>
    </row>
    <row r="31" spans="1:14" s="1" customFormat="1" ht="15" customHeight="1">
      <c r="A31" s="210" t="s">
        <v>78</v>
      </c>
      <c r="B31" s="203" t="s">
        <v>35</v>
      </c>
      <c r="C31" s="5" t="s">
        <v>34</v>
      </c>
      <c r="D31" s="41" t="s">
        <v>51</v>
      </c>
      <c r="E31" s="6">
        <v>4</v>
      </c>
      <c r="F31" s="189">
        <v>3</v>
      </c>
      <c r="G31" s="171"/>
      <c r="H31" s="8"/>
      <c r="I31" s="22" t="s">
        <v>57</v>
      </c>
      <c r="J31" s="8"/>
      <c r="K31" s="171"/>
      <c r="L31" s="8"/>
      <c r="M31" s="205">
        <v>12</v>
      </c>
      <c r="N31" s="219"/>
    </row>
    <row r="32" spans="1:14" s="1" customFormat="1" ht="15" customHeight="1">
      <c r="A32" s="211"/>
      <c r="B32" s="204"/>
      <c r="C32" s="177" t="s">
        <v>10</v>
      </c>
      <c r="D32" s="23" t="s">
        <v>134</v>
      </c>
      <c r="E32" s="10">
        <v>4</v>
      </c>
      <c r="F32" s="190">
        <v>3</v>
      </c>
      <c r="G32" s="183"/>
      <c r="H32" s="65"/>
      <c r="I32" s="194">
        <v>3</v>
      </c>
      <c r="J32" s="12"/>
      <c r="K32" s="183"/>
      <c r="L32" s="65"/>
      <c r="M32" s="206"/>
      <c r="N32" s="220"/>
    </row>
    <row r="33" spans="1:14" s="1" customFormat="1" ht="15" customHeight="1" thickBot="1">
      <c r="A33" s="211"/>
      <c r="B33" s="188" t="s">
        <v>132</v>
      </c>
      <c r="C33" s="9" t="s">
        <v>130</v>
      </c>
      <c r="D33" s="23" t="s">
        <v>131</v>
      </c>
      <c r="E33" s="174">
        <v>4</v>
      </c>
      <c r="F33" s="175">
        <v>3</v>
      </c>
      <c r="G33" s="183"/>
      <c r="H33" s="65"/>
      <c r="I33" s="195">
        <v>3</v>
      </c>
      <c r="J33" s="12"/>
      <c r="K33" s="16"/>
      <c r="L33" s="65"/>
      <c r="M33" s="206"/>
      <c r="N33" s="220"/>
    </row>
    <row r="34" spans="1:14" s="1" customFormat="1" ht="15" customHeight="1">
      <c r="A34" s="211"/>
      <c r="B34" s="208" t="s">
        <v>133</v>
      </c>
      <c r="C34" s="5" t="s">
        <v>10</v>
      </c>
      <c r="D34" s="41" t="s">
        <v>137</v>
      </c>
      <c r="E34" s="6">
        <v>4</v>
      </c>
      <c r="F34" s="7">
        <v>3</v>
      </c>
      <c r="G34" s="171"/>
      <c r="H34" s="8"/>
      <c r="I34" s="191"/>
      <c r="J34" s="101" t="s">
        <v>57</v>
      </c>
      <c r="K34" s="171"/>
      <c r="L34" s="8"/>
      <c r="M34" s="206"/>
      <c r="N34" s="220"/>
    </row>
    <row r="35" spans="1:14" s="1" customFormat="1" ht="15" customHeight="1">
      <c r="A35" s="211"/>
      <c r="B35" s="209"/>
      <c r="C35" s="9" t="s">
        <v>15</v>
      </c>
      <c r="D35" s="186" t="s">
        <v>136</v>
      </c>
      <c r="E35" s="10">
        <v>4</v>
      </c>
      <c r="F35" s="11">
        <v>3</v>
      </c>
      <c r="G35" s="172"/>
      <c r="H35" s="12"/>
      <c r="I35" s="192"/>
      <c r="J35" s="196">
        <v>3</v>
      </c>
      <c r="K35" s="172"/>
      <c r="L35" s="12"/>
      <c r="M35" s="206"/>
      <c r="N35" s="220"/>
    </row>
    <row r="36" spans="1:14" s="1" customFormat="1" ht="12.6" customHeight="1" thickBot="1">
      <c r="A36" s="211"/>
      <c r="B36" s="187" t="s">
        <v>132</v>
      </c>
      <c r="C36" s="42" t="s">
        <v>15</v>
      </c>
      <c r="D36" s="42" t="s">
        <v>126</v>
      </c>
      <c r="E36" s="81">
        <v>4</v>
      </c>
      <c r="F36" s="82">
        <v>3</v>
      </c>
      <c r="G36" s="173"/>
      <c r="H36" s="28"/>
      <c r="I36" s="193"/>
      <c r="J36" s="197">
        <v>3</v>
      </c>
      <c r="K36" s="173"/>
      <c r="L36" s="28"/>
      <c r="M36" s="207"/>
      <c r="N36" s="220"/>
    </row>
    <row r="37" spans="1:14" ht="15" customHeight="1">
      <c r="A37" s="211"/>
      <c r="B37" s="203" t="s">
        <v>37</v>
      </c>
      <c r="C37" s="5" t="s">
        <v>10</v>
      </c>
      <c r="D37" s="41" t="s">
        <v>63</v>
      </c>
      <c r="E37" s="254">
        <v>4</v>
      </c>
      <c r="F37" s="251">
        <v>4</v>
      </c>
      <c r="G37" s="141"/>
      <c r="H37" s="8"/>
      <c r="I37" s="22"/>
      <c r="J37" s="8"/>
      <c r="K37" s="33" t="s">
        <v>65</v>
      </c>
      <c r="L37" s="67"/>
      <c r="M37" s="205">
        <v>4</v>
      </c>
      <c r="N37" s="220"/>
    </row>
    <row r="38" spans="1:14" ht="15" customHeight="1">
      <c r="A38" s="211"/>
      <c r="B38" s="214"/>
      <c r="C38" s="68" t="s">
        <v>15</v>
      </c>
      <c r="D38" s="23" t="s">
        <v>70</v>
      </c>
      <c r="E38" s="223"/>
      <c r="F38" s="225"/>
      <c r="G38" s="148"/>
      <c r="H38" s="65"/>
      <c r="I38" s="26"/>
      <c r="J38" s="65"/>
      <c r="K38" s="230">
        <v>4</v>
      </c>
      <c r="L38" s="32"/>
      <c r="M38" s="206"/>
      <c r="N38" s="220"/>
    </row>
    <row r="39" spans="1:14" ht="15" customHeight="1" thickBot="1">
      <c r="A39" s="211"/>
      <c r="B39" s="227"/>
      <c r="C39" s="145" t="s">
        <v>45</v>
      </c>
      <c r="D39" s="94" t="s">
        <v>71</v>
      </c>
      <c r="E39" s="255"/>
      <c r="F39" s="252"/>
      <c r="G39" s="137"/>
      <c r="H39" s="138"/>
      <c r="I39" s="95"/>
      <c r="J39" s="138"/>
      <c r="K39" s="231"/>
      <c r="L39" s="96"/>
      <c r="M39" s="244"/>
      <c r="N39" s="220"/>
    </row>
    <row r="40" spans="1:14" ht="15" customHeight="1" thickBot="1">
      <c r="A40" s="211"/>
      <c r="B40" s="203" t="s">
        <v>46</v>
      </c>
      <c r="C40" s="5" t="s">
        <v>10</v>
      </c>
      <c r="D40" s="41" t="s">
        <v>53</v>
      </c>
      <c r="E40" s="254">
        <v>4</v>
      </c>
      <c r="F40" s="251">
        <v>4</v>
      </c>
      <c r="G40" s="141"/>
      <c r="H40" s="8"/>
      <c r="I40" s="97"/>
      <c r="J40" s="8"/>
      <c r="K40" s="162" t="s">
        <v>65</v>
      </c>
      <c r="L40" s="67"/>
      <c r="M40" s="205">
        <v>4</v>
      </c>
      <c r="N40" s="220"/>
    </row>
    <row r="41" spans="1:14" ht="15" customHeight="1">
      <c r="A41" s="211"/>
      <c r="B41" s="214"/>
      <c r="C41" s="68" t="s">
        <v>15</v>
      </c>
      <c r="D41" s="23" t="s">
        <v>69</v>
      </c>
      <c r="E41" s="223"/>
      <c r="F41" s="225"/>
      <c r="G41" s="148"/>
      <c r="H41" s="65"/>
      <c r="I41" s="31"/>
      <c r="J41" s="65"/>
      <c r="K41" s="253">
        <v>4</v>
      </c>
      <c r="L41" s="32"/>
      <c r="M41" s="206"/>
      <c r="N41" s="220"/>
    </row>
    <row r="42" spans="1:14" ht="15" customHeight="1" thickBot="1">
      <c r="A42" s="211"/>
      <c r="B42" s="227"/>
      <c r="C42" s="145" t="s">
        <v>45</v>
      </c>
      <c r="D42" s="94" t="s">
        <v>68</v>
      </c>
      <c r="E42" s="255"/>
      <c r="F42" s="252"/>
      <c r="G42" s="137"/>
      <c r="H42" s="138"/>
      <c r="I42" s="98"/>
      <c r="J42" s="138"/>
      <c r="K42" s="231"/>
      <c r="L42" s="96"/>
      <c r="M42" s="244"/>
      <c r="N42" s="220"/>
    </row>
    <row r="43" spans="1:14" ht="15" customHeight="1">
      <c r="A43" s="211"/>
      <c r="B43" s="203" t="s">
        <v>48</v>
      </c>
      <c r="C43" s="5" t="s">
        <v>34</v>
      </c>
      <c r="D43" s="41" t="s">
        <v>109</v>
      </c>
      <c r="E43" s="254">
        <v>4</v>
      </c>
      <c r="F43" s="251">
        <v>4</v>
      </c>
      <c r="G43" s="141"/>
      <c r="H43" s="8"/>
      <c r="I43" s="97"/>
      <c r="J43" s="8"/>
      <c r="K43" s="34" t="s">
        <v>44</v>
      </c>
      <c r="L43" s="67"/>
      <c r="M43" s="205">
        <v>4</v>
      </c>
      <c r="N43" s="220"/>
    </row>
    <row r="44" spans="1:14" ht="15" customHeight="1">
      <c r="A44" s="211"/>
      <c r="B44" s="214"/>
      <c r="C44" s="68" t="s">
        <v>15</v>
      </c>
      <c r="D44" s="23" t="s">
        <v>144</v>
      </c>
      <c r="E44" s="223"/>
      <c r="F44" s="225"/>
      <c r="G44" s="148"/>
      <c r="H44" s="65"/>
      <c r="I44" s="31"/>
      <c r="J44" s="65"/>
      <c r="K44" s="230">
        <v>4</v>
      </c>
      <c r="L44" s="32"/>
      <c r="M44" s="206"/>
      <c r="N44" s="220"/>
    </row>
    <row r="45" spans="1:14" ht="15" customHeight="1" thickBot="1">
      <c r="A45" s="211"/>
      <c r="B45" s="227"/>
      <c r="C45" s="145" t="s">
        <v>45</v>
      </c>
      <c r="D45" s="94" t="s">
        <v>66</v>
      </c>
      <c r="E45" s="255"/>
      <c r="F45" s="252"/>
      <c r="G45" s="137"/>
      <c r="H45" s="138"/>
      <c r="I45" s="98"/>
      <c r="J45" s="138"/>
      <c r="K45" s="231"/>
      <c r="L45" s="96"/>
      <c r="M45" s="244"/>
      <c r="N45" s="220"/>
    </row>
    <row r="46" spans="1:14" ht="15" customHeight="1">
      <c r="A46" s="211"/>
      <c r="B46" s="142"/>
      <c r="C46" s="68" t="s">
        <v>10</v>
      </c>
      <c r="D46" s="68" t="s">
        <v>62</v>
      </c>
      <c r="E46" s="223">
        <v>3</v>
      </c>
      <c r="F46" s="225">
        <v>3</v>
      </c>
      <c r="G46" s="16"/>
      <c r="H46" s="100"/>
      <c r="I46" s="148"/>
      <c r="J46" s="24"/>
      <c r="K46" s="161"/>
      <c r="L46" s="163" t="s">
        <v>122</v>
      </c>
      <c r="M46" s="206">
        <v>9</v>
      </c>
      <c r="N46" s="220"/>
    </row>
    <row r="47" spans="1:14" ht="15" customHeight="1">
      <c r="A47" s="211"/>
      <c r="B47" s="142" t="s">
        <v>43</v>
      </c>
      <c r="C47" s="228" t="s">
        <v>15</v>
      </c>
      <c r="D47" s="228" t="s">
        <v>123</v>
      </c>
      <c r="E47" s="223"/>
      <c r="F47" s="225"/>
      <c r="G47" s="27"/>
      <c r="H47" s="72"/>
      <c r="I47" s="139"/>
      <c r="J47" s="30"/>
      <c r="K47" s="29"/>
      <c r="L47" s="164">
        <v>3</v>
      </c>
      <c r="M47" s="206"/>
      <c r="N47" s="220"/>
    </row>
    <row r="48" spans="1:14" ht="15" customHeight="1">
      <c r="A48" s="211"/>
      <c r="B48" s="155"/>
      <c r="C48" s="229"/>
      <c r="D48" s="229"/>
      <c r="E48" s="223"/>
      <c r="F48" s="225"/>
      <c r="G48" s="157"/>
      <c r="H48" s="158"/>
      <c r="I48" s="156"/>
      <c r="J48" s="159"/>
      <c r="K48" s="160"/>
      <c r="L48" s="165">
        <v>3</v>
      </c>
      <c r="M48" s="206"/>
      <c r="N48" s="220"/>
    </row>
    <row r="49" spans="1:14" ht="15" customHeight="1" thickBot="1">
      <c r="A49" s="212"/>
      <c r="B49" s="147"/>
      <c r="C49" s="103" t="s">
        <v>45</v>
      </c>
      <c r="D49" s="103" t="s">
        <v>61</v>
      </c>
      <c r="E49" s="224"/>
      <c r="F49" s="226"/>
      <c r="G49" s="104"/>
      <c r="H49" s="105"/>
      <c r="I49" s="106"/>
      <c r="J49" s="107"/>
      <c r="K49" s="108"/>
      <c r="L49" s="166">
        <v>3</v>
      </c>
      <c r="M49" s="222"/>
      <c r="N49" s="221"/>
    </row>
    <row r="50" spans="1:14" ht="15" customHeight="1" thickTop="1" thickBot="1">
      <c r="A50" s="265" t="s">
        <v>104</v>
      </c>
      <c r="B50" s="266"/>
      <c r="C50" s="266"/>
      <c r="D50" s="266"/>
      <c r="E50" s="266"/>
      <c r="F50" s="267"/>
      <c r="G50" s="128">
        <f t="shared" ref="G50:M50" si="0">SUM(G5:G49)</f>
        <v>16</v>
      </c>
      <c r="H50" s="143">
        <f t="shared" si="0"/>
        <v>18</v>
      </c>
      <c r="I50" s="150">
        <f t="shared" si="0"/>
        <v>18</v>
      </c>
      <c r="J50" s="144">
        <f t="shared" si="0"/>
        <v>18</v>
      </c>
      <c r="K50" s="150">
        <f t="shared" si="0"/>
        <v>18</v>
      </c>
      <c r="L50" s="144">
        <f t="shared" si="0"/>
        <v>18</v>
      </c>
      <c r="M50" s="128">
        <f t="shared" si="0"/>
        <v>106</v>
      </c>
      <c r="N50" s="121">
        <v>75</v>
      </c>
    </row>
    <row r="51" spans="1:14" ht="15" customHeight="1">
      <c r="A51" s="210" t="s">
        <v>75</v>
      </c>
      <c r="B51" s="203" t="s">
        <v>41</v>
      </c>
      <c r="C51" s="5" t="s">
        <v>89</v>
      </c>
      <c r="D51" s="64" t="s">
        <v>79</v>
      </c>
      <c r="E51" s="6">
        <v>4</v>
      </c>
      <c r="F51" s="7">
        <v>2</v>
      </c>
      <c r="G51" s="63">
        <v>2</v>
      </c>
      <c r="H51" s="51"/>
      <c r="I51" s="52"/>
      <c r="J51" s="51"/>
      <c r="K51" s="53"/>
      <c r="L51" s="54"/>
      <c r="M51" s="216">
        <f>SUM(G51:L57)</f>
        <v>68</v>
      </c>
      <c r="N51" s="219">
        <v>68</v>
      </c>
    </row>
    <row r="52" spans="1:14" ht="15" customHeight="1">
      <c r="A52" s="211"/>
      <c r="B52" s="214"/>
      <c r="C52" s="68" t="s">
        <v>89</v>
      </c>
      <c r="D52" s="15" t="s">
        <v>114</v>
      </c>
      <c r="E52" s="10">
        <v>4</v>
      </c>
      <c r="F52" s="11">
        <v>12</v>
      </c>
      <c r="G52" s="55">
        <v>12</v>
      </c>
      <c r="H52" s="56"/>
      <c r="I52" s="57"/>
      <c r="J52" s="56"/>
      <c r="K52" s="58"/>
      <c r="L52" s="30"/>
      <c r="M52" s="217"/>
      <c r="N52" s="220"/>
    </row>
    <row r="53" spans="1:14" ht="15" customHeight="1">
      <c r="A53" s="211"/>
      <c r="B53" s="214"/>
      <c r="C53" s="9" t="s">
        <v>89</v>
      </c>
      <c r="D53" s="15" t="s">
        <v>115</v>
      </c>
      <c r="E53" s="136">
        <v>4</v>
      </c>
      <c r="F53" s="25">
        <v>11</v>
      </c>
      <c r="G53" s="55"/>
      <c r="H53" s="56">
        <v>11</v>
      </c>
      <c r="I53" s="55"/>
      <c r="J53" s="56"/>
      <c r="K53" s="59"/>
      <c r="L53" s="30"/>
      <c r="M53" s="217"/>
      <c r="N53" s="220"/>
    </row>
    <row r="54" spans="1:14" ht="15" customHeight="1">
      <c r="A54" s="211"/>
      <c r="B54" s="214"/>
      <c r="C54" s="9" t="s">
        <v>89</v>
      </c>
      <c r="D54" s="60" t="s">
        <v>116</v>
      </c>
      <c r="E54" s="136">
        <v>4</v>
      </c>
      <c r="F54" s="25">
        <v>12</v>
      </c>
      <c r="G54" s="55"/>
      <c r="H54" s="56"/>
      <c r="I54" s="55">
        <v>12</v>
      </c>
      <c r="J54" s="56"/>
      <c r="K54" s="59"/>
      <c r="L54" s="30"/>
      <c r="M54" s="217"/>
      <c r="N54" s="220"/>
    </row>
    <row r="55" spans="1:14" ht="15" customHeight="1">
      <c r="A55" s="211"/>
      <c r="B55" s="214"/>
      <c r="C55" s="9" t="s">
        <v>89</v>
      </c>
      <c r="D55" s="60" t="s">
        <v>117</v>
      </c>
      <c r="E55" s="136">
        <v>4</v>
      </c>
      <c r="F55" s="25">
        <v>11</v>
      </c>
      <c r="G55" s="55"/>
      <c r="H55" s="56"/>
      <c r="I55" s="55"/>
      <c r="J55" s="56">
        <v>11</v>
      </c>
      <c r="K55" s="59"/>
      <c r="L55" s="30"/>
      <c r="M55" s="217"/>
      <c r="N55" s="220"/>
    </row>
    <row r="56" spans="1:14" ht="15" customHeight="1">
      <c r="A56" s="211"/>
      <c r="B56" s="214"/>
      <c r="C56" s="9" t="s">
        <v>89</v>
      </c>
      <c r="D56" s="60" t="s">
        <v>118</v>
      </c>
      <c r="E56" s="136">
        <v>4</v>
      </c>
      <c r="F56" s="25">
        <v>11</v>
      </c>
      <c r="G56" s="55"/>
      <c r="H56" s="56"/>
      <c r="I56" s="55"/>
      <c r="J56" s="56"/>
      <c r="K56" s="59">
        <v>11</v>
      </c>
      <c r="L56" s="30"/>
      <c r="M56" s="217"/>
      <c r="N56" s="220"/>
    </row>
    <row r="57" spans="1:14" ht="15" customHeight="1" thickBot="1">
      <c r="A57" s="212"/>
      <c r="B57" s="215"/>
      <c r="C57" s="103" t="s">
        <v>89</v>
      </c>
      <c r="D57" s="154" t="s">
        <v>119</v>
      </c>
      <c r="E57" s="115">
        <v>4</v>
      </c>
      <c r="F57" s="116">
        <v>9</v>
      </c>
      <c r="G57" s="117"/>
      <c r="H57" s="118"/>
      <c r="I57" s="117"/>
      <c r="J57" s="118"/>
      <c r="K57" s="119"/>
      <c r="L57" s="107">
        <v>9</v>
      </c>
      <c r="M57" s="218"/>
      <c r="N57" s="221"/>
    </row>
    <row r="58" spans="1:14" ht="15" customHeight="1" thickTop="1" thickBot="1">
      <c r="A58" s="259" t="s">
        <v>108</v>
      </c>
      <c r="B58" s="260"/>
      <c r="C58" s="260"/>
      <c r="D58" s="260"/>
      <c r="E58" s="260"/>
      <c r="F58" s="261"/>
      <c r="G58" s="110">
        <f t="shared" ref="G58:L58" si="1">SUM(G51:G57)</f>
        <v>14</v>
      </c>
      <c r="H58" s="123">
        <f t="shared" si="1"/>
        <v>11</v>
      </c>
      <c r="I58" s="110">
        <f t="shared" si="1"/>
        <v>12</v>
      </c>
      <c r="J58" s="123">
        <f t="shared" si="1"/>
        <v>11</v>
      </c>
      <c r="K58" s="130">
        <f t="shared" si="1"/>
        <v>11</v>
      </c>
      <c r="L58" s="123">
        <f t="shared" si="1"/>
        <v>9</v>
      </c>
      <c r="M58" s="130">
        <f>SUM(G58:L58)</f>
        <v>68</v>
      </c>
      <c r="N58" s="123">
        <f>N51</f>
        <v>68</v>
      </c>
    </row>
    <row r="59" spans="1:14" ht="15" customHeight="1" thickBot="1">
      <c r="A59" s="268" t="s">
        <v>107</v>
      </c>
      <c r="B59" s="269"/>
      <c r="C59" s="269"/>
      <c r="D59" s="269"/>
      <c r="E59" s="269"/>
      <c r="F59" s="270"/>
      <c r="G59" s="124">
        <f t="shared" ref="G59:L59" si="2">G50+G58</f>
        <v>30</v>
      </c>
      <c r="H59" s="125">
        <f t="shared" si="2"/>
        <v>29</v>
      </c>
      <c r="I59" s="124">
        <f t="shared" si="2"/>
        <v>30</v>
      </c>
      <c r="J59" s="125">
        <f t="shared" si="2"/>
        <v>29</v>
      </c>
      <c r="K59" s="134">
        <f t="shared" si="2"/>
        <v>29</v>
      </c>
      <c r="L59" s="125">
        <f t="shared" si="2"/>
        <v>27</v>
      </c>
      <c r="M59" s="134">
        <f>M50+M58</f>
        <v>174</v>
      </c>
      <c r="N59" s="125"/>
    </row>
    <row r="60" spans="1:14" ht="15" customHeight="1" thickBot="1">
      <c r="A60" s="262" t="s">
        <v>18</v>
      </c>
      <c r="B60" s="263"/>
      <c r="C60" s="263"/>
      <c r="D60" s="263"/>
      <c r="E60" s="263"/>
      <c r="F60" s="264"/>
      <c r="G60" s="131">
        <v>3</v>
      </c>
      <c r="H60" s="132">
        <v>3</v>
      </c>
      <c r="I60" s="131">
        <v>3</v>
      </c>
      <c r="J60" s="132">
        <v>3</v>
      </c>
      <c r="K60" s="133">
        <v>3</v>
      </c>
      <c r="L60" s="132">
        <v>3</v>
      </c>
      <c r="M60" s="133">
        <f>SUM(G60:L60)</f>
        <v>18</v>
      </c>
      <c r="N60" s="132">
        <v>18</v>
      </c>
    </row>
    <row r="61" spans="1:14" ht="15" customHeight="1" thickTop="1" thickBot="1">
      <c r="A61" s="256" t="s">
        <v>36</v>
      </c>
      <c r="B61" s="257"/>
      <c r="C61" s="257"/>
      <c r="D61" s="257"/>
      <c r="E61" s="257"/>
      <c r="F61" s="258"/>
      <c r="G61" s="120">
        <f t="shared" ref="G61:M61" si="3">G58+G60 +G50</f>
        <v>33</v>
      </c>
      <c r="H61" s="121">
        <f t="shared" si="3"/>
        <v>32</v>
      </c>
      <c r="I61" s="120">
        <f t="shared" si="3"/>
        <v>33</v>
      </c>
      <c r="J61" s="121">
        <f t="shared" si="3"/>
        <v>32</v>
      </c>
      <c r="K61" s="128">
        <f t="shared" si="3"/>
        <v>32</v>
      </c>
      <c r="L61" s="121">
        <f t="shared" si="3"/>
        <v>30</v>
      </c>
      <c r="M61" s="128">
        <f t="shared" si="3"/>
        <v>192</v>
      </c>
      <c r="N61" s="120">
        <v>192</v>
      </c>
    </row>
    <row r="62" spans="1:14" ht="127.95" customHeight="1">
      <c r="A62" s="213" t="s">
        <v>143</v>
      </c>
      <c r="B62" s="213"/>
      <c r="C62" s="213"/>
      <c r="D62" s="213"/>
      <c r="E62" s="213"/>
      <c r="F62" s="213"/>
      <c r="G62" s="213"/>
      <c r="H62" s="213"/>
      <c r="I62" s="213"/>
      <c r="J62" s="213"/>
      <c r="K62" s="213"/>
      <c r="L62" s="213"/>
      <c r="M62" s="213"/>
      <c r="N62" s="213"/>
    </row>
  </sheetData>
  <mergeCells count="71">
    <mergeCell ref="A1:N1"/>
    <mergeCell ref="N28:N29"/>
    <mergeCell ref="B37:B39"/>
    <mergeCell ref="E37:E39"/>
    <mergeCell ref="B28:B29"/>
    <mergeCell ref="M28:M29"/>
    <mergeCell ref="B21:B22"/>
    <mergeCell ref="M21:M22"/>
    <mergeCell ref="N21:N22"/>
    <mergeCell ref="M37:M39"/>
    <mergeCell ref="M19:M20"/>
    <mergeCell ref="N19:N20"/>
    <mergeCell ref="F37:F39"/>
    <mergeCell ref="A5:A29"/>
    <mergeCell ref="B5:B8"/>
    <mergeCell ref="M5:M8"/>
    <mergeCell ref="A61:F61"/>
    <mergeCell ref="A58:F58"/>
    <mergeCell ref="A60:F60"/>
    <mergeCell ref="A50:F50"/>
    <mergeCell ref="E43:E45"/>
    <mergeCell ref="F43:F45"/>
    <mergeCell ref="A59:F59"/>
    <mergeCell ref="F40:F42"/>
    <mergeCell ref="B43:B45"/>
    <mergeCell ref="A51:A57"/>
    <mergeCell ref="K44:K45"/>
    <mergeCell ref="M43:M45"/>
    <mergeCell ref="K41:K42"/>
    <mergeCell ref="M40:M42"/>
    <mergeCell ref="E40:E42"/>
    <mergeCell ref="N5:N8"/>
    <mergeCell ref="B9:B12"/>
    <mergeCell ref="M9:M12"/>
    <mergeCell ref="N9:N12"/>
    <mergeCell ref="B13:B16"/>
    <mergeCell ref="M13:M16"/>
    <mergeCell ref="N13:N16"/>
    <mergeCell ref="B23:B27"/>
    <mergeCell ref="M23:M27"/>
    <mergeCell ref="N23:N27"/>
    <mergeCell ref="B17:B20"/>
    <mergeCell ref="M17:M18"/>
    <mergeCell ref="N17:N18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  <mergeCell ref="B31:B32"/>
    <mergeCell ref="M31:M36"/>
    <mergeCell ref="B34:B35"/>
    <mergeCell ref="A31:A49"/>
    <mergeCell ref="A62:N62"/>
    <mergeCell ref="B51:B57"/>
    <mergeCell ref="M51:M57"/>
    <mergeCell ref="N51:N57"/>
    <mergeCell ref="M46:M49"/>
    <mergeCell ref="E46:E49"/>
    <mergeCell ref="F46:F49"/>
    <mergeCell ref="N31:N49"/>
    <mergeCell ref="B40:B42"/>
    <mergeCell ref="D47:D48"/>
    <mergeCell ref="C47:C48"/>
    <mergeCell ref="K38:K39"/>
  </mergeCells>
  <phoneticPr fontId="2" type="noConversion"/>
  <pageMargins left="0.7" right="0.7" top="0.75" bottom="0.75" header="0.3" footer="0.3"/>
  <pageSetup paperSize="9"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ABFE7-B73E-461E-B626-7B732A994FA2}">
  <sheetPr>
    <tabColor rgb="FFFFC000"/>
    <pageSetUpPr fitToPage="1"/>
  </sheetPr>
  <dimension ref="A1:T80"/>
  <sheetViews>
    <sheetView tabSelected="1" view="pageBreakPreview" zoomScaleNormal="100" zoomScaleSheetLayoutView="100" workbookViewId="0">
      <pane xSplit="1" ySplit="4" topLeftCell="D38" activePane="bottomRight" state="frozen"/>
      <selection activeCell="U23" sqref="U23"/>
      <selection pane="topRight" activeCell="U23" sqref="U23"/>
      <selection pane="bottomLeft" activeCell="U23" sqref="U23"/>
      <selection pane="bottomRight" activeCell="D65" sqref="D65"/>
    </sheetView>
  </sheetViews>
  <sheetFormatPr defaultColWidth="9" defaultRowHeight="14.4"/>
  <cols>
    <col min="1" max="1" width="4.59765625" style="2" customWidth="1"/>
    <col min="2" max="2" width="8.09765625" style="3" customWidth="1"/>
    <col min="3" max="3" width="6.59765625" style="2" customWidth="1"/>
    <col min="4" max="4" width="55.59765625" style="3" customWidth="1"/>
    <col min="5" max="8" width="5.59765625" style="2" customWidth="1"/>
    <col min="9" max="10" width="5.59765625" style="3" customWidth="1"/>
    <col min="11" max="12" width="5.59765625" style="2" customWidth="1"/>
    <col min="13" max="14" width="5.59765625" style="3" customWidth="1"/>
    <col min="15" max="15" width="4.8984375" style="1" customWidth="1"/>
    <col min="16" max="16" width="15.19921875" style="1" customWidth="1"/>
    <col min="17" max="16384" width="9" style="1"/>
  </cols>
  <sheetData>
    <row r="1" spans="1:14" ht="24.6" customHeight="1">
      <c r="A1" s="271" t="s">
        <v>140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</row>
    <row r="2" spans="1:14" ht="17.399999999999999" customHeight="1" thickBot="1">
      <c r="A2" s="232"/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</row>
    <row r="3" spans="1:14" ht="24.9" customHeight="1">
      <c r="A3" s="233" t="s">
        <v>0</v>
      </c>
      <c r="B3" s="235" t="s">
        <v>1</v>
      </c>
      <c r="C3" s="235" t="s">
        <v>2</v>
      </c>
      <c r="D3" s="235"/>
      <c r="E3" s="235" t="s">
        <v>30</v>
      </c>
      <c r="F3" s="237" t="s">
        <v>31</v>
      </c>
      <c r="G3" s="239" t="s">
        <v>3</v>
      </c>
      <c r="H3" s="240"/>
      <c r="I3" s="239" t="s">
        <v>4</v>
      </c>
      <c r="J3" s="240"/>
      <c r="K3" s="239" t="s">
        <v>5</v>
      </c>
      <c r="L3" s="240"/>
      <c r="M3" s="241" t="s">
        <v>32</v>
      </c>
      <c r="N3" s="240" t="s">
        <v>33</v>
      </c>
    </row>
    <row r="4" spans="1:14" ht="24.9" customHeight="1" thickBot="1">
      <c r="A4" s="234"/>
      <c r="B4" s="236"/>
      <c r="C4" s="236"/>
      <c r="D4" s="236"/>
      <c r="E4" s="236"/>
      <c r="F4" s="238"/>
      <c r="G4" s="73" t="s">
        <v>6</v>
      </c>
      <c r="H4" s="74" t="s">
        <v>7</v>
      </c>
      <c r="I4" s="73" t="s">
        <v>6</v>
      </c>
      <c r="J4" s="74" t="s">
        <v>7</v>
      </c>
      <c r="K4" s="73" t="s">
        <v>6</v>
      </c>
      <c r="L4" s="74" t="s">
        <v>7</v>
      </c>
      <c r="M4" s="242"/>
      <c r="N4" s="243"/>
    </row>
    <row r="5" spans="1:14" ht="15" customHeight="1" thickTop="1">
      <c r="A5" s="211" t="s">
        <v>77</v>
      </c>
      <c r="B5" s="275" t="s">
        <v>8</v>
      </c>
      <c r="C5" s="75" t="s">
        <v>9</v>
      </c>
      <c r="D5" s="75" t="s">
        <v>19</v>
      </c>
      <c r="E5" s="76">
        <v>4</v>
      </c>
      <c r="F5" s="77">
        <v>3</v>
      </c>
      <c r="G5" s="78">
        <v>3</v>
      </c>
      <c r="H5" s="79"/>
      <c r="I5" s="78"/>
      <c r="J5" s="79"/>
      <c r="K5" s="78"/>
      <c r="L5" s="79"/>
      <c r="M5" s="276">
        <f>SUM(G5:L8)</f>
        <v>12</v>
      </c>
      <c r="N5" s="250">
        <v>8</v>
      </c>
    </row>
    <row r="6" spans="1:14" ht="15" customHeight="1">
      <c r="A6" s="211"/>
      <c r="B6" s="214"/>
      <c r="C6" s="9" t="s">
        <v>9</v>
      </c>
      <c r="D6" s="9" t="s">
        <v>90</v>
      </c>
      <c r="E6" s="10">
        <v>4</v>
      </c>
      <c r="F6" s="11">
        <v>3</v>
      </c>
      <c r="G6" s="139"/>
      <c r="H6" s="12">
        <v>3</v>
      </c>
      <c r="I6" s="139"/>
      <c r="J6" s="12"/>
      <c r="K6" s="139"/>
      <c r="L6" s="12"/>
      <c r="M6" s="206"/>
      <c r="N6" s="220"/>
    </row>
    <row r="7" spans="1:14" ht="15" customHeight="1">
      <c r="A7" s="211"/>
      <c r="B7" s="214"/>
      <c r="C7" s="9" t="s">
        <v>38</v>
      </c>
      <c r="D7" s="9" t="s">
        <v>39</v>
      </c>
      <c r="E7" s="10">
        <v>4</v>
      </c>
      <c r="F7" s="11">
        <v>3</v>
      </c>
      <c r="G7" s="139"/>
      <c r="H7" s="12"/>
      <c r="I7" s="139">
        <v>3</v>
      </c>
      <c r="J7" s="12"/>
      <c r="K7" s="139"/>
      <c r="L7" s="12"/>
      <c r="M7" s="206"/>
      <c r="N7" s="220"/>
    </row>
    <row r="8" spans="1:14" ht="15" customHeight="1" thickBot="1">
      <c r="A8" s="211"/>
      <c r="B8" s="227"/>
      <c r="C8" s="42" t="s">
        <v>10</v>
      </c>
      <c r="D8" s="42" t="s">
        <v>52</v>
      </c>
      <c r="E8" s="81">
        <v>4</v>
      </c>
      <c r="F8" s="82">
        <v>3</v>
      </c>
      <c r="G8" s="140"/>
      <c r="H8" s="28"/>
      <c r="I8" s="140"/>
      <c r="J8" s="28">
        <v>3</v>
      </c>
      <c r="K8" s="140"/>
      <c r="L8" s="28"/>
      <c r="M8" s="244"/>
      <c r="N8" s="245"/>
    </row>
    <row r="9" spans="1:14" ht="15" customHeight="1">
      <c r="A9" s="211"/>
      <c r="B9" s="203" t="s">
        <v>11</v>
      </c>
      <c r="C9" s="5" t="s">
        <v>9</v>
      </c>
      <c r="D9" s="5" t="s">
        <v>20</v>
      </c>
      <c r="E9" s="6">
        <v>4</v>
      </c>
      <c r="F9" s="7">
        <v>3</v>
      </c>
      <c r="G9" s="141">
        <v>3</v>
      </c>
      <c r="H9" s="8"/>
      <c r="I9" s="141"/>
      <c r="J9" s="8"/>
      <c r="K9" s="141"/>
      <c r="L9" s="8"/>
      <c r="M9" s="205">
        <f>SUM(G9:L12)</f>
        <v>12</v>
      </c>
      <c r="N9" s="219">
        <v>8</v>
      </c>
    </row>
    <row r="10" spans="1:14" ht="15" customHeight="1">
      <c r="A10" s="211"/>
      <c r="B10" s="214"/>
      <c r="C10" s="9" t="s">
        <v>9</v>
      </c>
      <c r="D10" s="9" t="s">
        <v>21</v>
      </c>
      <c r="E10" s="10">
        <v>4</v>
      </c>
      <c r="F10" s="11">
        <v>3</v>
      </c>
      <c r="G10" s="139"/>
      <c r="H10" s="12">
        <v>3</v>
      </c>
      <c r="I10" s="139"/>
      <c r="J10" s="12"/>
      <c r="K10" s="139"/>
      <c r="L10" s="12"/>
      <c r="M10" s="206"/>
      <c r="N10" s="220"/>
    </row>
    <row r="11" spans="1:14" ht="15" customHeight="1">
      <c r="A11" s="211"/>
      <c r="B11" s="214"/>
      <c r="C11" s="9" t="s">
        <v>38</v>
      </c>
      <c r="D11" s="9" t="s">
        <v>40</v>
      </c>
      <c r="E11" s="10">
        <v>4</v>
      </c>
      <c r="F11" s="11">
        <v>3</v>
      </c>
      <c r="G11" s="139"/>
      <c r="H11" s="12"/>
      <c r="I11" s="139">
        <v>3</v>
      </c>
      <c r="J11" s="12"/>
      <c r="K11" s="139"/>
      <c r="L11" s="12"/>
      <c r="M11" s="206"/>
      <c r="N11" s="220"/>
    </row>
    <row r="12" spans="1:14" ht="15" customHeight="1" thickBot="1">
      <c r="A12" s="211"/>
      <c r="B12" s="227"/>
      <c r="C12" s="42" t="s">
        <v>50</v>
      </c>
      <c r="D12" s="42" t="s">
        <v>73</v>
      </c>
      <c r="E12" s="81">
        <v>4</v>
      </c>
      <c r="F12" s="82">
        <v>3</v>
      </c>
      <c r="G12" s="140"/>
      <c r="H12" s="28"/>
      <c r="I12" s="140"/>
      <c r="J12" s="28">
        <v>3</v>
      </c>
      <c r="K12" s="140"/>
      <c r="L12" s="28"/>
      <c r="M12" s="244"/>
      <c r="N12" s="245"/>
    </row>
    <row r="13" spans="1:14" ht="15" customHeight="1">
      <c r="A13" s="211"/>
      <c r="B13" s="203" t="s">
        <v>12</v>
      </c>
      <c r="C13" s="5" t="s">
        <v>9</v>
      </c>
      <c r="D13" s="5" t="s">
        <v>22</v>
      </c>
      <c r="E13" s="6">
        <v>4</v>
      </c>
      <c r="F13" s="7">
        <v>3</v>
      </c>
      <c r="G13" s="141">
        <v>3</v>
      </c>
      <c r="H13" s="8"/>
      <c r="I13" s="141"/>
      <c r="J13" s="8"/>
      <c r="K13" s="141"/>
      <c r="L13" s="8"/>
      <c r="M13" s="205">
        <f>SUM(G13:L16)</f>
        <v>12</v>
      </c>
      <c r="N13" s="219">
        <v>8</v>
      </c>
    </row>
    <row r="14" spans="1:14" ht="15" customHeight="1">
      <c r="A14" s="211"/>
      <c r="B14" s="214"/>
      <c r="C14" s="9" t="s">
        <v>9</v>
      </c>
      <c r="D14" s="9" t="s">
        <v>23</v>
      </c>
      <c r="E14" s="10">
        <v>4</v>
      </c>
      <c r="F14" s="11">
        <v>3</v>
      </c>
      <c r="G14" s="139"/>
      <c r="H14" s="12">
        <v>3</v>
      </c>
      <c r="I14" s="13"/>
      <c r="J14" s="14"/>
      <c r="K14" s="13"/>
      <c r="L14" s="14"/>
      <c r="M14" s="206"/>
      <c r="N14" s="220"/>
    </row>
    <row r="15" spans="1:14" ht="15" customHeight="1">
      <c r="A15" s="211"/>
      <c r="B15" s="214"/>
      <c r="C15" s="9" t="s">
        <v>38</v>
      </c>
      <c r="D15" s="9" t="s">
        <v>72</v>
      </c>
      <c r="E15" s="10">
        <v>4</v>
      </c>
      <c r="F15" s="11">
        <v>3</v>
      </c>
      <c r="G15" s="139"/>
      <c r="H15" s="12"/>
      <c r="I15" s="13">
        <v>3</v>
      </c>
      <c r="J15" s="14"/>
      <c r="K15" s="13"/>
      <c r="L15" s="14"/>
      <c r="M15" s="206"/>
      <c r="N15" s="220"/>
    </row>
    <row r="16" spans="1:14" ht="15" customHeight="1" thickBot="1">
      <c r="A16" s="211"/>
      <c r="B16" s="227"/>
      <c r="C16" s="42" t="s">
        <v>50</v>
      </c>
      <c r="D16" s="42" t="s">
        <v>74</v>
      </c>
      <c r="E16" s="81">
        <v>4</v>
      </c>
      <c r="F16" s="82">
        <v>3</v>
      </c>
      <c r="G16" s="140"/>
      <c r="H16" s="28"/>
      <c r="I16" s="83"/>
      <c r="J16" s="84">
        <v>3</v>
      </c>
      <c r="K16" s="83"/>
      <c r="L16" s="84"/>
      <c r="M16" s="244"/>
      <c r="N16" s="245"/>
    </row>
    <row r="17" spans="1:16" ht="15" customHeight="1">
      <c r="A17" s="211"/>
      <c r="B17" s="203" t="s">
        <v>13</v>
      </c>
      <c r="C17" s="5" t="s">
        <v>9</v>
      </c>
      <c r="D17" s="5" t="s">
        <v>26</v>
      </c>
      <c r="E17" s="6">
        <v>4</v>
      </c>
      <c r="F17" s="7">
        <v>3</v>
      </c>
      <c r="G17" s="141">
        <v>3</v>
      </c>
      <c r="H17" s="8"/>
      <c r="I17" s="85"/>
      <c r="J17" s="86"/>
      <c r="K17" s="85"/>
      <c r="L17" s="86"/>
      <c r="M17" s="246">
        <f>SUM(G17:L18)</f>
        <v>6</v>
      </c>
      <c r="N17" s="248">
        <v>8</v>
      </c>
    </row>
    <row r="18" spans="1:16" ht="15" customHeight="1">
      <c r="A18" s="211"/>
      <c r="B18" s="214"/>
      <c r="C18" s="9" t="s">
        <v>9</v>
      </c>
      <c r="D18" s="9" t="s">
        <v>27</v>
      </c>
      <c r="E18" s="10">
        <v>4</v>
      </c>
      <c r="F18" s="11">
        <v>3</v>
      </c>
      <c r="G18" s="139"/>
      <c r="H18" s="12">
        <v>3</v>
      </c>
      <c r="I18" s="13"/>
      <c r="J18" s="14"/>
      <c r="K18" s="13"/>
      <c r="L18" s="14"/>
      <c r="M18" s="247"/>
      <c r="N18" s="249"/>
    </row>
    <row r="19" spans="1:16" ht="15" customHeight="1">
      <c r="A19" s="211"/>
      <c r="B19" s="214"/>
      <c r="C19" s="9" t="s">
        <v>9</v>
      </c>
      <c r="D19" s="9" t="s">
        <v>24</v>
      </c>
      <c r="E19" s="10">
        <v>3</v>
      </c>
      <c r="F19" s="11">
        <v>3</v>
      </c>
      <c r="G19" s="139">
        <v>3</v>
      </c>
      <c r="H19" s="12"/>
      <c r="I19" s="13"/>
      <c r="J19" s="14"/>
      <c r="K19" s="13"/>
      <c r="L19" s="14"/>
      <c r="M19" s="247">
        <f>SUM(G19:L20)</f>
        <v>6</v>
      </c>
      <c r="N19" s="273">
        <v>6</v>
      </c>
    </row>
    <row r="20" spans="1:16" ht="15" customHeight="1" thickBot="1">
      <c r="A20" s="211"/>
      <c r="B20" s="227"/>
      <c r="C20" s="42" t="s">
        <v>9</v>
      </c>
      <c r="D20" s="42" t="s">
        <v>25</v>
      </c>
      <c r="E20" s="81">
        <v>3</v>
      </c>
      <c r="F20" s="82">
        <v>3</v>
      </c>
      <c r="G20" s="140"/>
      <c r="H20" s="28">
        <v>3</v>
      </c>
      <c r="I20" s="83"/>
      <c r="J20" s="84"/>
      <c r="K20" s="83"/>
      <c r="L20" s="84"/>
      <c r="M20" s="272"/>
      <c r="N20" s="274"/>
    </row>
    <row r="21" spans="1:16" ht="15" customHeight="1">
      <c r="A21" s="211"/>
      <c r="B21" s="203" t="s">
        <v>14</v>
      </c>
      <c r="C21" s="5" t="s">
        <v>9</v>
      </c>
      <c r="D21" s="64" t="s">
        <v>28</v>
      </c>
      <c r="E21" s="6">
        <v>4</v>
      </c>
      <c r="F21" s="7">
        <v>3</v>
      </c>
      <c r="G21" s="141">
        <v>3</v>
      </c>
      <c r="H21" s="8"/>
      <c r="I21" s="85"/>
      <c r="J21" s="86"/>
      <c r="K21" s="85"/>
      <c r="L21" s="86"/>
      <c r="M21" s="246">
        <f>SUM(G21:L22)</f>
        <v>6</v>
      </c>
      <c r="N21" s="219">
        <v>10</v>
      </c>
    </row>
    <row r="22" spans="1:16" ht="15" customHeight="1" thickBot="1">
      <c r="A22" s="211"/>
      <c r="B22" s="227"/>
      <c r="C22" s="42" t="s">
        <v>9</v>
      </c>
      <c r="D22" s="87" t="s">
        <v>29</v>
      </c>
      <c r="E22" s="81">
        <v>4</v>
      </c>
      <c r="F22" s="82">
        <v>3</v>
      </c>
      <c r="G22" s="140"/>
      <c r="H22" s="28">
        <v>3</v>
      </c>
      <c r="I22" s="83"/>
      <c r="J22" s="84"/>
      <c r="K22" s="83"/>
      <c r="L22" s="84"/>
      <c r="M22" s="272"/>
      <c r="N22" s="245"/>
    </row>
    <row r="23" spans="1:16" ht="15" customHeight="1">
      <c r="A23" s="211"/>
      <c r="B23" s="203" t="s">
        <v>41</v>
      </c>
      <c r="C23" s="5" t="s">
        <v>10</v>
      </c>
      <c r="D23" s="64" t="s">
        <v>58</v>
      </c>
      <c r="E23" s="6">
        <v>3</v>
      </c>
      <c r="F23" s="7">
        <v>2</v>
      </c>
      <c r="G23" s="141">
        <v>2</v>
      </c>
      <c r="H23" s="8"/>
      <c r="I23" s="85"/>
      <c r="J23" s="86"/>
      <c r="K23" s="85"/>
      <c r="L23" s="86"/>
      <c r="M23" s="205">
        <f>SUM(G23:L27)</f>
        <v>10</v>
      </c>
      <c r="N23" s="219">
        <v>10</v>
      </c>
    </row>
    <row r="24" spans="1:16" ht="15" customHeight="1">
      <c r="A24" s="211"/>
      <c r="B24" s="214"/>
      <c r="C24" s="9" t="s">
        <v>10</v>
      </c>
      <c r="D24" s="15" t="s">
        <v>59</v>
      </c>
      <c r="E24" s="10">
        <v>3</v>
      </c>
      <c r="F24" s="11">
        <v>2</v>
      </c>
      <c r="G24" s="139"/>
      <c r="H24" s="12"/>
      <c r="I24" s="13">
        <v>2</v>
      </c>
      <c r="J24" s="14"/>
      <c r="K24" s="13"/>
      <c r="L24" s="14"/>
      <c r="M24" s="206"/>
      <c r="N24" s="220"/>
    </row>
    <row r="25" spans="1:16" ht="15" customHeight="1">
      <c r="A25" s="211"/>
      <c r="B25" s="214"/>
      <c r="C25" s="9" t="s">
        <v>15</v>
      </c>
      <c r="D25" s="15" t="s">
        <v>60</v>
      </c>
      <c r="E25" s="10">
        <v>3</v>
      </c>
      <c r="F25" s="11">
        <v>2</v>
      </c>
      <c r="G25" s="139"/>
      <c r="H25" s="12"/>
      <c r="I25" s="13"/>
      <c r="J25" s="14">
        <v>2</v>
      </c>
      <c r="K25" s="13"/>
      <c r="L25" s="14"/>
      <c r="M25" s="206"/>
      <c r="N25" s="220"/>
    </row>
    <row r="26" spans="1:16" ht="15" customHeight="1">
      <c r="A26" s="211"/>
      <c r="B26" s="214"/>
      <c r="C26" s="9" t="s">
        <v>45</v>
      </c>
      <c r="D26" s="15" t="s">
        <v>86</v>
      </c>
      <c r="E26" s="10">
        <v>3</v>
      </c>
      <c r="F26" s="11">
        <v>2</v>
      </c>
      <c r="G26" s="139"/>
      <c r="H26" s="12"/>
      <c r="I26" s="13"/>
      <c r="J26" s="14"/>
      <c r="K26" s="13">
        <v>2</v>
      </c>
      <c r="L26" s="14"/>
      <c r="M26" s="206"/>
      <c r="N26" s="220"/>
    </row>
    <row r="27" spans="1:16" ht="15" customHeight="1" thickBot="1">
      <c r="A27" s="211"/>
      <c r="B27" s="227"/>
      <c r="C27" s="42" t="s">
        <v>45</v>
      </c>
      <c r="D27" s="87" t="s">
        <v>87</v>
      </c>
      <c r="E27" s="81">
        <v>3</v>
      </c>
      <c r="F27" s="82">
        <v>2</v>
      </c>
      <c r="G27" s="140"/>
      <c r="H27" s="28"/>
      <c r="I27" s="83"/>
      <c r="J27" s="84"/>
      <c r="K27" s="83"/>
      <c r="L27" s="84">
        <v>2</v>
      </c>
      <c r="M27" s="244"/>
      <c r="N27" s="245"/>
    </row>
    <row r="28" spans="1:16" ht="15" customHeight="1">
      <c r="A28" s="211"/>
      <c r="B28" s="203" t="s">
        <v>16</v>
      </c>
      <c r="C28" s="5" t="s">
        <v>10</v>
      </c>
      <c r="D28" s="64" t="s">
        <v>17</v>
      </c>
      <c r="E28" s="6">
        <v>3</v>
      </c>
      <c r="F28" s="7">
        <v>3</v>
      </c>
      <c r="G28" s="88"/>
      <c r="H28" s="89"/>
      <c r="I28" s="85"/>
      <c r="J28" s="86"/>
      <c r="K28" s="85">
        <v>3</v>
      </c>
      <c r="L28" s="90"/>
      <c r="M28" s="205">
        <f>SUM(G28:L29)</f>
        <v>5</v>
      </c>
      <c r="N28" s="219">
        <v>5</v>
      </c>
    </row>
    <row r="29" spans="1:16" ht="15" customHeight="1" thickBot="1">
      <c r="A29" s="211"/>
      <c r="B29" s="227"/>
      <c r="C29" s="42" t="s">
        <v>15</v>
      </c>
      <c r="D29" s="184" t="s">
        <v>129</v>
      </c>
      <c r="E29" s="81">
        <v>3</v>
      </c>
      <c r="F29" s="82">
        <v>2</v>
      </c>
      <c r="G29" s="91"/>
      <c r="H29" s="92"/>
      <c r="I29" s="91"/>
      <c r="J29" s="92"/>
      <c r="K29" s="93"/>
      <c r="L29" s="84">
        <v>2</v>
      </c>
      <c r="M29" s="244"/>
      <c r="N29" s="245"/>
      <c r="P29" s="4"/>
    </row>
    <row r="30" spans="1:16" ht="15" customHeight="1" thickBot="1">
      <c r="A30" s="295"/>
      <c r="B30" s="38" t="s">
        <v>43</v>
      </c>
      <c r="C30" s="68" t="s">
        <v>64</v>
      </c>
      <c r="D30" s="61" t="s">
        <v>42</v>
      </c>
      <c r="E30" s="146">
        <v>3</v>
      </c>
      <c r="F30" s="17">
        <v>3</v>
      </c>
      <c r="G30" s="18"/>
      <c r="H30" s="19">
        <v>3</v>
      </c>
      <c r="I30" s="18"/>
      <c r="J30" s="19"/>
      <c r="K30" s="20"/>
      <c r="L30" s="21"/>
      <c r="M30" s="198">
        <f>SUM(G30:L30)</f>
        <v>3</v>
      </c>
      <c r="N30" s="199">
        <v>12</v>
      </c>
      <c r="P30" s="4"/>
    </row>
    <row r="31" spans="1:16" ht="15" customHeight="1">
      <c r="A31" s="296" t="s">
        <v>78</v>
      </c>
      <c r="B31" s="203" t="s">
        <v>35</v>
      </c>
      <c r="C31" s="5" t="s">
        <v>34</v>
      </c>
      <c r="D31" s="41" t="s">
        <v>51</v>
      </c>
      <c r="E31" s="6">
        <v>4</v>
      </c>
      <c r="F31" s="189">
        <v>3</v>
      </c>
      <c r="G31" s="141"/>
      <c r="H31" s="8"/>
      <c r="I31" s="22" t="s">
        <v>57</v>
      </c>
      <c r="J31" s="8"/>
      <c r="K31" s="141"/>
      <c r="L31" s="8"/>
      <c r="M31" s="205">
        <v>12</v>
      </c>
      <c r="N31" s="220"/>
    </row>
    <row r="32" spans="1:16" ht="15" customHeight="1">
      <c r="A32" s="297"/>
      <c r="B32" s="204"/>
      <c r="C32" s="68" t="s">
        <v>10</v>
      </c>
      <c r="D32" s="23" t="s">
        <v>134</v>
      </c>
      <c r="E32" s="10">
        <v>4</v>
      </c>
      <c r="F32" s="190">
        <v>3</v>
      </c>
      <c r="G32" s="148"/>
      <c r="H32" s="65"/>
      <c r="I32" s="194">
        <v>3</v>
      </c>
      <c r="J32" s="12"/>
      <c r="K32" s="148"/>
      <c r="L32" s="65"/>
      <c r="M32" s="206"/>
      <c r="N32" s="220"/>
    </row>
    <row r="33" spans="1:14" ht="15" customHeight="1" thickBot="1">
      <c r="A33" s="297"/>
      <c r="B33" s="200" t="s">
        <v>132</v>
      </c>
      <c r="C33" s="9" t="s">
        <v>130</v>
      </c>
      <c r="D33" s="23" t="s">
        <v>131</v>
      </c>
      <c r="E33" s="174">
        <v>4</v>
      </c>
      <c r="F33" s="175">
        <v>3</v>
      </c>
      <c r="G33" s="183"/>
      <c r="H33" s="65"/>
      <c r="I33" s="195">
        <v>3</v>
      </c>
      <c r="J33" s="12"/>
      <c r="K33" s="16"/>
      <c r="L33" s="65"/>
      <c r="M33" s="206"/>
      <c r="N33" s="220"/>
    </row>
    <row r="34" spans="1:14" ht="15" customHeight="1">
      <c r="A34" s="297"/>
      <c r="B34" s="299" t="s">
        <v>133</v>
      </c>
      <c r="C34" s="5" t="s">
        <v>10</v>
      </c>
      <c r="D34" s="41" t="s">
        <v>135</v>
      </c>
      <c r="E34" s="6">
        <v>4</v>
      </c>
      <c r="F34" s="7">
        <v>3</v>
      </c>
      <c r="G34" s="171"/>
      <c r="H34" s="8"/>
      <c r="I34" s="191"/>
      <c r="J34" s="101" t="s">
        <v>57</v>
      </c>
      <c r="K34" s="171"/>
      <c r="L34" s="8"/>
      <c r="M34" s="206"/>
      <c r="N34" s="220"/>
    </row>
    <row r="35" spans="1:14" ht="15" customHeight="1">
      <c r="A35" s="297"/>
      <c r="B35" s="300"/>
      <c r="C35" s="9" t="s">
        <v>49</v>
      </c>
      <c r="D35" s="186" t="s">
        <v>136</v>
      </c>
      <c r="E35" s="10">
        <v>4</v>
      </c>
      <c r="F35" s="11">
        <v>3</v>
      </c>
      <c r="G35" s="172"/>
      <c r="H35" s="12"/>
      <c r="I35" s="192"/>
      <c r="J35" s="196">
        <v>3</v>
      </c>
      <c r="K35" s="172"/>
      <c r="L35" s="12"/>
      <c r="M35" s="206"/>
      <c r="N35" s="220"/>
    </row>
    <row r="36" spans="1:14" ht="12.6" customHeight="1" thickBot="1">
      <c r="A36" s="297"/>
      <c r="B36" s="187" t="s">
        <v>132</v>
      </c>
      <c r="C36" s="42" t="s">
        <v>125</v>
      </c>
      <c r="D36" s="42" t="s">
        <v>126</v>
      </c>
      <c r="E36" s="81">
        <v>4</v>
      </c>
      <c r="F36" s="82">
        <v>3</v>
      </c>
      <c r="G36" s="173"/>
      <c r="H36" s="28"/>
      <c r="I36" s="193"/>
      <c r="J36" s="197">
        <v>3</v>
      </c>
      <c r="K36" s="173"/>
      <c r="L36" s="28"/>
      <c r="M36" s="207"/>
      <c r="N36" s="220"/>
    </row>
    <row r="37" spans="1:14" ht="15" customHeight="1">
      <c r="A37" s="297"/>
      <c r="B37" s="203" t="s">
        <v>37</v>
      </c>
      <c r="C37" s="5" t="s">
        <v>34</v>
      </c>
      <c r="D37" s="41" t="s">
        <v>103</v>
      </c>
      <c r="E37" s="254">
        <v>4</v>
      </c>
      <c r="F37" s="251">
        <v>4</v>
      </c>
      <c r="G37" s="141"/>
      <c r="H37" s="8"/>
      <c r="I37" s="22"/>
      <c r="J37" s="8"/>
      <c r="K37" s="34" t="s">
        <v>44</v>
      </c>
      <c r="L37" s="67"/>
      <c r="M37" s="205">
        <v>4</v>
      </c>
      <c r="N37" s="220"/>
    </row>
    <row r="38" spans="1:14" ht="15" customHeight="1">
      <c r="A38" s="297"/>
      <c r="B38" s="214"/>
      <c r="C38" s="68" t="s">
        <v>49</v>
      </c>
      <c r="D38" s="23" t="s">
        <v>70</v>
      </c>
      <c r="E38" s="223"/>
      <c r="F38" s="225"/>
      <c r="G38" s="148"/>
      <c r="H38" s="65"/>
      <c r="I38" s="26"/>
      <c r="J38" s="65"/>
      <c r="K38" s="278">
        <v>4</v>
      </c>
      <c r="L38" s="32"/>
      <c r="M38" s="206"/>
      <c r="N38" s="220"/>
    </row>
    <row r="39" spans="1:14" ht="15" customHeight="1" thickBot="1">
      <c r="A39" s="297"/>
      <c r="B39" s="227"/>
      <c r="C39" s="145" t="s">
        <v>54</v>
      </c>
      <c r="D39" s="94" t="s">
        <v>71</v>
      </c>
      <c r="E39" s="255"/>
      <c r="F39" s="252"/>
      <c r="G39" s="137"/>
      <c r="H39" s="138"/>
      <c r="I39" s="95"/>
      <c r="J39" s="138"/>
      <c r="K39" s="279"/>
      <c r="L39" s="96"/>
      <c r="M39" s="244"/>
      <c r="N39" s="220"/>
    </row>
    <row r="40" spans="1:14" ht="15" customHeight="1" thickBot="1">
      <c r="A40" s="297"/>
      <c r="B40" s="203" t="s">
        <v>46</v>
      </c>
      <c r="C40" s="5" t="s">
        <v>47</v>
      </c>
      <c r="D40" s="41" t="s">
        <v>53</v>
      </c>
      <c r="E40" s="254">
        <v>4</v>
      </c>
      <c r="F40" s="251">
        <v>4</v>
      </c>
      <c r="G40" s="141"/>
      <c r="H40" s="8"/>
      <c r="I40" s="97"/>
      <c r="J40" s="8"/>
      <c r="K40" s="162" t="s">
        <v>65</v>
      </c>
      <c r="L40" s="67"/>
      <c r="M40" s="205">
        <v>4</v>
      </c>
      <c r="N40" s="220"/>
    </row>
    <row r="41" spans="1:14" ht="15" customHeight="1">
      <c r="A41" s="297"/>
      <c r="B41" s="214"/>
      <c r="C41" s="68" t="s">
        <v>49</v>
      </c>
      <c r="D41" s="23" t="s">
        <v>67</v>
      </c>
      <c r="E41" s="223"/>
      <c r="F41" s="225"/>
      <c r="G41" s="148"/>
      <c r="H41" s="65"/>
      <c r="I41" s="31"/>
      <c r="J41" s="65"/>
      <c r="K41" s="278">
        <v>4</v>
      </c>
      <c r="L41" s="32"/>
      <c r="M41" s="206"/>
      <c r="N41" s="220"/>
    </row>
    <row r="42" spans="1:14" ht="15" customHeight="1" thickBot="1">
      <c r="A42" s="297"/>
      <c r="B42" s="227"/>
      <c r="C42" s="145" t="s">
        <v>54</v>
      </c>
      <c r="D42" s="94" t="s">
        <v>68</v>
      </c>
      <c r="E42" s="255"/>
      <c r="F42" s="252"/>
      <c r="G42" s="137"/>
      <c r="H42" s="138"/>
      <c r="I42" s="98"/>
      <c r="J42" s="138"/>
      <c r="K42" s="279"/>
      <c r="L42" s="96"/>
      <c r="M42" s="244"/>
      <c r="N42" s="220"/>
    </row>
    <row r="43" spans="1:14" ht="15" customHeight="1">
      <c r="A43" s="297"/>
      <c r="B43" s="203" t="s">
        <v>48</v>
      </c>
      <c r="C43" s="5" t="s">
        <v>34</v>
      </c>
      <c r="D43" s="41" t="s">
        <v>109</v>
      </c>
      <c r="E43" s="254">
        <v>4</v>
      </c>
      <c r="F43" s="251">
        <v>4</v>
      </c>
      <c r="G43" s="141"/>
      <c r="H43" s="8"/>
      <c r="I43" s="97"/>
      <c r="J43" s="8"/>
      <c r="K43" s="34" t="s">
        <v>44</v>
      </c>
      <c r="L43" s="67"/>
      <c r="M43" s="205">
        <v>4</v>
      </c>
      <c r="N43" s="220"/>
    </row>
    <row r="44" spans="1:14" ht="15" customHeight="1">
      <c r="A44" s="297"/>
      <c r="B44" s="214"/>
      <c r="C44" s="68" t="s">
        <v>49</v>
      </c>
      <c r="D44" s="23" t="s">
        <v>144</v>
      </c>
      <c r="E44" s="223"/>
      <c r="F44" s="225"/>
      <c r="G44" s="148"/>
      <c r="H44" s="65"/>
      <c r="I44" s="31"/>
      <c r="J44" s="65"/>
      <c r="K44" s="280">
        <v>4</v>
      </c>
      <c r="L44" s="32"/>
      <c r="M44" s="206"/>
      <c r="N44" s="220"/>
    </row>
    <row r="45" spans="1:14" ht="15" customHeight="1" thickBot="1">
      <c r="A45" s="297"/>
      <c r="B45" s="227"/>
      <c r="C45" s="145" t="s">
        <v>45</v>
      </c>
      <c r="D45" s="94" t="s">
        <v>66</v>
      </c>
      <c r="E45" s="255"/>
      <c r="F45" s="252"/>
      <c r="G45" s="137"/>
      <c r="H45" s="138"/>
      <c r="I45" s="98"/>
      <c r="J45" s="138"/>
      <c r="K45" s="279"/>
      <c r="L45" s="96"/>
      <c r="M45" s="244"/>
      <c r="N45" s="220"/>
    </row>
    <row r="46" spans="1:14" ht="15" customHeight="1">
      <c r="A46" s="297"/>
      <c r="B46" s="203" t="s">
        <v>55</v>
      </c>
      <c r="C46" s="285" t="s">
        <v>15</v>
      </c>
      <c r="D46" s="285" t="s">
        <v>112</v>
      </c>
      <c r="E46" s="254">
        <v>4</v>
      </c>
      <c r="F46" s="251">
        <v>3</v>
      </c>
      <c r="G46" s="141"/>
      <c r="H46" s="8"/>
      <c r="I46" s="141"/>
      <c r="J46" s="101"/>
      <c r="K46" s="34"/>
      <c r="L46" s="33" t="s">
        <v>84</v>
      </c>
      <c r="M46" s="293">
        <v>9</v>
      </c>
      <c r="N46" s="220"/>
    </row>
    <row r="47" spans="1:14" ht="15" customHeight="1" thickBot="1">
      <c r="A47" s="297"/>
      <c r="B47" s="227"/>
      <c r="C47" s="286"/>
      <c r="D47" s="286"/>
      <c r="E47" s="255"/>
      <c r="F47" s="252"/>
      <c r="G47" s="140"/>
      <c r="H47" s="28"/>
      <c r="I47" s="140"/>
      <c r="J47" s="102"/>
      <c r="K47" s="40"/>
      <c r="L47" s="62">
        <v>3</v>
      </c>
      <c r="M47" s="206"/>
      <c r="N47" s="220"/>
    </row>
    <row r="48" spans="1:14" ht="15" customHeight="1">
      <c r="A48" s="297"/>
      <c r="B48" s="170"/>
      <c r="C48" s="68" t="s">
        <v>50</v>
      </c>
      <c r="D48" s="68" t="s">
        <v>62</v>
      </c>
      <c r="E48" s="223">
        <v>3</v>
      </c>
      <c r="F48" s="225">
        <v>3</v>
      </c>
      <c r="G48" s="16"/>
      <c r="H48" s="100"/>
      <c r="I48" s="148"/>
      <c r="J48" s="24"/>
      <c r="K48" s="35"/>
      <c r="L48" s="99" t="s">
        <v>57</v>
      </c>
      <c r="M48" s="206"/>
      <c r="N48" s="220"/>
    </row>
    <row r="49" spans="1:19" ht="15" customHeight="1">
      <c r="A49" s="297"/>
      <c r="B49" s="170" t="s">
        <v>56</v>
      </c>
      <c r="C49" s="9" t="s">
        <v>49</v>
      </c>
      <c r="D49" s="9" t="s">
        <v>124</v>
      </c>
      <c r="E49" s="223"/>
      <c r="F49" s="225"/>
      <c r="G49" s="27"/>
      <c r="H49" s="72"/>
      <c r="I49" s="139"/>
      <c r="J49" s="30"/>
      <c r="K49" s="29"/>
      <c r="L49" s="153">
        <v>3</v>
      </c>
      <c r="M49" s="206"/>
      <c r="N49" s="220"/>
    </row>
    <row r="50" spans="1:19" ht="15" customHeight="1" thickBot="1">
      <c r="A50" s="298"/>
      <c r="B50" s="176"/>
      <c r="C50" s="103" t="s">
        <v>54</v>
      </c>
      <c r="D50" s="103" t="s">
        <v>61</v>
      </c>
      <c r="E50" s="224"/>
      <c r="F50" s="226"/>
      <c r="G50" s="104"/>
      <c r="H50" s="105"/>
      <c r="I50" s="106"/>
      <c r="J50" s="107"/>
      <c r="K50" s="108"/>
      <c r="L50" s="109">
        <v>3</v>
      </c>
      <c r="M50" s="222"/>
      <c r="N50" s="221"/>
    </row>
    <row r="51" spans="1:19" ht="15" customHeight="1" thickTop="1" thickBot="1">
      <c r="A51" s="294" t="s">
        <v>104</v>
      </c>
      <c r="B51" s="282"/>
      <c r="C51" s="282"/>
      <c r="D51" s="282"/>
      <c r="E51" s="282"/>
      <c r="F51" s="283"/>
      <c r="G51" s="201">
        <f t="shared" ref="G51:M51" si="0">SUM(G5:G50)</f>
        <v>20</v>
      </c>
      <c r="H51" s="123">
        <f t="shared" si="0"/>
        <v>21</v>
      </c>
      <c r="I51" s="201">
        <f t="shared" si="0"/>
        <v>17</v>
      </c>
      <c r="J51" s="123">
        <f t="shared" si="0"/>
        <v>17</v>
      </c>
      <c r="K51" s="201">
        <f t="shared" si="0"/>
        <v>17</v>
      </c>
      <c r="L51" s="123">
        <f t="shared" si="0"/>
        <v>13</v>
      </c>
      <c r="M51" s="152">
        <f t="shared" si="0"/>
        <v>105</v>
      </c>
      <c r="N51" s="111">
        <v>75</v>
      </c>
    </row>
    <row r="52" spans="1:19" ht="15" customHeight="1">
      <c r="A52" s="210" t="s">
        <v>75</v>
      </c>
      <c r="B52" s="203" t="s">
        <v>76</v>
      </c>
      <c r="C52" s="5" t="s">
        <v>89</v>
      </c>
      <c r="D52" s="112" t="s">
        <v>79</v>
      </c>
      <c r="E52" s="6">
        <v>4</v>
      </c>
      <c r="F52" s="113">
        <v>4</v>
      </c>
      <c r="G52" s="63">
        <v>4</v>
      </c>
      <c r="H52" s="51"/>
      <c r="I52" s="63"/>
      <c r="J52" s="51"/>
      <c r="K52" s="114"/>
      <c r="L52" s="54"/>
      <c r="M52" s="205">
        <f>SUM(G52:L75)</f>
        <v>69</v>
      </c>
      <c r="N52" s="219">
        <v>68</v>
      </c>
      <c r="P52" s="36"/>
      <c r="Q52" s="36"/>
      <c r="R52" s="36"/>
      <c r="S52" s="36"/>
    </row>
    <row r="53" spans="1:19" ht="15" customHeight="1">
      <c r="A53" s="211"/>
      <c r="B53" s="214"/>
      <c r="C53" s="169" t="s">
        <v>89</v>
      </c>
      <c r="D53" s="60" t="s">
        <v>81</v>
      </c>
      <c r="E53" s="178">
        <v>4</v>
      </c>
      <c r="F53" s="179">
        <v>2</v>
      </c>
      <c r="G53" s="180">
        <v>2</v>
      </c>
      <c r="H53" s="181"/>
      <c r="I53" s="180"/>
      <c r="J53" s="181"/>
      <c r="K53" s="182"/>
      <c r="L53" s="30"/>
      <c r="M53" s="206"/>
      <c r="N53" s="220"/>
    </row>
    <row r="54" spans="1:19" ht="15" customHeight="1">
      <c r="A54" s="211"/>
      <c r="B54" s="214"/>
      <c r="C54" s="169" t="s">
        <v>89</v>
      </c>
      <c r="D54" s="60" t="s">
        <v>91</v>
      </c>
      <c r="E54" s="178">
        <v>4</v>
      </c>
      <c r="F54" s="179">
        <v>2</v>
      </c>
      <c r="G54" s="180"/>
      <c r="H54" s="181">
        <v>2</v>
      </c>
      <c r="I54" s="180"/>
      <c r="J54" s="181"/>
      <c r="K54" s="182"/>
      <c r="L54" s="30"/>
      <c r="M54" s="206"/>
      <c r="N54" s="220"/>
    </row>
    <row r="55" spans="1:19" ht="15" customHeight="1">
      <c r="A55" s="211"/>
      <c r="B55" s="214"/>
      <c r="C55" s="169" t="s">
        <v>89</v>
      </c>
      <c r="D55" s="60" t="s">
        <v>93</v>
      </c>
      <c r="E55" s="178">
        <v>4</v>
      </c>
      <c r="F55" s="179">
        <v>2</v>
      </c>
      <c r="G55" s="180"/>
      <c r="H55" s="181"/>
      <c r="I55" s="180">
        <v>2</v>
      </c>
      <c r="J55" s="181"/>
      <c r="K55" s="182"/>
      <c r="L55" s="30"/>
      <c r="M55" s="206"/>
      <c r="N55" s="220"/>
    </row>
    <row r="56" spans="1:19" ht="15" customHeight="1">
      <c r="A56" s="211"/>
      <c r="B56" s="214"/>
      <c r="C56" s="169" t="s">
        <v>89</v>
      </c>
      <c r="D56" s="202" t="s">
        <v>128</v>
      </c>
      <c r="E56" s="178">
        <v>4</v>
      </c>
      <c r="F56" s="179">
        <v>2</v>
      </c>
      <c r="G56" s="180"/>
      <c r="H56" s="181"/>
      <c r="I56" s="180"/>
      <c r="J56" s="181">
        <v>2</v>
      </c>
      <c r="K56" s="182"/>
      <c r="L56" s="30"/>
      <c r="M56" s="206"/>
      <c r="N56" s="220"/>
    </row>
    <row r="57" spans="1:19" ht="15" customHeight="1">
      <c r="A57" s="211"/>
      <c r="B57" s="214"/>
      <c r="C57" s="169" t="s">
        <v>89</v>
      </c>
      <c r="D57" s="60" t="s">
        <v>82</v>
      </c>
      <c r="E57" s="178">
        <v>4</v>
      </c>
      <c r="F57" s="179">
        <v>2</v>
      </c>
      <c r="G57" s="180"/>
      <c r="H57" s="181">
        <v>2</v>
      </c>
      <c r="I57" s="180"/>
      <c r="J57" s="181"/>
      <c r="K57" s="182"/>
      <c r="L57" s="30"/>
      <c r="M57" s="206"/>
      <c r="N57" s="220"/>
    </row>
    <row r="58" spans="1:19" ht="15" customHeight="1">
      <c r="A58" s="211"/>
      <c r="B58" s="214"/>
      <c r="C58" s="169" t="s">
        <v>89</v>
      </c>
      <c r="D58" s="60" t="s">
        <v>92</v>
      </c>
      <c r="E58" s="178">
        <v>4</v>
      </c>
      <c r="F58" s="179">
        <v>2</v>
      </c>
      <c r="G58" s="180"/>
      <c r="H58" s="181"/>
      <c r="I58" s="180">
        <v>2</v>
      </c>
      <c r="J58" s="181"/>
      <c r="K58" s="182"/>
      <c r="L58" s="30"/>
      <c r="M58" s="206"/>
      <c r="N58" s="220"/>
    </row>
    <row r="59" spans="1:19" ht="15" customHeight="1">
      <c r="A59" s="211"/>
      <c r="B59" s="214"/>
      <c r="C59" s="169" t="s">
        <v>89</v>
      </c>
      <c r="D59" s="60" t="s">
        <v>94</v>
      </c>
      <c r="E59" s="178">
        <v>4</v>
      </c>
      <c r="F59" s="179">
        <v>2</v>
      </c>
      <c r="G59" s="180"/>
      <c r="H59" s="181"/>
      <c r="I59" s="180"/>
      <c r="J59" s="181">
        <v>2</v>
      </c>
      <c r="K59" s="182"/>
      <c r="L59" s="30"/>
      <c r="M59" s="206"/>
      <c r="N59" s="220"/>
    </row>
    <row r="60" spans="1:19" ht="15" customHeight="1">
      <c r="A60" s="211"/>
      <c r="B60" s="214"/>
      <c r="C60" s="169" t="s">
        <v>89</v>
      </c>
      <c r="D60" s="202" t="s">
        <v>127</v>
      </c>
      <c r="E60" s="178">
        <v>4</v>
      </c>
      <c r="F60" s="179">
        <v>2</v>
      </c>
      <c r="G60" s="180"/>
      <c r="H60" s="181"/>
      <c r="I60" s="180"/>
      <c r="J60" s="181"/>
      <c r="K60" s="182">
        <v>2</v>
      </c>
      <c r="L60" s="30"/>
      <c r="M60" s="206"/>
      <c r="N60" s="220"/>
    </row>
    <row r="61" spans="1:19" ht="15" customHeight="1">
      <c r="A61" s="211"/>
      <c r="B61" s="214"/>
      <c r="C61" s="68" t="s">
        <v>89</v>
      </c>
      <c r="D61" s="60" t="s">
        <v>83</v>
      </c>
      <c r="E61" s="10">
        <v>4</v>
      </c>
      <c r="F61" s="25">
        <v>2</v>
      </c>
      <c r="G61" s="55"/>
      <c r="H61" s="56"/>
      <c r="I61" s="55">
        <v>2</v>
      </c>
      <c r="J61" s="56"/>
      <c r="K61" s="59"/>
      <c r="L61" s="30"/>
      <c r="M61" s="206"/>
      <c r="N61" s="220"/>
    </row>
    <row r="62" spans="1:19" ht="15" customHeight="1">
      <c r="A62" s="211"/>
      <c r="B62" s="214"/>
      <c r="C62" s="68" t="s">
        <v>89</v>
      </c>
      <c r="D62" s="60" t="s">
        <v>120</v>
      </c>
      <c r="E62" s="10">
        <v>4</v>
      </c>
      <c r="F62" s="25">
        <v>2</v>
      </c>
      <c r="G62" s="55"/>
      <c r="H62" s="56"/>
      <c r="I62" s="55"/>
      <c r="J62" s="56">
        <v>2</v>
      </c>
      <c r="K62" s="59"/>
      <c r="L62" s="30"/>
      <c r="M62" s="206"/>
      <c r="N62" s="220"/>
    </row>
    <row r="63" spans="1:19" ht="15" customHeight="1">
      <c r="A63" s="211"/>
      <c r="B63" s="214"/>
      <c r="C63" s="68" t="s">
        <v>89</v>
      </c>
      <c r="D63" s="60" t="s">
        <v>95</v>
      </c>
      <c r="E63" s="10">
        <v>4</v>
      </c>
      <c r="F63" s="25">
        <v>2</v>
      </c>
      <c r="G63" s="55"/>
      <c r="H63" s="56"/>
      <c r="I63" s="55"/>
      <c r="J63" s="56"/>
      <c r="K63" s="59">
        <v>2</v>
      </c>
      <c r="L63" s="30"/>
      <c r="M63" s="206"/>
      <c r="N63" s="220"/>
    </row>
    <row r="64" spans="1:19" ht="15" customHeight="1">
      <c r="A64" s="211"/>
      <c r="B64" s="214"/>
      <c r="C64" s="68" t="s">
        <v>89</v>
      </c>
      <c r="D64" s="60" t="s">
        <v>96</v>
      </c>
      <c r="E64" s="10">
        <v>4</v>
      </c>
      <c r="F64" s="25">
        <v>2</v>
      </c>
      <c r="G64" s="55"/>
      <c r="H64" s="56"/>
      <c r="I64" s="55"/>
      <c r="J64" s="56"/>
      <c r="K64" s="59"/>
      <c r="L64" s="30">
        <v>2</v>
      </c>
      <c r="M64" s="206"/>
      <c r="N64" s="220"/>
    </row>
    <row r="65" spans="1:20" ht="15" customHeight="1">
      <c r="A65" s="211"/>
      <c r="B65" s="214"/>
      <c r="C65" s="68" t="s">
        <v>89</v>
      </c>
      <c r="D65" s="60" t="s">
        <v>97</v>
      </c>
      <c r="E65" s="10">
        <v>4</v>
      </c>
      <c r="F65" s="25">
        <v>4</v>
      </c>
      <c r="G65" s="55">
        <v>4</v>
      </c>
      <c r="H65" s="56"/>
      <c r="I65" s="55"/>
      <c r="J65" s="56"/>
      <c r="K65" s="59"/>
      <c r="L65" s="30"/>
      <c r="M65" s="206"/>
      <c r="N65" s="220"/>
    </row>
    <row r="66" spans="1:20" ht="15" customHeight="1">
      <c r="A66" s="211"/>
      <c r="B66" s="214"/>
      <c r="C66" s="68" t="s">
        <v>89</v>
      </c>
      <c r="D66" s="60" t="s">
        <v>98</v>
      </c>
      <c r="E66" s="10">
        <v>4</v>
      </c>
      <c r="F66" s="25">
        <v>3</v>
      </c>
      <c r="G66" s="55"/>
      <c r="H66" s="56">
        <v>4</v>
      </c>
      <c r="I66" s="55"/>
      <c r="J66" s="56"/>
      <c r="K66" s="59"/>
      <c r="L66" s="30"/>
      <c r="M66" s="206"/>
      <c r="N66" s="220"/>
    </row>
    <row r="67" spans="1:20" ht="15" customHeight="1">
      <c r="A67" s="211"/>
      <c r="B67" s="214"/>
      <c r="C67" s="68" t="s">
        <v>89</v>
      </c>
      <c r="D67" s="60" t="s">
        <v>99</v>
      </c>
      <c r="E67" s="10">
        <v>4</v>
      </c>
      <c r="F67" s="25">
        <v>3</v>
      </c>
      <c r="G67" s="55"/>
      <c r="H67" s="56"/>
      <c r="I67" s="55">
        <v>3</v>
      </c>
      <c r="J67" s="56"/>
      <c r="K67" s="59"/>
      <c r="L67" s="30"/>
      <c r="M67" s="206"/>
      <c r="N67" s="220"/>
    </row>
    <row r="68" spans="1:20" ht="15" customHeight="1">
      <c r="A68" s="211"/>
      <c r="B68" s="214"/>
      <c r="C68" s="68" t="s">
        <v>89</v>
      </c>
      <c r="D68" s="60" t="s">
        <v>100</v>
      </c>
      <c r="E68" s="10">
        <v>4</v>
      </c>
      <c r="F68" s="25">
        <v>3</v>
      </c>
      <c r="G68" s="55"/>
      <c r="H68" s="56"/>
      <c r="I68" s="55"/>
      <c r="J68" s="56">
        <v>3</v>
      </c>
      <c r="K68" s="59"/>
      <c r="L68" s="30"/>
      <c r="M68" s="206"/>
      <c r="N68" s="220"/>
    </row>
    <row r="69" spans="1:20" ht="15" customHeight="1">
      <c r="A69" s="211"/>
      <c r="B69" s="214"/>
      <c r="C69" s="168" t="s">
        <v>15</v>
      </c>
      <c r="D69" s="60" t="s">
        <v>101</v>
      </c>
      <c r="E69" s="10">
        <v>4</v>
      </c>
      <c r="F69" s="25">
        <v>4</v>
      </c>
      <c r="G69" s="55"/>
      <c r="H69" s="56"/>
      <c r="I69" s="55"/>
      <c r="J69" s="56"/>
      <c r="K69" s="59">
        <v>4</v>
      </c>
      <c r="L69" s="30"/>
      <c r="M69" s="206"/>
      <c r="N69" s="220"/>
    </row>
    <row r="70" spans="1:20" ht="15" customHeight="1">
      <c r="A70" s="211"/>
      <c r="B70" s="214"/>
      <c r="C70" s="168" t="s">
        <v>15</v>
      </c>
      <c r="D70" s="60" t="s">
        <v>102</v>
      </c>
      <c r="E70" s="10">
        <v>4</v>
      </c>
      <c r="F70" s="25">
        <v>4</v>
      </c>
      <c r="G70" s="55"/>
      <c r="H70" s="56"/>
      <c r="I70" s="55"/>
      <c r="J70" s="56"/>
      <c r="K70" s="59"/>
      <c r="L70" s="30">
        <v>4</v>
      </c>
      <c r="M70" s="206"/>
      <c r="N70" s="220"/>
    </row>
    <row r="71" spans="1:20" ht="15" customHeight="1">
      <c r="A71" s="211"/>
      <c r="B71" s="214"/>
      <c r="C71" s="177" t="s">
        <v>15</v>
      </c>
      <c r="D71" s="202" t="s">
        <v>139</v>
      </c>
      <c r="E71" s="10">
        <v>4</v>
      </c>
      <c r="F71" s="25">
        <v>3</v>
      </c>
      <c r="G71" s="55"/>
      <c r="H71" s="56"/>
      <c r="I71" s="55"/>
      <c r="J71" s="56">
        <v>3</v>
      </c>
      <c r="K71" s="59"/>
      <c r="L71" s="30"/>
      <c r="M71" s="206"/>
      <c r="N71" s="220"/>
    </row>
    <row r="72" spans="1:20" ht="15" customHeight="1">
      <c r="A72" s="211"/>
      <c r="B72" s="214"/>
      <c r="C72" s="177" t="s">
        <v>15</v>
      </c>
      <c r="D72" s="202" t="s">
        <v>138</v>
      </c>
      <c r="E72" s="10">
        <v>4</v>
      </c>
      <c r="F72" s="25">
        <v>4</v>
      </c>
      <c r="G72" s="55"/>
      <c r="H72" s="56"/>
      <c r="I72" s="55"/>
      <c r="J72" s="56"/>
      <c r="K72" s="59"/>
      <c r="L72" s="30">
        <v>4</v>
      </c>
      <c r="M72" s="206"/>
      <c r="N72" s="220"/>
    </row>
    <row r="73" spans="1:20" ht="15" customHeight="1">
      <c r="A73" s="211"/>
      <c r="B73" s="214"/>
      <c r="C73" s="167" t="s">
        <v>45</v>
      </c>
      <c r="D73" s="60" t="s">
        <v>111</v>
      </c>
      <c r="E73" s="10">
        <v>4</v>
      </c>
      <c r="F73" s="25">
        <v>4</v>
      </c>
      <c r="G73" s="55"/>
      <c r="H73" s="56"/>
      <c r="I73" s="55">
        <v>4</v>
      </c>
      <c r="J73" s="56"/>
      <c r="K73" s="59"/>
      <c r="L73" s="30"/>
      <c r="M73" s="206"/>
      <c r="N73" s="220"/>
    </row>
    <row r="74" spans="1:20" ht="15" customHeight="1">
      <c r="A74" s="211"/>
      <c r="B74" s="214"/>
      <c r="C74" s="168" t="s">
        <v>45</v>
      </c>
      <c r="D74" s="60" t="s">
        <v>110</v>
      </c>
      <c r="E74" s="10">
        <v>4</v>
      </c>
      <c r="F74" s="25">
        <v>4</v>
      </c>
      <c r="G74" s="55"/>
      <c r="H74" s="56"/>
      <c r="I74" s="55"/>
      <c r="J74" s="56"/>
      <c r="K74" s="59">
        <v>4</v>
      </c>
      <c r="L74" s="30"/>
      <c r="M74" s="206"/>
      <c r="N74" s="220"/>
    </row>
    <row r="75" spans="1:20" ht="15" customHeight="1" thickBot="1">
      <c r="A75" s="211"/>
      <c r="B75" s="214"/>
      <c r="C75" s="168" t="s">
        <v>45</v>
      </c>
      <c r="D75" s="60" t="s">
        <v>113</v>
      </c>
      <c r="E75" s="10">
        <v>4</v>
      </c>
      <c r="F75" s="25">
        <v>4</v>
      </c>
      <c r="G75" s="55"/>
      <c r="H75" s="56"/>
      <c r="I75" s="55"/>
      <c r="J75" s="56"/>
      <c r="K75" s="59"/>
      <c r="L75" s="30">
        <v>4</v>
      </c>
      <c r="M75" s="206"/>
      <c r="N75" s="220"/>
    </row>
    <row r="76" spans="1:20" ht="15" customHeight="1" thickTop="1" thickBot="1">
      <c r="A76" s="290" t="s">
        <v>105</v>
      </c>
      <c r="B76" s="291"/>
      <c r="C76" s="291"/>
      <c r="D76" s="291"/>
      <c r="E76" s="291"/>
      <c r="F76" s="292"/>
      <c r="G76" s="122">
        <f t="shared" ref="G76:L76" si="1">SUM(G52:G75)</f>
        <v>10</v>
      </c>
      <c r="H76" s="122">
        <f t="shared" si="1"/>
        <v>8</v>
      </c>
      <c r="I76" s="122">
        <f t="shared" si="1"/>
        <v>13</v>
      </c>
      <c r="J76" s="122">
        <f t="shared" si="1"/>
        <v>12</v>
      </c>
      <c r="K76" s="122">
        <f t="shared" si="1"/>
        <v>12</v>
      </c>
      <c r="L76" s="122">
        <f t="shared" si="1"/>
        <v>14</v>
      </c>
      <c r="M76" s="110">
        <f>SUM(G76:L76)</f>
        <v>69</v>
      </c>
      <c r="N76" s="123">
        <v>68</v>
      </c>
    </row>
    <row r="77" spans="1:20" ht="15" customHeight="1" thickBot="1">
      <c r="A77" s="268" t="s">
        <v>106</v>
      </c>
      <c r="B77" s="269"/>
      <c r="C77" s="269"/>
      <c r="D77" s="269"/>
      <c r="E77" s="269"/>
      <c r="F77" s="270"/>
      <c r="G77" s="124">
        <f t="shared" ref="G77:M77" si="2">SUM(G76,G51)</f>
        <v>30</v>
      </c>
      <c r="H77" s="124">
        <f t="shared" si="2"/>
        <v>29</v>
      </c>
      <c r="I77" s="124">
        <f t="shared" si="2"/>
        <v>30</v>
      </c>
      <c r="J77" s="124">
        <f t="shared" si="2"/>
        <v>29</v>
      </c>
      <c r="K77" s="124">
        <f t="shared" si="2"/>
        <v>29</v>
      </c>
      <c r="L77" s="124">
        <f t="shared" si="2"/>
        <v>27</v>
      </c>
      <c r="M77" s="124">
        <f t="shared" si="2"/>
        <v>174</v>
      </c>
      <c r="N77" s="125"/>
      <c r="P77" s="277"/>
      <c r="Q77" s="277"/>
      <c r="R77" s="277"/>
      <c r="S77" s="277"/>
      <c r="T77" s="277"/>
    </row>
    <row r="78" spans="1:20" ht="15" customHeight="1" thickBot="1">
      <c r="A78" s="287" t="s">
        <v>18</v>
      </c>
      <c r="B78" s="288"/>
      <c r="C78" s="288"/>
      <c r="D78" s="288"/>
      <c r="E78" s="288"/>
      <c r="F78" s="289"/>
      <c r="G78" s="149">
        <v>3</v>
      </c>
      <c r="H78" s="135">
        <v>3</v>
      </c>
      <c r="I78" s="151">
        <v>3</v>
      </c>
      <c r="J78" s="135">
        <v>3</v>
      </c>
      <c r="K78" s="127">
        <v>3</v>
      </c>
      <c r="L78" s="126">
        <v>3</v>
      </c>
      <c r="M78" s="127">
        <f>SUM(G78:L78)</f>
        <v>18</v>
      </c>
      <c r="N78" s="126">
        <v>18</v>
      </c>
      <c r="P78" s="36"/>
    </row>
    <row r="79" spans="1:20" ht="15" customHeight="1" thickTop="1" thickBot="1">
      <c r="A79" s="281" t="s">
        <v>36</v>
      </c>
      <c r="B79" s="282"/>
      <c r="C79" s="282"/>
      <c r="D79" s="282"/>
      <c r="E79" s="282"/>
      <c r="F79" s="283"/>
      <c r="G79" s="150">
        <f t="shared" ref="G79:M79" si="3">G77+G78</f>
        <v>33</v>
      </c>
      <c r="H79" s="121">
        <f t="shared" si="3"/>
        <v>32</v>
      </c>
      <c r="I79" s="128">
        <f t="shared" si="3"/>
        <v>33</v>
      </c>
      <c r="J79" s="121">
        <f t="shared" si="3"/>
        <v>32</v>
      </c>
      <c r="K79" s="128">
        <f t="shared" si="3"/>
        <v>32</v>
      </c>
      <c r="L79" s="121">
        <f t="shared" si="3"/>
        <v>30</v>
      </c>
      <c r="M79" s="121">
        <f t="shared" si="3"/>
        <v>192</v>
      </c>
      <c r="N79" s="121">
        <v>192</v>
      </c>
    </row>
    <row r="80" spans="1:20" ht="115.95" customHeight="1">
      <c r="A80" s="284" t="s">
        <v>142</v>
      </c>
      <c r="B80" s="284"/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284"/>
      <c r="N80" s="284"/>
    </row>
  </sheetData>
  <mergeCells count="75">
    <mergeCell ref="A31:A50"/>
    <mergeCell ref="B40:B42"/>
    <mergeCell ref="B43:B45"/>
    <mergeCell ref="F43:F45"/>
    <mergeCell ref="E37:E39"/>
    <mergeCell ref="F37:F39"/>
    <mergeCell ref="B34:B35"/>
    <mergeCell ref="B31:B32"/>
    <mergeCell ref="B37:B39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  <mergeCell ref="A5:A30"/>
    <mergeCell ref="B28:B29"/>
    <mergeCell ref="N9:N12"/>
    <mergeCell ref="N13:N16"/>
    <mergeCell ref="N28:N29"/>
    <mergeCell ref="N19:N20"/>
    <mergeCell ref="B23:B27"/>
    <mergeCell ref="M21:M22"/>
    <mergeCell ref="B17:B20"/>
    <mergeCell ref="N17:N18"/>
    <mergeCell ref="M5:M8"/>
    <mergeCell ref="M9:M12"/>
    <mergeCell ref="M13:M16"/>
    <mergeCell ref="M23:M27"/>
    <mergeCell ref="B21:B22"/>
    <mergeCell ref="N21:N22"/>
    <mergeCell ref="A79:F79"/>
    <mergeCell ref="A80:N80"/>
    <mergeCell ref="A77:F77"/>
    <mergeCell ref="C46:C47"/>
    <mergeCell ref="D46:D47"/>
    <mergeCell ref="E46:E47"/>
    <mergeCell ref="A52:A75"/>
    <mergeCell ref="A78:F78"/>
    <mergeCell ref="A76:F76"/>
    <mergeCell ref="B46:B47"/>
    <mergeCell ref="M46:M50"/>
    <mergeCell ref="N52:N75"/>
    <mergeCell ref="B52:B75"/>
    <mergeCell ref="A51:F51"/>
    <mergeCell ref="N31:N50"/>
    <mergeCell ref="M31:M36"/>
    <mergeCell ref="B9:B12"/>
    <mergeCell ref="B13:B16"/>
    <mergeCell ref="N23:N27"/>
    <mergeCell ref="N5:N8"/>
    <mergeCell ref="M28:M29"/>
    <mergeCell ref="M19:M20"/>
    <mergeCell ref="M17:M18"/>
    <mergeCell ref="B5:B8"/>
    <mergeCell ref="P77:T77"/>
    <mergeCell ref="K38:K39"/>
    <mergeCell ref="K41:K42"/>
    <mergeCell ref="E48:E50"/>
    <mergeCell ref="E40:E42"/>
    <mergeCell ref="K44:K45"/>
    <mergeCell ref="F48:F50"/>
    <mergeCell ref="F46:F47"/>
    <mergeCell ref="F40:F42"/>
    <mergeCell ref="E43:E45"/>
    <mergeCell ref="M37:M39"/>
    <mergeCell ref="M40:M42"/>
    <mergeCell ref="M43:M45"/>
    <mergeCell ref="M52:M75"/>
  </mergeCells>
  <phoneticPr fontId="2" type="noConversion"/>
  <printOptions horizontalCentered="1"/>
  <pageMargins left="0.25" right="0.25" top="0.75" bottom="0.75" header="0.3" footer="0.3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2026학년도 신입생 3개년 편제표(전문과정)</vt:lpstr>
      <vt:lpstr>2026학년도 신입생 3개년 편제표(인재과정)</vt:lpstr>
      <vt:lpstr>'2026학년도 신입생 3개년 편제표(인재과정)'!Print_Area</vt:lpstr>
      <vt:lpstr>'2026학년도 신입생 3개년 편제표(전문과정)'!Print_Area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Owner</cp:lastModifiedBy>
  <cp:lastPrinted>2025-07-23T06:24:09Z</cp:lastPrinted>
  <dcterms:created xsi:type="dcterms:W3CDTF">2022-04-18T03:36:49Z</dcterms:created>
  <dcterms:modified xsi:type="dcterms:W3CDTF">2025-12-17T02:25:42Z</dcterms:modified>
</cp:coreProperties>
</file>