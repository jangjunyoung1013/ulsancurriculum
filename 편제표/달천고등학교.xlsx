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MYPC\Desktop\26.교육과정부\기획\2026학년도 편제표\"/>
    </mc:Choice>
  </mc:AlternateContent>
  <xr:revisionPtr revIDLastSave="0" documentId="13_ncr:1_{8AD61B6D-C95B-4B49-BF2F-17008A5358EC}" xr6:coauthVersionLast="47" xr6:coauthVersionMax="47" xr10:uidLastSave="{00000000-0000-0000-0000-000000000000}"/>
  <bookViews>
    <workbookView xWindow="-108" yWindow="-108" windowWidth="23256" windowHeight="12456" xr2:uid="{1299DAB6-4B3E-4B1F-8E30-8676AB8C2DEF}"/>
  </bookViews>
  <sheets>
    <sheet name="2025학년도 신입생 3개년 편제표(안)" sheetId="1" r:id="rId1"/>
  </sheets>
  <definedNames>
    <definedName name="_xlnm.Print_Area" localSheetId="0">'2025학년도 신입생 3개년 편제표(안)'!$A$1:$N$96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7" i="1" l="1"/>
  <c r="N87" i="1"/>
  <c r="H89" i="1" l="1"/>
  <c r="G89" i="1"/>
  <c r="M88" i="1" l="1"/>
  <c r="L89" i="1"/>
  <c r="K89" i="1"/>
  <c r="J89" i="1"/>
  <c r="I89" i="1"/>
  <c r="M27" i="1"/>
  <c r="M89" i="1" l="1"/>
</calcChain>
</file>

<file path=xl/sharedStrings.xml><?xml version="1.0" encoding="utf-8"?>
<sst xmlns="http://schemas.openxmlformats.org/spreadsheetml/2006/main" count="254" uniqueCount="159">
  <si>
    <t>달천고등학교</t>
    <phoneticPr fontId="4" type="noConversion"/>
  </si>
  <si>
    <t>구분</t>
    <phoneticPr fontId="4" type="noConversion"/>
  </si>
  <si>
    <t>세부과목</t>
  </si>
  <si>
    <t>기준
학점</t>
    <phoneticPr fontId="4" type="noConversion"/>
  </si>
  <si>
    <t>운영학점</t>
    <phoneticPr fontId="4" type="noConversion"/>
  </si>
  <si>
    <t>1학년</t>
    <phoneticPr fontId="4" type="noConversion"/>
  </si>
  <si>
    <t>2학년</t>
  </si>
  <si>
    <t>3학년</t>
  </si>
  <si>
    <t>이수 
학점</t>
    <phoneticPr fontId="4" type="noConversion"/>
  </si>
  <si>
    <t>필수
학점</t>
    <phoneticPr fontId="4" type="noConversion"/>
  </si>
  <si>
    <t>1학기</t>
  </si>
  <si>
    <t>2학기</t>
  </si>
  <si>
    <t>학
교
지
정
교
육
과
정</t>
    <phoneticPr fontId="4" type="noConversion"/>
  </si>
  <si>
    <t>국어</t>
  </si>
  <si>
    <t>공통</t>
    <phoneticPr fontId="4" type="noConversion"/>
  </si>
  <si>
    <t>공통국어1</t>
    <phoneticPr fontId="4" type="noConversion"/>
  </si>
  <si>
    <t>공통</t>
  </si>
  <si>
    <t>공통국어2</t>
  </si>
  <si>
    <t>수학</t>
  </si>
  <si>
    <t>공통수학1</t>
    <phoneticPr fontId="4" type="noConversion"/>
  </si>
  <si>
    <t>공통수학2</t>
  </si>
  <si>
    <t>영어</t>
  </si>
  <si>
    <t>공통영어1</t>
    <phoneticPr fontId="4" type="noConversion"/>
  </si>
  <si>
    <t>공통영어2</t>
  </si>
  <si>
    <t>한국사1</t>
    <phoneticPr fontId="4" type="noConversion"/>
  </si>
  <si>
    <t>한국사2</t>
    <phoneticPr fontId="4" type="noConversion"/>
  </si>
  <si>
    <t>통합과학1</t>
    <phoneticPr fontId="4" type="noConversion"/>
  </si>
  <si>
    <t>통합과학2</t>
  </si>
  <si>
    <t>과학탐구실험1</t>
    <phoneticPr fontId="4" type="noConversion"/>
  </si>
  <si>
    <t>과학탐구실험2</t>
    <phoneticPr fontId="4" type="noConversion"/>
  </si>
  <si>
    <t>진로</t>
    <phoneticPr fontId="3" type="noConversion"/>
  </si>
  <si>
    <t>일반</t>
  </si>
  <si>
    <t>체육1</t>
    <phoneticPr fontId="4" type="noConversion"/>
  </si>
  <si>
    <t>체육2</t>
    <phoneticPr fontId="3" type="noConversion"/>
  </si>
  <si>
    <t>융합</t>
    <phoneticPr fontId="3" type="noConversion"/>
  </si>
  <si>
    <t>일반</t>
    <phoneticPr fontId="4" type="noConversion"/>
  </si>
  <si>
    <t>음악</t>
    <phoneticPr fontId="4" type="noConversion"/>
  </si>
  <si>
    <t>미술</t>
    <phoneticPr fontId="4" type="noConversion"/>
  </si>
  <si>
    <t>진로와 직업</t>
    <phoneticPr fontId="4" type="noConversion"/>
  </si>
  <si>
    <t>일반</t>
    <phoneticPr fontId="3" type="noConversion"/>
  </si>
  <si>
    <t>진로</t>
  </si>
  <si>
    <t>물리학, 화학, 생명과학, 지구과학</t>
    <phoneticPr fontId="4" type="noConversion"/>
  </si>
  <si>
    <t>제2외국어</t>
    <phoneticPr fontId="3" type="noConversion"/>
  </si>
  <si>
    <t>정보</t>
    <phoneticPr fontId="3" type="noConversion"/>
  </si>
  <si>
    <t>문학과 영상</t>
    <phoneticPr fontId="4" type="noConversion"/>
  </si>
  <si>
    <t>기하</t>
    <phoneticPr fontId="4" type="noConversion"/>
  </si>
  <si>
    <t>역학과 에너지, 물질과 에너지, 세포와 물질대사, 지구시스템과학</t>
  </si>
  <si>
    <t>전자기와 양자, 화학 반응의 세계,
생물의 유전, 행성우주과학</t>
  </si>
  <si>
    <t>진로</t>
    <phoneticPr fontId="4" type="noConversion"/>
  </si>
  <si>
    <t>데이터 과학</t>
    <phoneticPr fontId="3" type="noConversion"/>
  </si>
  <si>
    <t>택1</t>
    <phoneticPr fontId="4" type="noConversion"/>
  </si>
  <si>
    <t>인간과 심리, 교육의 이해</t>
    <phoneticPr fontId="4" type="noConversion"/>
  </si>
  <si>
    <t>융합</t>
  </si>
  <si>
    <t>융합</t>
    <phoneticPr fontId="4" type="noConversion"/>
  </si>
  <si>
    <t>음악 연주와 창작</t>
    <phoneticPr fontId="4" type="noConversion"/>
  </si>
  <si>
    <t>미술 창작</t>
  </si>
  <si>
    <t>음악 감상과 비평</t>
    <phoneticPr fontId="4" type="noConversion"/>
  </si>
  <si>
    <t>이수학점 소계</t>
    <phoneticPr fontId="4" type="noConversion"/>
  </si>
  <si>
    <t>창의적 체험활동</t>
  </si>
  <si>
    <t>학기별 총 이수 학점</t>
    <phoneticPr fontId="4" type="noConversion"/>
  </si>
  <si>
    <t>교과(군)</t>
    <phoneticPr fontId="4" type="noConversion"/>
  </si>
  <si>
    <t>스포츠 문화</t>
    <phoneticPr fontId="3" type="noConversion"/>
  </si>
  <si>
    <t>스포츠 과학</t>
    <phoneticPr fontId="3" type="noConversion"/>
  </si>
  <si>
    <t>인공지능 기초</t>
    <phoneticPr fontId="3" type="noConversion"/>
  </si>
  <si>
    <t>기술·가정/정보</t>
    <phoneticPr fontId="3" type="noConversion"/>
  </si>
  <si>
    <t>중국 문화, 일본 문화</t>
    <phoneticPr fontId="4" type="noConversion"/>
  </si>
  <si>
    <t>일반</t>
    <phoneticPr fontId="3" type="noConversion"/>
  </si>
  <si>
    <t>현대사회와 윤리</t>
    <phoneticPr fontId="3" type="noConversion"/>
  </si>
  <si>
    <t>진로</t>
    <phoneticPr fontId="3" type="noConversion"/>
  </si>
  <si>
    <t>융합</t>
    <phoneticPr fontId="3" type="noConversion"/>
  </si>
  <si>
    <t>영어 독해와 작문</t>
    <phoneticPr fontId="4" type="noConversion"/>
  </si>
  <si>
    <t>경제, 윤리와 사상</t>
    <phoneticPr fontId="3" type="noConversion"/>
  </si>
  <si>
    <t>기술·가정/정보</t>
  </si>
  <si>
    <t>교차집중(↔)</t>
    <phoneticPr fontId="3" type="noConversion"/>
  </si>
  <si>
    <t>통합사회1</t>
    <phoneticPr fontId="4" type="noConversion"/>
  </si>
  <si>
    <t>통합사회2</t>
    <phoneticPr fontId="3" type="noConversion"/>
  </si>
  <si>
    <t>진로</t>
    <phoneticPr fontId="3" type="noConversion"/>
  </si>
  <si>
    <t>주제 탐구 독서</t>
    <phoneticPr fontId="4" type="noConversion"/>
  </si>
  <si>
    <t>심화 영어 독해와 작문</t>
    <phoneticPr fontId="3" type="noConversion"/>
  </si>
  <si>
    <t>도시의 미래 탐구</t>
    <phoneticPr fontId="3" type="noConversion"/>
  </si>
  <si>
    <t>매체 의사소통</t>
    <phoneticPr fontId="4" type="noConversion"/>
  </si>
  <si>
    <t>수학</t>
    <phoneticPr fontId="3" type="noConversion"/>
  </si>
  <si>
    <t>진로</t>
    <phoneticPr fontId="3" type="noConversion"/>
  </si>
  <si>
    <t>과학</t>
    <phoneticPr fontId="3" type="noConversion"/>
  </si>
  <si>
    <t>융합</t>
    <phoneticPr fontId="3" type="noConversion"/>
  </si>
  <si>
    <t>사회</t>
    <phoneticPr fontId="3" type="noConversion"/>
  </si>
  <si>
    <t>국제 관계의 이해</t>
    <phoneticPr fontId="3" type="noConversion"/>
  </si>
  <si>
    <t>기후변화와 지속가능한 세계</t>
    <phoneticPr fontId="3" type="noConversion"/>
  </si>
  <si>
    <t>기술·가정</t>
    <phoneticPr fontId="3" type="noConversion"/>
  </si>
  <si>
    <t>창의 공학 설계</t>
    <phoneticPr fontId="3" type="noConversion"/>
  </si>
  <si>
    <t>한문</t>
    <phoneticPr fontId="3" type="noConversion"/>
  </si>
  <si>
    <t>일반</t>
    <phoneticPr fontId="3" type="noConversion"/>
  </si>
  <si>
    <t>소인수 /  공동교육과정
이수 시기별 3학점</t>
    <phoneticPr fontId="4" type="noConversion"/>
  </si>
  <si>
    <t>로봇과 공학세계, 보건 간호★</t>
    <phoneticPr fontId="3" type="noConversion"/>
  </si>
  <si>
    <t>인공지능 수학</t>
    <phoneticPr fontId="3" type="noConversion"/>
  </si>
  <si>
    <t>사회</t>
    <phoneticPr fontId="4" type="noConversion"/>
  </si>
  <si>
    <t>과학</t>
    <phoneticPr fontId="4" type="noConversion"/>
  </si>
  <si>
    <t>체육</t>
    <phoneticPr fontId="4" type="noConversion"/>
  </si>
  <si>
    <t>예술</t>
    <phoneticPr fontId="4" type="noConversion"/>
  </si>
  <si>
    <t>교양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</si>
  <si>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</si>
  <si>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</si>
  <si>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</si>
  <si>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사회</t>
    <phoneticPr fontId="3" type="noConversion"/>
  </si>
  <si>
    <t>과학</t>
    <phoneticPr fontId="3" type="noConversion"/>
  </si>
  <si>
    <t>국어</t>
    <phoneticPr fontId="4" type="noConversion"/>
  </si>
  <si>
    <t>수학</t>
    <phoneticPr fontId="4" type="noConversion"/>
  </si>
  <si>
    <t>영어</t>
    <phoneticPr fontId="4" type="noConversion"/>
  </si>
  <si>
    <t>교양</t>
    <phoneticPr fontId="4" type="noConversion"/>
  </si>
  <si>
    <t>교차집중(↔)</t>
  </si>
  <si>
    <t>미술 감상과 비평</t>
    <phoneticPr fontId="3" type="noConversion"/>
  </si>
  <si>
    <t>☞ 표기방법 </t>
  </si>
  <si>
    <t>실생활 영어 회화</t>
    <phoneticPr fontId="4" type="noConversion"/>
  </si>
  <si>
    <t>일반</t>
    <phoneticPr fontId="3" type="noConversion"/>
  </si>
  <si>
    <t>문학</t>
    <phoneticPr fontId="3" type="noConversion"/>
  </si>
  <si>
    <t>화법과 언어</t>
    <phoneticPr fontId="3" type="noConversion"/>
  </si>
  <si>
    <t>독서와 작문</t>
    <phoneticPr fontId="3" type="noConversion"/>
  </si>
  <si>
    <t>대수</t>
    <phoneticPr fontId="3" type="noConversion"/>
  </si>
  <si>
    <t>미적분Ⅰ</t>
  </si>
  <si>
    <t>확률과 통계</t>
    <phoneticPr fontId="3" type="noConversion"/>
  </si>
  <si>
    <t>영어Ⅰ</t>
  </si>
  <si>
    <t>영어Ⅱ</t>
  </si>
  <si>
    <t>독서 토론과 글쓰기</t>
  </si>
  <si>
    <t>택1</t>
  </si>
  <si>
    <t>3
3
3
3</t>
    <phoneticPr fontId="3" type="noConversion"/>
  </si>
  <si>
    <t>언어생활 탐구</t>
  </si>
  <si>
    <t>미적분Ⅱ</t>
  </si>
  <si>
    <t>택4</t>
    <phoneticPr fontId="3" type="noConversion"/>
  </si>
  <si>
    <t>중국어, 일본어</t>
    <phoneticPr fontId="3" type="noConversion"/>
  </si>
  <si>
    <t>중국어 회화, 일본어 회화</t>
    <phoneticPr fontId="3" type="noConversion"/>
  </si>
  <si>
    <t>법과 사회, 인문학과 윤리</t>
    <phoneticPr fontId="4" type="noConversion"/>
  </si>
  <si>
    <t>여행지리, 금융과 경제생활</t>
    <phoneticPr fontId="3" type="noConversion"/>
  </si>
  <si>
    <t>역사로 탐구하는 현대 세계, 사회문제 탐구, 윤리문제 탐구</t>
    <phoneticPr fontId="4" type="noConversion"/>
  </si>
  <si>
    <t>과학의 역사와 문화, 기후변화와 환경생태, 융합과학 탐구</t>
    <phoneticPr fontId="4" type="noConversion"/>
  </si>
  <si>
    <t>물리학 실험*, 화학 실험*, 생명과학 실험*, 지구과학 실험*</t>
    <phoneticPr fontId="3" type="noConversion"/>
  </si>
  <si>
    <t>스포츠 생활1</t>
    <phoneticPr fontId="3" type="noConversion"/>
  </si>
  <si>
    <t>스포츠 생활2</t>
    <phoneticPr fontId="3" type="noConversion"/>
  </si>
  <si>
    <t>경제 수학</t>
    <phoneticPr fontId="3" type="noConversion"/>
  </si>
  <si>
    <t xml:space="preserve">학
생
선
택
교
육
과
정 
학
생
선
택
교
육
과
정 </t>
    <phoneticPr fontId="4" type="noConversion"/>
  </si>
  <si>
    <r>
      <t> </t>
    </r>
    <r>
      <rPr>
        <sz val="11"/>
        <color theme="1"/>
        <rFont val="Segoe UI Symbol"/>
        <family val="1"/>
      </rPr>
      <t>◦</t>
    </r>
    <r>
      <rPr>
        <sz val="11"/>
        <color theme="1"/>
        <rFont val="맑은 고딕"/>
        <family val="3"/>
        <charset val="129"/>
      </rPr>
      <t xml:space="preserve"> 1학년에서는 정보 과목 3학점, 진로와 직업 과목 2시간+ 창의적 체험 과목 1시간을 교차 집중 방식으로 운영</t>
    </r>
    <phoneticPr fontId="3" type="noConversion"/>
  </si>
  <si>
    <t>   - 특수 목적 고등학교 선택 과목(&lt;표6&gt;)을 진로선택과목으로 가져올 때 *표기</t>
    <phoneticPr fontId="3" type="noConversion"/>
  </si>
  <si>
    <t>   - 전문교과(&lt;표7&gt;)를 진로선택과목으로 가져올 때 ★표기</t>
    <phoneticPr fontId="3" type="noConversion"/>
  </si>
  <si>
    <t>   - 교육감승인과목을 진로선택으로 가져올 때 ☆표기</t>
    <phoneticPr fontId="3" type="noConversion"/>
  </si>
  <si>
    <t>   - 교과특성화학교 관련 과목은 ■표기</t>
    <phoneticPr fontId="3" type="noConversion"/>
  </si>
  <si>
    <r>
      <rPr>
        <sz val="11"/>
        <color theme="1"/>
        <rFont val="맑은 고딕"/>
        <family val="3"/>
        <charset val="129"/>
        <scheme val="major"/>
      </rPr>
      <t> </t>
    </r>
    <r>
      <rPr>
        <sz val="11"/>
        <color theme="1"/>
        <rFont val="Segoe UI Symbol"/>
        <family val="1"/>
      </rPr>
      <t>◦</t>
    </r>
    <r>
      <rPr>
        <sz val="11"/>
        <color theme="1"/>
        <rFont val="바탕"/>
        <family val="1"/>
        <charset val="129"/>
      </rPr>
      <t xml:space="preserve"> </t>
    </r>
    <r>
      <rPr>
        <sz val="11"/>
        <color theme="1"/>
        <rFont val="맑은 고딕"/>
        <family val="3"/>
        <charset val="129"/>
        <scheme val="major"/>
      </rPr>
      <t>2022 개정교육과정 수업량 적정화에 따라 학교 주도 활동 시간(자율적 교육과정)을 매 학기 32시간(2학점) 이상 운영하도록 한다.
 1. 학교 주도 활동 시간(자율적 교육과정)은 학교 프로젝트 활동, 학년 및 교과 프로젝트 활동 등을 별도로 계획하여 운영할 수 있다. 
 2. 학생의 발달수준을 고려하여 단계적 연계 프로그램으로 프로젝트 활동을 운영(진로탐색-교과융합-전공심화활동 등)한다.
 3. 자세한 프로그램 운영 주제 및 운영 방법은 교육과정 위원회 및 학년별 협의회를 통해 결정하여 시행한다.</t>
    </r>
    <phoneticPr fontId="3" type="noConversion"/>
  </si>
  <si>
    <t>실용 통계</t>
    <phoneticPr fontId="4" type="noConversion"/>
  </si>
  <si>
    <t>한국지리 탐구,동아시아 역사 기행, 정치</t>
    <phoneticPr fontId="4" type="noConversion"/>
  </si>
  <si>
    <t>세계 문화와 영어</t>
    <phoneticPr fontId="4" type="noConversion"/>
  </si>
  <si>
    <t>융합사고수학☆</t>
    <phoneticPr fontId="3" type="noConversion"/>
  </si>
  <si>
    <t>미디어 영어</t>
    <phoneticPr fontId="3" type="noConversion"/>
  </si>
  <si>
    <t>영미 문학 읽기</t>
    <phoneticPr fontId="4" type="noConversion"/>
  </si>
  <si>
    <t>소프트웨어와 생활</t>
    <phoneticPr fontId="3" type="noConversion"/>
  </si>
  <si>
    <t>프로그래밍★</t>
    <phoneticPr fontId="3" type="noConversion"/>
  </si>
  <si>
    <t>심화 중국어, 심화 일본어</t>
    <phoneticPr fontId="3" type="noConversion"/>
  </si>
  <si>
    <t>세계시민과 지리, 세계사, 사회와 문화</t>
    <phoneticPr fontId="3" type="noConversion"/>
  </si>
  <si>
    <t>논술, 인간과 경제활동</t>
    <phoneticPr fontId="4" type="noConversion"/>
  </si>
  <si>
    <t>택5</t>
    <phoneticPr fontId="3" type="noConversion"/>
  </si>
  <si>
    <t>4
4
4
4
4</t>
    <phoneticPr fontId="3" type="noConversion"/>
  </si>
  <si>
    <t>2026학년도 신입생 3개년 교육과정 편제표(1안)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</si>
</sst>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Segoe UI Symbol"/>
      <family val="1"/>
    </font>
    <font>
      <sz val="11"/>
      <color theme="1"/>
      <name val="맑은 고딕"/>
      <family val="3"/>
      <charset val="129"/>
      <scheme val="major"/>
    </font>
    <font>
      <sz val="11"/>
      <color theme="1"/>
      <name val="바탕"/>
      <family val="1"/>
      <charset val="129"/>
    </font>
    <font>
      <sz val="10"/>
      <color rgb="FFFF0000"/>
      <name val="나눔고딕"/>
      <family val="3"/>
      <charset val="129"/>
    </font>
    <font>
      <b/>
      <sz val="10"/>
      <name val="나눔고딕"/>
      <family val="3"/>
      <charset val="129"/>
    </font>
    <font>
      <sz val="10"/>
      <name val="나눔고딕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23">
    <xf numFmtId="0" fontId="0" fillId="0" borderId="0" xfId="0">
      <alignment vertical="center"/>
    </xf>
    <xf numFmtId="0" fontId="5" fillId="0" borderId="0" xfId="1" applyFont="1">
      <alignment vertical="center"/>
    </xf>
    <xf numFmtId="176" fontId="8" fillId="2" borderId="9" xfId="1" applyNumberFormat="1" applyFont="1" applyFill="1" applyBorder="1" applyAlignment="1">
      <alignment horizontal="center" vertical="center" shrinkToFit="1"/>
    </xf>
    <xf numFmtId="176" fontId="8" fillId="2" borderId="10" xfId="1" applyNumberFormat="1" applyFont="1" applyFill="1" applyBorder="1" applyAlignment="1">
      <alignment horizontal="center" vertical="center" shrinkToFit="1"/>
    </xf>
    <xf numFmtId="0" fontId="7" fillId="3" borderId="13" xfId="1" applyFont="1" applyFill="1" applyBorder="1" applyAlignment="1">
      <alignment horizontal="center" vertical="center" wrapText="1"/>
    </xf>
    <xf numFmtId="176" fontId="7" fillId="3" borderId="3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176" fontId="7" fillId="3" borderId="15" xfId="1" applyNumberFormat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shrinkToFit="1"/>
    </xf>
    <xf numFmtId="0" fontId="7" fillId="3" borderId="8" xfId="1" applyFont="1" applyFill="1" applyBorder="1" applyAlignment="1">
      <alignment horizontal="center" vertical="center" wrapText="1"/>
    </xf>
    <xf numFmtId="176" fontId="9" fillId="4" borderId="17" xfId="1" applyNumberFormat="1" applyFont="1" applyFill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176" fontId="7" fillId="3" borderId="15" xfId="1" applyNumberFormat="1" applyFont="1" applyFill="1" applyBorder="1" applyAlignment="1">
      <alignment vertical="center" wrapText="1"/>
    </xf>
    <xf numFmtId="176" fontId="7" fillId="3" borderId="2" xfId="1" applyNumberFormat="1" applyFont="1" applyFill="1" applyBorder="1" applyAlignment="1">
      <alignment vertical="center" wrapText="1"/>
    </xf>
    <xf numFmtId="176" fontId="9" fillId="0" borderId="23" xfId="1" applyNumberFormat="1" applyFont="1" applyBorder="1" applyAlignment="1">
      <alignment vertical="center" wrapText="1"/>
    </xf>
    <xf numFmtId="176" fontId="7" fillId="0" borderId="15" xfId="1" applyNumberFormat="1" applyFont="1" applyBorder="1" applyAlignment="1">
      <alignment vertical="center" wrapText="1"/>
    </xf>
    <xf numFmtId="176" fontId="7" fillId="0" borderId="6" xfId="1" applyNumberFormat="1" applyFont="1" applyBorder="1" applyAlignment="1">
      <alignment vertical="center" wrapText="1"/>
    </xf>
    <xf numFmtId="176" fontId="9" fillId="0" borderId="28" xfId="1" applyNumberFormat="1" applyFont="1" applyBorder="1" applyAlignment="1">
      <alignment vertical="center" wrapText="1"/>
    </xf>
    <xf numFmtId="176" fontId="7" fillId="3" borderId="6" xfId="1" applyNumberFormat="1" applyFont="1" applyFill="1" applyBorder="1" applyAlignment="1">
      <alignment vertical="center" wrapText="1"/>
    </xf>
    <xf numFmtId="176" fontId="9" fillId="0" borderId="31" xfId="1" applyNumberFormat="1" applyFont="1" applyBorder="1" applyAlignment="1">
      <alignment horizontal="center" vertical="center" wrapText="1"/>
    </xf>
    <xf numFmtId="176" fontId="7" fillId="0" borderId="5" xfId="1" applyNumberFormat="1" applyFont="1" applyBorder="1" applyAlignment="1">
      <alignment vertical="center" wrapText="1"/>
    </xf>
    <xf numFmtId="176" fontId="9" fillId="0" borderId="32" xfId="1" applyNumberFormat="1" applyFont="1" applyBorder="1" applyAlignment="1">
      <alignment horizontal="center" vertical="center" wrapText="1"/>
    </xf>
    <xf numFmtId="176" fontId="7" fillId="3" borderId="9" xfId="1" applyNumberFormat="1" applyFont="1" applyFill="1" applyBorder="1" applyAlignment="1">
      <alignment vertical="center" wrapText="1"/>
    </xf>
    <xf numFmtId="176" fontId="7" fillId="3" borderId="10" xfId="1" applyNumberFormat="1" applyFont="1" applyFill="1" applyBorder="1" applyAlignment="1">
      <alignment vertical="center" wrapText="1"/>
    </xf>
    <xf numFmtId="176" fontId="7" fillId="0" borderId="33" xfId="1" applyNumberFormat="1" applyFont="1" applyBorder="1" applyAlignment="1">
      <alignment horizontal="center" vertical="center" wrapText="1"/>
    </xf>
    <xf numFmtId="176" fontId="7" fillId="0" borderId="11" xfId="1" applyNumberFormat="1" applyFont="1" applyBorder="1" applyAlignment="1">
      <alignment vertical="center" wrapText="1"/>
    </xf>
    <xf numFmtId="176" fontId="7" fillId="0" borderId="10" xfId="1" applyNumberFormat="1" applyFont="1" applyBorder="1" applyAlignment="1">
      <alignment vertical="center" wrapText="1"/>
    </xf>
    <xf numFmtId="176" fontId="7" fillId="0" borderId="3" xfId="1" applyNumberFormat="1" applyFont="1" applyBorder="1" applyAlignment="1">
      <alignment horizontal="center" vertical="center" wrapText="1"/>
    </xf>
    <xf numFmtId="176" fontId="7" fillId="0" borderId="13" xfId="1" applyNumberFormat="1" applyFont="1" applyBorder="1" applyAlignment="1">
      <alignment horizontal="center" vertical="center" wrapText="1"/>
    </xf>
    <xf numFmtId="0" fontId="9" fillId="5" borderId="17" xfId="1" applyFont="1" applyFill="1" applyBorder="1" applyAlignment="1">
      <alignment horizontal="center" vertical="center"/>
    </xf>
    <xf numFmtId="0" fontId="9" fillId="0" borderId="18" xfId="1" applyFont="1" applyBorder="1">
      <alignment vertical="center"/>
    </xf>
    <xf numFmtId="176" fontId="7" fillId="0" borderId="15" xfId="1" applyNumberFormat="1" applyFont="1" applyBorder="1" applyAlignment="1">
      <alignment horizontal="center" vertical="center" wrapText="1"/>
    </xf>
    <xf numFmtId="176" fontId="7" fillId="0" borderId="2" xfId="1" applyNumberFormat="1" applyFont="1" applyBorder="1" applyAlignment="1">
      <alignment horizontal="center" vertical="center" wrapText="1"/>
    </xf>
    <xf numFmtId="0" fontId="9" fillId="0" borderId="23" xfId="1" applyFont="1" applyBorder="1">
      <alignment vertical="center"/>
    </xf>
    <xf numFmtId="0" fontId="9" fillId="6" borderId="17" xfId="1" applyFont="1" applyFill="1" applyBorder="1" applyAlignment="1">
      <alignment horizontal="center" vertical="center" wrapText="1"/>
    </xf>
    <xf numFmtId="0" fontId="7" fillId="0" borderId="23" xfId="1" applyFont="1" applyBorder="1" applyAlignment="1">
      <alignment vertical="center" wrapText="1"/>
    </xf>
    <xf numFmtId="176" fontId="7" fillId="0" borderId="1" xfId="1" applyNumberFormat="1" applyFont="1" applyBorder="1" applyAlignment="1">
      <alignment horizontal="center" vertical="center" shrinkToFit="1"/>
    </xf>
    <xf numFmtId="176" fontId="7" fillId="0" borderId="6" xfId="1" applyNumberFormat="1" applyFont="1" applyBorder="1" applyAlignment="1">
      <alignment horizontal="center" vertical="center" wrapText="1"/>
    </xf>
    <xf numFmtId="0" fontId="9" fillId="0" borderId="31" xfId="1" applyFont="1" applyBorder="1">
      <alignment vertical="center"/>
    </xf>
    <xf numFmtId="0" fontId="9" fillId="0" borderId="32" xfId="1" applyFont="1" applyBorder="1">
      <alignment vertical="center"/>
    </xf>
    <xf numFmtId="0" fontId="7" fillId="0" borderId="32" xfId="1" applyFont="1" applyBorder="1" applyAlignment="1">
      <alignment vertical="center" wrapText="1"/>
    </xf>
    <xf numFmtId="0" fontId="7" fillId="0" borderId="33" xfId="1" applyFont="1" applyBorder="1" applyAlignment="1">
      <alignment vertical="center" wrapText="1"/>
    </xf>
    <xf numFmtId="176" fontId="9" fillId="7" borderId="17" xfId="1" applyNumberFormat="1" applyFont="1" applyFill="1" applyBorder="1" applyAlignment="1">
      <alignment horizontal="center" vertical="center" wrapText="1"/>
    </xf>
    <xf numFmtId="176" fontId="9" fillId="0" borderId="36" xfId="1" applyNumberFormat="1" applyFont="1" applyBorder="1" applyAlignment="1">
      <alignment vertical="center" wrapText="1"/>
    </xf>
    <xf numFmtId="176" fontId="7" fillId="0" borderId="35" xfId="1" applyNumberFormat="1" applyFont="1" applyBorder="1" applyAlignment="1">
      <alignment horizontal="center" vertical="center" wrapText="1"/>
    </xf>
    <xf numFmtId="176" fontId="9" fillId="0" borderId="31" xfId="1" applyNumberFormat="1" applyFont="1" applyBorder="1" applyAlignment="1">
      <alignment vertical="center" wrapText="1"/>
    </xf>
    <xf numFmtId="176" fontId="7" fillId="3" borderId="39" xfId="1" applyNumberFormat="1" applyFont="1" applyFill="1" applyBorder="1" applyAlignment="1">
      <alignment horizontal="center" vertical="center" wrapText="1"/>
    </xf>
    <xf numFmtId="176" fontId="11" fillId="3" borderId="37" xfId="1" applyNumberFormat="1" applyFont="1" applyFill="1" applyBorder="1" applyAlignment="1">
      <alignment horizontal="center" vertical="center" wrapText="1"/>
    </xf>
    <xf numFmtId="176" fontId="8" fillId="3" borderId="40" xfId="1" applyNumberFormat="1" applyFont="1" applyFill="1" applyBorder="1" applyAlignment="1">
      <alignment horizontal="center" vertical="center" wrapText="1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7" fillId="0" borderId="15" xfId="1" applyFont="1" applyBorder="1" applyAlignment="1">
      <alignment horizontal="center" vertical="center" wrapText="1"/>
    </xf>
    <xf numFmtId="176" fontId="7" fillId="3" borderId="12" xfId="1" applyNumberFormat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76" fontId="8" fillId="3" borderId="7" xfId="1" applyNumberFormat="1" applyFont="1" applyFill="1" applyBorder="1" applyAlignment="1">
      <alignment horizontal="center" vertical="center" wrapText="1"/>
    </xf>
    <xf numFmtId="176" fontId="11" fillId="3" borderId="7" xfId="1" applyNumberFormat="1" applyFont="1" applyFill="1" applyBorder="1" applyAlignment="1">
      <alignment horizontal="center" vertical="center" wrapText="1"/>
    </xf>
    <xf numFmtId="176" fontId="8" fillId="3" borderId="10" xfId="1" applyNumberFormat="1" applyFont="1" applyFill="1" applyBorder="1" applyAlignment="1">
      <alignment horizontal="center" vertical="center" wrapText="1"/>
    </xf>
    <xf numFmtId="176" fontId="7" fillId="0" borderId="9" xfId="1" applyNumberFormat="1" applyFont="1" applyBorder="1" applyAlignment="1">
      <alignment horizontal="center" vertical="center" wrapText="1"/>
    </xf>
    <xf numFmtId="176" fontId="7" fillId="0" borderId="10" xfId="1" applyNumberFormat="1" applyFont="1" applyBorder="1" applyAlignment="1">
      <alignment horizontal="center" vertical="center" wrapText="1"/>
    </xf>
    <xf numFmtId="176" fontId="7" fillId="3" borderId="29" xfId="1" applyNumberFormat="1" applyFont="1" applyFill="1" applyBorder="1" applyAlignment="1">
      <alignment vertical="center" wrapText="1"/>
    </xf>
    <xf numFmtId="176" fontId="7" fillId="3" borderId="41" xfId="1" applyNumberFormat="1" applyFont="1" applyFill="1" applyBorder="1" applyAlignment="1">
      <alignment vertical="center" wrapText="1"/>
    </xf>
    <xf numFmtId="176" fontId="7" fillId="3" borderId="40" xfId="1" applyNumberFormat="1" applyFont="1" applyFill="1" applyBorder="1" applyAlignment="1">
      <alignment horizontal="center"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7" fillId="3" borderId="41" xfId="1" applyFont="1" applyFill="1" applyBorder="1" applyAlignment="1">
      <alignment horizontal="center" vertical="center" wrapText="1"/>
    </xf>
    <xf numFmtId="176" fontId="9" fillId="4" borderId="44" xfId="1" applyNumberFormat="1" applyFont="1" applyFill="1" applyBorder="1" applyAlignment="1">
      <alignment horizontal="center" vertical="center" wrapText="1"/>
    </xf>
    <xf numFmtId="176" fontId="7" fillId="0" borderId="29" xfId="1" applyNumberFormat="1" applyFont="1" applyBorder="1" applyAlignment="1">
      <alignment vertical="center" wrapText="1"/>
    </xf>
    <xf numFmtId="176" fontId="7" fillId="0" borderId="30" xfId="1" applyNumberFormat="1" applyFont="1" applyBorder="1" applyAlignment="1">
      <alignment vertical="center" wrapText="1"/>
    </xf>
    <xf numFmtId="176" fontId="7" fillId="0" borderId="37" xfId="1" applyNumberFormat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176" fontId="7" fillId="0" borderId="5" xfId="1" applyNumberFormat="1" applyFont="1" applyBorder="1" applyAlignment="1">
      <alignment horizontal="center" vertical="center" wrapText="1"/>
    </xf>
    <xf numFmtId="176" fontId="7" fillId="0" borderId="39" xfId="1" applyNumberFormat="1" applyFont="1" applyBorder="1" applyAlignment="1">
      <alignment horizontal="center" vertical="center" wrapText="1" shrinkToFit="1"/>
    </xf>
    <xf numFmtId="176" fontId="7" fillId="0" borderId="7" xfId="1" applyNumberFormat="1" applyFont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wrapText="1"/>
    </xf>
    <xf numFmtId="176" fontId="8" fillId="0" borderId="1" xfId="1" applyNumberFormat="1" applyFont="1" applyBorder="1" applyAlignment="1">
      <alignment horizontal="center" vertical="center" wrapText="1"/>
    </xf>
    <xf numFmtId="176" fontId="7" fillId="0" borderId="32" xfId="1" applyNumberFormat="1" applyFont="1" applyBorder="1" applyAlignment="1">
      <alignment horizontal="center" vertical="center" wrapText="1"/>
    </xf>
    <xf numFmtId="176" fontId="8" fillId="0" borderId="12" xfId="1" applyNumberFormat="1" applyFont="1" applyBorder="1" applyAlignment="1">
      <alignment horizontal="center" vertical="center" wrapText="1"/>
    </xf>
    <xf numFmtId="176" fontId="8" fillId="3" borderId="12" xfId="1" applyNumberFormat="1" applyFont="1" applyFill="1" applyBorder="1" applyAlignment="1">
      <alignment horizontal="center" vertical="center" wrapText="1"/>
    </xf>
    <xf numFmtId="176" fontId="11" fillId="3" borderId="12" xfId="1" applyNumberFormat="1" applyFont="1" applyFill="1" applyBorder="1" applyAlignment="1">
      <alignment horizontal="center" vertical="center" wrapText="1"/>
    </xf>
    <xf numFmtId="176" fontId="8" fillId="3" borderId="4" xfId="1" applyNumberFormat="1" applyFont="1" applyFill="1" applyBorder="1" applyAlignment="1">
      <alignment horizontal="center" vertical="center" wrapText="1"/>
    </xf>
    <xf numFmtId="176" fontId="9" fillId="0" borderId="33" xfId="1" applyNumberFormat="1" applyFont="1" applyBorder="1" applyAlignment="1">
      <alignment vertical="center" wrapText="1"/>
    </xf>
    <xf numFmtId="0" fontId="7" fillId="3" borderId="1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76" fontId="7" fillId="0" borderId="9" xfId="1" applyNumberFormat="1" applyFont="1" applyBorder="1" applyAlignment="1">
      <alignment horizontal="center" vertical="center" shrinkToFit="1"/>
    </xf>
    <xf numFmtId="176" fontId="7" fillId="0" borderId="10" xfId="1" applyNumberFormat="1" applyFont="1" applyBorder="1" applyAlignment="1">
      <alignment horizontal="center" vertical="center" shrinkToFit="1"/>
    </xf>
    <xf numFmtId="176" fontId="7" fillId="3" borderId="12" xfId="1" applyNumberFormat="1" applyFont="1" applyFill="1" applyBorder="1" applyAlignment="1">
      <alignment horizontal="left" vertical="center" wrapText="1"/>
    </xf>
    <xf numFmtId="176" fontId="7" fillId="3" borderId="1" xfId="1" applyNumberFormat="1" applyFont="1" applyFill="1" applyBorder="1" applyAlignment="1">
      <alignment horizontal="left" vertical="center" wrapText="1"/>
    </xf>
    <xf numFmtId="176" fontId="7" fillId="3" borderId="1" xfId="1" applyNumberFormat="1" applyFont="1" applyFill="1" applyBorder="1" applyAlignment="1">
      <alignment horizontal="left" vertical="center" shrinkToFit="1"/>
    </xf>
    <xf numFmtId="176" fontId="7" fillId="0" borderId="1" xfId="1" applyNumberFormat="1" applyFont="1" applyBorder="1" applyAlignment="1">
      <alignment horizontal="left" vertical="center" wrapText="1"/>
    </xf>
    <xf numFmtId="176" fontId="7" fillId="0" borderId="37" xfId="1" applyNumberFormat="1" applyFont="1" applyBorder="1" applyAlignment="1">
      <alignment horizontal="left" vertical="center" wrapText="1"/>
    </xf>
    <xf numFmtId="176" fontId="7" fillId="3" borderId="21" xfId="1" applyNumberFormat="1" applyFont="1" applyFill="1" applyBorder="1" applyAlignment="1">
      <alignment horizontal="left" vertical="center" wrapText="1"/>
    </xf>
    <xf numFmtId="176" fontId="7" fillId="0" borderId="12" xfId="1" applyNumberFormat="1" applyFont="1" applyBorder="1" applyAlignment="1">
      <alignment horizontal="left" vertical="center" shrinkToFit="1"/>
    </xf>
    <xf numFmtId="0" fontId="7" fillId="0" borderId="1" xfId="1" applyFont="1" applyBorder="1" applyAlignment="1">
      <alignment horizontal="left" vertical="center" shrinkToFit="1"/>
    </xf>
    <xf numFmtId="0" fontId="7" fillId="0" borderId="1" xfId="1" applyFont="1" applyBorder="1" applyAlignment="1">
      <alignment horizontal="left" vertical="center" wrapText="1" shrinkToFit="1"/>
    </xf>
    <xf numFmtId="176" fontId="7" fillId="0" borderId="1" xfId="1" applyNumberFormat="1" applyFont="1" applyBorder="1" applyAlignment="1">
      <alignment horizontal="left" vertical="center" shrinkToFit="1"/>
    </xf>
    <xf numFmtId="176" fontId="7" fillId="0" borderId="7" xfId="1" applyNumberFormat="1" applyFont="1" applyBorder="1" applyAlignment="1">
      <alignment horizontal="left" vertical="center" shrinkToFit="1"/>
    </xf>
    <xf numFmtId="176" fontId="7" fillId="0" borderId="40" xfId="1" applyNumberFormat="1" applyFont="1" applyBorder="1" applyAlignment="1">
      <alignment horizontal="center" vertical="center" wrapText="1" shrinkToFit="1"/>
    </xf>
    <xf numFmtId="0" fontId="14" fillId="0" borderId="0" xfId="0" applyFont="1">
      <alignment vertical="center"/>
    </xf>
    <xf numFmtId="176" fontId="7" fillId="3" borderId="16" xfId="1" applyNumberFormat="1" applyFont="1" applyFill="1" applyBorder="1" applyAlignment="1">
      <alignment horizontal="center" vertical="center" wrapText="1"/>
    </xf>
    <xf numFmtId="176" fontId="7" fillId="3" borderId="7" xfId="1" applyNumberFormat="1" applyFont="1" applyFill="1" applyBorder="1" applyAlignment="1">
      <alignment horizontal="center" vertical="center" wrapText="1"/>
    </xf>
    <xf numFmtId="176" fontId="8" fillId="3" borderId="37" xfId="1" applyNumberFormat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wrapText="1"/>
    </xf>
    <xf numFmtId="176" fontId="7" fillId="3" borderId="9" xfId="1" applyNumberFormat="1" applyFont="1" applyFill="1" applyBorder="1" applyAlignment="1">
      <alignment horizontal="center" vertical="center" wrapText="1"/>
    </xf>
    <xf numFmtId="176" fontId="7" fillId="3" borderId="29" xfId="1" applyNumberFormat="1" applyFont="1" applyFill="1" applyBorder="1" applyAlignment="1">
      <alignment horizontal="center" vertical="center" wrapText="1"/>
    </xf>
    <xf numFmtId="176" fontId="7" fillId="3" borderId="10" xfId="1" applyNumberFormat="1" applyFont="1" applyFill="1" applyBorder="1" applyAlignment="1">
      <alignment horizontal="center" vertical="center" wrapText="1"/>
    </xf>
    <xf numFmtId="176" fontId="7" fillId="3" borderId="30" xfId="1" applyNumberFormat="1" applyFont="1" applyFill="1" applyBorder="1" applyAlignment="1">
      <alignment horizontal="center" vertical="center" wrapText="1"/>
    </xf>
    <xf numFmtId="176" fontId="7" fillId="3" borderId="6" xfId="1" applyNumberFormat="1" applyFont="1" applyFill="1" applyBorder="1" applyAlignment="1">
      <alignment horizontal="center" vertical="center" wrapText="1"/>
    </xf>
    <xf numFmtId="176" fontId="7" fillId="3" borderId="7" xfId="1" applyNumberFormat="1" applyFont="1" applyFill="1" applyBorder="1" applyAlignment="1">
      <alignment horizontal="center" vertical="center" shrinkToFit="1"/>
    </xf>
    <xf numFmtId="176" fontId="7" fillId="0" borderId="22" xfId="1" applyNumberFormat="1" applyFont="1" applyBorder="1" applyAlignment="1">
      <alignment horizontal="center" vertical="center" wrapText="1"/>
    </xf>
    <xf numFmtId="176" fontId="7" fillId="0" borderId="26" xfId="1" applyNumberFormat="1" applyFont="1" applyBorder="1" applyAlignment="1">
      <alignment horizontal="center" vertical="center" wrapText="1"/>
    </xf>
    <xf numFmtId="176" fontId="7" fillId="0" borderId="27" xfId="1" applyNumberFormat="1" applyFont="1" applyBorder="1" applyAlignment="1">
      <alignment horizontal="center" vertical="center" wrapText="1"/>
    </xf>
    <xf numFmtId="176" fontId="7" fillId="3" borderId="4" xfId="1" applyNumberFormat="1" applyFont="1" applyFill="1" applyBorder="1" applyAlignment="1">
      <alignment horizontal="center" vertical="center" wrapText="1"/>
    </xf>
    <xf numFmtId="176" fontId="7" fillId="3" borderId="21" xfId="1" applyNumberFormat="1" applyFont="1" applyFill="1" applyBorder="1" applyAlignment="1">
      <alignment horizontal="center" vertical="center" wrapText="1"/>
    </xf>
    <xf numFmtId="176" fontId="9" fillId="3" borderId="1" xfId="1" applyNumberFormat="1" applyFont="1" applyFill="1" applyBorder="1" applyAlignment="1">
      <alignment horizontal="left" vertical="center" wrapText="1"/>
    </xf>
    <xf numFmtId="176" fontId="7" fillId="0" borderId="1" xfId="1" applyNumberFormat="1" applyFont="1" applyBorder="1" applyAlignment="1">
      <alignment horizontal="left" vertical="center" wrapText="1" shrinkToFit="1"/>
    </xf>
    <xf numFmtId="176" fontId="9" fillId="0" borderId="1" xfId="1" applyNumberFormat="1" applyFont="1" applyBorder="1" applyAlignment="1">
      <alignment horizontal="left" vertical="center" wrapText="1"/>
    </xf>
    <xf numFmtId="176" fontId="9" fillId="0" borderId="7" xfId="1" applyNumberFormat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shrinkToFit="1"/>
    </xf>
    <xf numFmtId="176" fontId="9" fillId="0" borderId="1" xfId="1" applyNumberFormat="1" applyFont="1" applyBorder="1" applyAlignment="1">
      <alignment horizontal="left" vertical="center" shrinkToFit="1"/>
    </xf>
    <xf numFmtId="176" fontId="7" fillId="3" borderId="7" xfId="1" applyNumberFormat="1" applyFont="1" applyFill="1" applyBorder="1" applyAlignment="1">
      <alignment horizontal="center" vertical="center" wrapText="1"/>
    </xf>
    <xf numFmtId="176" fontId="7" fillId="3" borderId="5" xfId="1" applyNumberFormat="1" applyFont="1" applyFill="1" applyBorder="1" applyAlignment="1">
      <alignment horizontal="center" vertical="center" wrapText="1"/>
    </xf>
    <xf numFmtId="176" fontId="7" fillId="3" borderId="59" xfId="1" applyNumberFormat="1" applyFont="1" applyFill="1" applyBorder="1" applyAlignment="1">
      <alignment horizontal="center" vertical="center" shrinkToFit="1"/>
    </xf>
    <xf numFmtId="176" fontId="7" fillId="3" borderId="6" xfId="1" applyNumberFormat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left" vertical="center" wrapText="1"/>
    </xf>
    <xf numFmtId="176" fontId="7" fillId="0" borderId="22" xfId="1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176" fontId="7" fillId="3" borderId="9" xfId="1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176" fontId="7" fillId="3" borderId="19" xfId="1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176" fontId="8" fillId="3" borderId="39" xfId="1" applyNumberFormat="1" applyFont="1" applyFill="1" applyBorder="1" applyAlignment="1">
      <alignment horizontal="center" vertical="center" wrapText="1"/>
    </xf>
    <xf numFmtId="176" fontId="8" fillId="3" borderId="37" xfId="1" applyNumberFormat="1" applyFont="1" applyFill="1" applyBorder="1" applyAlignment="1">
      <alignment horizontal="center" vertical="center" wrapText="1"/>
    </xf>
    <xf numFmtId="176" fontId="8" fillId="0" borderId="33" xfId="1" applyNumberFormat="1" applyFont="1" applyBorder="1" applyAlignment="1">
      <alignment horizontal="center" vertical="center" wrapText="1"/>
    </xf>
    <xf numFmtId="176" fontId="8" fillId="0" borderId="43" xfId="1" applyNumberFormat="1" applyFont="1" applyBorder="1" applyAlignment="1">
      <alignment horizontal="center" vertical="center" wrapText="1"/>
    </xf>
    <xf numFmtId="176" fontId="8" fillId="0" borderId="11" xfId="1" applyNumberFormat="1" applyFont="1" applyBorder="1" applyAlignment="1">
      <alignment horizontal="center" vertical="center" wrapText="1"/>
    </xf>
    <xf numFmtId="176" fontId="7" fillId="3" borderId="7" xfId="1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76" fontId="10" fillId="3" borderId="7" xfId="1" applyNumberFormat="1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176" fontId="7" fillId="3" borderId="21" xfId="1" applyNumberFormat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 wrapText="1"/>
    </xf>
    <xf numFmtId="0" fontId="7" fillId="3" borderId="60" xfId="1" applyFont="1" applyFill="1" applyBorder="1" applyAlignment="1">
      <alignment horizontal="center" vertical="center" wrapText="1"/>
    </xf>
    <xf numFmtId="176" fontId="8" fillId="0" borderId="57" xfId="1" applyNumberFormat="1" applyFont="1" applyBorder="1" applyAlignment="1">
      <alignment horizontal="center" vertical="center" wrapText="1"/>
    </xf>
    <xf numFmtId="176" fontId="8" fillId="0" borderId="46" xfId="1" applyNumberFormat="1" applyFont="1" applyBorder="1" applyAlignment="1">
      <alignment horizontal="center" vertical="center" wrapText="1"/>
    </xf>
    <xf numFmtId="176" fontId="8" fillId="0" borderId="14" xfId="1" applyNumberFormat="1" applyFont="1" applyBorder="1" applyAlignment="1">
      <alignment horizontal="center" vertical="center" wrapText="1"/>
    </xf>
    <xf numFmtId="176" fontId="7" fillId="3" borderId="16" xfId="1" applyNumberFormat="1" applyFont="1" applyFill="1" applyBorder="1" applyAlignment="1">
      <alignment horizontal="center" vertical="center" wrapText="1"/>
    </xf>
    <xf numFmtId="176" fontId="7" fillId="3" borderId="42" xfId="1" applyNumberFormat="1" applyFont="1" applyFill="1" applyBorder="1" applyAlignment="1">
      <alignment horizontal="center" vertical="center" wrapText="1"/>
    </xf>
    <xf numFmtId="176" fontId="7" fillId="3" borderId="6" xfId="1" applyNumberFormat="1" applyFont="1" applyFill="1" applyBorder="1" applyAlignment="1">
      <alignment horizontal="center" vertical="center" wrapText="1"/>
    </xf>
    <xf numFmtId="176" fontId="7" fillId="3" borderId="7" xfId="1" applyNumberFormat="1" applyFont="1" applyFill="1" applyBorder="1" applyAlignment="1">
      <alignment horizontal="center" vertical="center" shrinkToFit="1"/>
    </xf>
    <xf numFmtId="176" fontId="7" fillId="3" borderId="21" xfId="1" applyNumberFormat="1" applyFont="1" applyFill="1" applyBorder="1" applyAlignment="1">
      <alignment horizontal="center" vertical="center" shrinkToFit="1"/>
    </xf>
    <xf numFmtId="176" fontId="7" fillId="3" borderId="5" xfId="1" applyNumberFormat="1" applyFont="1" applyFill="1" applyBorder="1" applyAlignment="1">
      <alignment horizontal="center" vertical="center" wrapText="1"/>
    </xf>
    <xf numFmtId="176" fontId="7" fillId="0" borderId="32" xfId="1" applyNumberFormat="1" applyFont="1" applyBorder="1" applyAlignment="1">
      <alignment horizontal="center" vertical="center" wrapText="1" shrinkToFit="1"/>
    </xf>
    <xf numFmtId="0" fontId="7" fillId="0" borderId="23" xfId="0" applyFont="1" applyBorder="1" applyAlignment="1">
      <alignment horizontal="center" vertical="center" wrapText="1" shrinkToFit="1"/>
    </xf>
    <xf numFmtId="176" fontId="7" fillId="3" borderId="11" xfId="1" applyNumberFormat="1" applyFont="1" applyFill="1" applyBorder="1" applyAlignment="1">
      <alignment horizontal="center" vertical="center" wrapText="1"/>
    </xf>
    <xf numFmtId="176" fontId="7" fillId="3" borderId="45" xfId="1" applyNumberFormat="1" applyFont="1" applyFill="1" applyBorder="1" applyAlignment="1">
      <alignment horizontal="center" vertical="center" wrapText="1"/>
    </xf>
    <xf numFmtId="176" fontId="7" fillId="3" borderId="10" xfId="1" applyNumberFormat="1" applyFont="1" applyFill="1" applyBorder="1" applyAlignment="1">
      <alignment horizontal="center" vertical="center" wrapText="1"/>
    </xf>
    <xf numFmtId="176" fontId="7" fillId="3" borderId="25" xfId="1" applyNumberFormat="1" applyFont="1" applyFill="1" applyBorder="1" applyAlignment="1">
      <alignment horizontal="center" vertical="center" wrapText="1"/>
    </xf>
    <xf numFmtId="176" fontId="7" fillId="3" borderId="20" xfId="1" applyNumberFormat="1" applyFont="1" applyFill="1" applyBorder="1" applyAlignment="1">
      <alignment horizontal="center" vertical="center" wrapText="1"/>
    </xf>
    <xf numFmtId="176" fontId="7" fillId="3" borderId="30" xfId="1" applyNumberFormat="1" applyFont="1" applyFill="1" applyBorder="1" applyAlignment="1">
      <alignment horizontal="center" vertical="center" wrapText="1"/>
    </xf>
    <xf numFmtId="176" fontId="7" fillId="3" borderId="24" xfId="1" applyNumberFormat="1" applyFont="1" applyFill="1" applyBorder="1" applyAlignment="1">
      <alignment horizontal="center" vertical="center" wrapText="1"/>
    </xf>
    <xf numFmtId="176" fontId="7" fillId="3" borderId="29" xfId="1" applyNumberFormat="1" applyFont="1" applyFill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6" fillId="0" borderId="0" xfId="1" applyFont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176" fontId="8" fillId="2" borderId="12" xfId="1" applyNumberFormat="1" applyFont="1" applyFill="1" applyBorder="1" applyAlignment="1">
      <alignment horizontal="center" vertical="center" wrapText="1"/>
    </xf>
    <xf numFmtId="176" fontId="8" fillId="2" borderId="7" xfId="1" applyNumberFormat="1" applyFont="1" applyFill="1" applyBorder="1" applyAlignment="1">
      <alignment horizontal="center" vertical="center" wrapText="1"/>
    </xf>
    <xf numFmtId="176" fontId="8" fillId="2" borderId="13" xfId="1" applyNumberFormat="1" applyFont="1" applyFill="1" applyBorder="1" applyAlignment="1">
      <alignment horizontal="center" vertical="center" wrapText="1"/>
    </xf>
    <xf numFmtId="176" fontId="8" fillId="2" borderId="8" xfId="1" applyNumberFormat="1" applyFont="1" applyFill="1" applyBorder="1" applyAlignment="1">
      <alignment horizontal="center" vertical="center" wrapText="1"/>
    </xf>
    <xf numFmtId="176" fontId="8" fillId="2" borderId="3" xfId="1" applyNumberFormat="1" applyFont="1" applyFill="1" applyBorder="1" applyAlignment="1">
      <alignment horizontal="center" vertical="center" wrapText="1"/>
    </xf>
    <xf numFmtId="176" fontId="8" fillId="2" borderId="4" xfId="1" applyNumberFormat="1" applyFont="1" applyFill="1" applyBorder="1" applyAlignment="1">
      <alignment horizontal="center" vertical="center" wrapText="1"/>
    </xf>
    <xf numFmtId="176" fontId="8" fillId="2" borderId="14" xfId="1" applyNumberFormat="1" applyFont="1" applyFill="1" applyBorder="1" applyAlignment="1">
      <alignment horizontal="center" vertical="center" wrapText="1"/>
    </xf>
    <xf numFmtId="176" fontId="8" fillId="2" borderId="11" xfId="1" applyNumberFormat="1" applyFont="1" applyFill="1" applyBorder="1" applyAlignment="1">
      <alignment horizontal="center" vertical="center" wrapText="1"/>
    </xf>
    <xf numFmtId="176" fontId="8" fillId="2" borderId="10" xfId="1" applyNumberFormat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29" xfId="1" applyFont="1" applyFill="1" applyBorder="1" applyAlignment="1">
      <alignment horizontal="center" vertical="center" wrapText="1"/>
    </xf>
    <xf numFmtId="0" fontId="7" fillId="3" borderId="15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/>
    </xf>
    <xf numFmtId="176" fontId="7" fillId="3" borderId="14" xfId="1" applyNumberFormat="1" applyFont="1" applyFill="1" applyBorder="1" applyAlignment="1">
      <alignment horizontal="center" vertical="center" wrapText="1"/>
    </xf>
    <xf numFmtId="176" fontId="7" fillId="3" borderId="58" xfId="1" applyNumberFormat="1" applyFont="1" applyFill="1" applyBorder="1" applyAlignment="1">
      <alignment horizontal="center" vertical="center" wrapText="1"/>
    </xf>
    <xf numFmtId="176" fontId="7" fillId="3" borderId="4" xfId="1" applyNumberFormat="1" applyFont="1" applyFill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  <xf numFmtId="176" fontId="7" fillId="3" borderId="61" xfId="1" applyNumberFormat="1" applyFont="1" applyFill="1" applyBorder="1" applyAlignment="1">
      <alignment horizontal="center" vertical="center" shrinkToFit="1"/>
    </xf>
    <xf numFmtId="176" fontId="7" fillId="3" borderId="62" xfId="1" applyNumberFormat="1" applyFont="1" applyFill="1" applyBorder="1" applyAlignment="1">
      <alignment horizontal="center" vertical="center" shrinkToFit="1"/>
    </xf>
    <xf numFmtId="176" fontId="7" fillId="3" borderId="63" xfId="1" applyNumberFormat="1" applyFont="1" applyFill="1" applyBorder="1" applyAlignment="1">
      <alignment horizontal="center" vertical="center" wrapText="1"/>
    </xf>
    <xf numFmtId="176" fontId="7" fillId="3" borderId="64" xfId="1" applyNumberFormat="1" applyFont="1" applyFill="1" applyBorder="1" applyAlignment="1">
      <alignment horizontal="center" vertical="center" wrapText="1"/>
    </xf>
    <xf numFmtId="176" fontId="7" fillId="0" borderId="7" xfId="1" applyNumberFormat="1" applyFont="1" applyBorder="1" applyAlignment="1">
      <alignment horizontal="left" vertical="center" wrapText="1"/>
    </xf>
    <xf numFmtId="176" fontId="7" fillId="0" borderId="21" xfId="1" applyNumberFormat="1" applyFont="1" applyBorder="1" applyAlignment="1">
      <alignment horizontal="left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176" fontId="12" fillId="8" borderId="53" xfId="0" applyNumberFormat="1" applyFont="1" applyFill="1" applyBorder="1" applyAlignment="1">
      <alignment horizontal="center" vertical="center" wrapText="1"/>
    </xf>
    <xf numFmtId="176" fontId="12" fillId="8" borderId="52" xfId="0" applyNumberFormat="1" applyFont="1" applyFill="1" applyBorder="1" applyAlignment="1">
      <alignment horizontal="center" vertical="center" wrapText="1"/>
    </xf>
    <xf numFmtId="176" fontId="12" fillId="8" borderId="55" xfId="0" applyNumberFormat="1" applyFont="1" applyFill="1" applyBorder="1" applyAlignment="1">
      <alignment horizontal="center" vertical="center" wrapText="1"/>
    </xf>
    <xf numFmtId="176" fontId="12" fillId="8" borderId="54" xfId="0" applyNumberFormat="1" applyFont="1" applyFill="1" applyBorder="1" applyAlignment="1">
      <alignment horizontal="center" vertical="center" wrapText="1"/>
    </xf>
    <xf numFmtId="176" fontId="12" fillId="8" borderId="0" xfId="0" applyNumberFormat="1" applyFont="1" applyFill="1" applyAlignment="1">
      <alignment horizontal="center" vertical="center" wrapText="1"/>
    </xf>
    <xf numFmtId="176" fontId="12" fillId="8" borderId="49" xfId="0" applyNumberFormat="1" applyFont="1" applyFill="1" applyBorder="1" applyAlignment="1">
      <alignment horizontal="center" vertical="center" wrapText="1"/>
    </xf>
    <xf numFmtId="0" fontId="13" fillId="0" borderId="54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49" xfId="0" applyFont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0" borderId="50" xfId="0" applyFont="1" applyBorder="1" applyAlignment="1">
      <alignment vertical="center" wrapText="1"/>
    </xf>
    <xf numFmtId="0" fontId="13" fillId="0" borderId="51" xfId="0" applyFont="1" applyBorder="1" applyAlignment="1">
      <alignment vertical="center" wrapText="1"/>
    </xf>
    <xf numFmtId="0" fontId="11" fillId="0" borderId="28" xfId="1" applyFont="1" applyBorder="1" applyAlignment="1">
      <alignment vertical="center" wrapText="1"/>
    </xf>
    <xf numFmtId="0" fontId="20" fillId="5" borderId="17" xfId="1" applyFont="1" applyFill="1" applyBorder="1" applyAlignment="1">
      <alignment horizontal="center" vertical="center"/>
    </xf>
    <xf numFmtId="0" fontId="21" fillId="0" borderId="22" xfId="1" applyFont="1" applyBorder="1" applyAlignment="1">
      <alignment horizontal="center" vertical="center" wrapText="1"/>
    </xf>
    <xf numFmtId="0" fontId="21" fillId="0" borderId="26" xfId="1" applyFont="1" applyBorder="1" applyAlignment="1">
      <alignment horizontal="center" vertical="center" wrapText="1"/>
    </xf>
    <xf numFmtId="0" fontId="21" fillId="0" borderId="27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22" xfId="1" applyFont="1" applyBorder="1" applyAlignment="1">
      <alignment horizontal="center" vertical="center" wrapText="1"/>
    </xf>
    <xf numFmtId="0" fontId="20" fillId="0" borderId="35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F52C318A-7E4E-4251-B8A6-A2DE82AE3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8F1E-7DFE-445B-A5D2-DB717B8F365C}">
  <sheetPr codeName="Sheet1">
    <pageSetUpPr fitToPage="1"/>
  </sheetPr>
  <dimension ref="A1:N96"/>
  <sheetViews>
    <sheetView showGridLines="0" tabSelected="1" view="pageBreakPreview" zoomScale="90" zoomScaleNormal="100" zoomScaleSheetLayoutView="90" workbookViewId="0">
      <pane xSplit="1" ySplit="4" topLeftCell="B11" activePane="bottomRight" state="frozen"/>
      <selection sqref="A1:O1"/>
      <selection pane="topRight" sqref="A1:O1"/>
      <selection pane="bottomLeft" sqref="A1:O1"/>
      <selection pane="bottomRight" activeCell="L73" sqref="L73:L75"/>
    </sheetView>
  </sheetViews>
  <sheetFormatPr defaultColWidth="9" defaultRowHeight="13.8" x14ac:dyDescent="0.4"/>
  <cols>
    <col min="1" max="1" width="5.19921875" style="49" customWidth="1"/>
    <col min="2" max="2" width="8.69921875" style="50" bestFit="1" customWidth="1"/>
    <col min="3" max="3" width="7" style="49" customWidth="1"/>
    <col min="4" max="4" width="50.69921875" style="50" customWidth="1"/>
    <col min="5" max="6" width="4.19921875" style="49" customWidth="1"/>
    <col min="7" max="8" width="5.69921875" style="49" customWidth="1"/>
    <col min="9" max="10" width="5.69921875" style="50" customWidth="1"/>
    <col min="11" max="12" width="5.69921875" style="49" customWidth="1"/>
    <col min="13" max="14" width="6.09765625" style="50" customWidth="1"/>
    <col min="15" max="15" width="4.69921875" style="1" customWidth="1"/>
    <col min="16" max="16384" width="9" style="1"/>
  </cols>
  <sheetData>
    <row r="1" spans="1:14" ht="31.95" customHeight="1" x14ac:dyDescent="0.4">
      <c r="A1" s="171" t="s">
        <v>158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4" ht="22.2" customHeight="1" thickBot="1" x14ac:dyDescent="0.45">
      <c r="A2" s="172" t="s">
        <v>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</row>
    <row r="3" spans="1:14" x14ac:dyDescent="0.4">
      <c r="A3" s="173" t="s">
        <v>1</v>
      </c>
      <c r="B3" s="175" t="s">
        <v>60</v>
      </c>
      <c r="C3" s="175" t="s">
        <v>2</v>
      </c>
      <c r="D3" s="175"/>
      <c r="E3" s="175" t="s">
        <v>3</v>
      </c>
      <c r="F3" s="177" t="s">
        <v>4</v>
      </c>
      <c r="G3" s="179" t="s">
        <v>5</v>
      </c>
      <c r="H3" s="180"/>
      <c r="I3" s="179" t="s">
        <v>6</v>
      </c>
      <c r="J3" s="180"/>
      <c r="K3" s="179" t="s">
        <v>7</v>
      </c>
      <c r="L3" s="180"/>
      <c r="M3" s="181" t="s">
        <v>8</v>
      </c>
      <c r="N3" s="180" t="s">
        <v>9</v>
      </c>
    </row>
    <row r="4" spans="1:14" ht="14.4" thickBot="1" x14ac:dyDescent="0.45">
      <c r="A4" s="174"/>
      <c r="B4" s="176"/>
      <c r="C4" s="176"/>
      <c r="D4" s="176"/>
      <c r="E4" s="176"/>
      <c r="F4" s="178"/>
      <c r="G4" s="2" t="s">
        <v>10</v>
      </c>
      <c r="H4" s="3" t="s">
        <v>11</v>
      </c>
      <c r="I4" s="2" t="s">
        <v>10</v>
      </c>
      <c r="J4" s="3" t="s">
        <v>11</v>
      </c>
      <c r="K4" s="2" t="s">
        <v>10</v>
      </c>
      <c r="L4" s="3" t="s">
        <v>11</v>
      </c>
      <c r="M4" s="182"/>
      <c r="N4" s="183"/>
    </row>
    <row r="5" spans="1:14" x14ac:dyDescent="0.4">
      <c r="A5" s="184" t="s">
        <v>12</v>
      </c>
      <c r="B5" s="153" t="s">
        <v>13</v>
      </c>
      <c r="C5" s="52" t="s">
        <v>14</v>
      </c>
      <c r="D5" s="86" t="s">
        <v>15</v>
      </c>
      <c r="E5" s="81">
        <v>4</v>
      </c>
      <c r="F5" s="4">
        <v>4</v>
      </c>
      <c r="G5" s="5">
        <v>4</v>
      </c>
      <c r="H5" s="112"/>
      <c r="I5" s="5"/>
      <c r="J5" s="112"/>
      <c r="K5" s="5"/>
      <c r="L5" s="112"/>
      <c r="M5" s="188">
        <v>20</v>
      </c>
      <c r="N5" s="190">
        <v>8</v>
      </c>
    </row>
    <row r="6" spans="1:14" x14ac:dyDescent="0.4">
      <c r="A6" s="185"/>
      <c r="B6" s="154"/>
      <c r="C6" s="113" t="s">
        <v>16</v>
      </c>
      <c r="D6" s="91" t="s">
        <v>17</v>
      </c>
      <c r="E6" s="62">
        <v>4</v>
      </c>
      <c r="F6" s="63">
        <v>4</v>
      </c>
      <c r="G6" s="104"/>
      <c r="H6" s="106">
        <v>4</v>
      </c>
      <c r="I6" s="104"/>
      <c r="J6" s="106"/>
      <c r="K6" s="104"/>
      <c r="L6" s="106"/>
      <c r="M6" s="189"/>
      <c r="N6" s="166"/>
    </row>
    <row r="7" spans="1:14" x14ac:dyDescent="0.4">
      <c r="A7" s="185"/>
      <c r="B7" s="154"/>
      <c r="C7" s="113" t="s">
        <v>113</v>
      </c>
      <c r="D7" s="91" t="s">
        <v>114</v>
      </c>
      <c r="E7" s="62">
        <v>4</v>
      </c>
      <c r="F7" s="63">
        <v>4</v>
      </c>
      <c r="G7" s="104"/>
      <c r="H7" s="106"/>
      <c r="I7" s="104">
        <v>4</v>
      </c>
      <c r="J7" s="106"/>
      <c r="K7" s="104"/>
      <c r="L7" s="106"/>
      <c r="M7" s="189"/>
      <c r="N7" s="166"/>
    </row>
    <row r="8" spans="1:14" x14ac:dyDescent="0.4">
      <c r="A8" s="185"/>
      <c r="B8" s="154"/>
      <c r="C8" s="113" t="s">
        <v>113</v>
      </c>
      <c r="D8" s="91" t="s">
        <v>115</v>
      </c>
      <c r="E8" s="62">
        <v>4</v>
      </c>
      <c r="F8" s="63">
        <v>4</v>
      </c>
      <c r="G8" s="104"/>
      <c r="H8" s="106"/>
      <c r="I8" s="104"/>
      <c r="J8" s="106">
        <v>4</v>
      </c>
      <c r="K8" s="104"/>
      <c r="L8" s="106"/>
      <c r="M8" s="189"/>
      <c r="N8" s="166"/>
    </row>
    <row r="9" spans="1:14" x14ac:dyDescent="0.4">
      <c r="A9" s="186"/>
      <c r="B9" s="145"/>
      <c r="C9" s="102" t="s">
        <v>113</v>
      </c>
      <c r="D9" s="87" t="s">
        <v>116</v>
      </c>
      <c r="E9" s="82">
        <v>4</v>
      </c>
      <c r="F9" s="6">
        <v>4</v>
      </c>
      <c r="G9" s="31"/>
      <c r="H9" s="37"/>
      <c r="I9" s="31"/>
      <c r="J9" s="107"/>
      <c r="K9" s="7">
        <v>4</v>
      </c>
      <c r="L9" s="107"/>
      <c r="M9" s="158"/>
      <c r="N9" s="155"/>
    </row>
    <row r="10" spans="1:14" x14ac:dyDescent="0.4">
      <c r="A10" s="186"/>
      <c r="B10" s="139" t="s">
        <v>18</v>
      </c>
      <c r="C10" s="102" t="s">
        <v>14</v>
      </c>
      <c r="D10" s="87" t="s">
        <v>19</v>
      </c>
      <c r="E10" s="82">
        <v>4</v>
      </c>
      <c r="F10" s="6">
        <v>4</v>
      </c>
      <c r="G10" s="31">
        <v>4</v>
      </c>
      <c r="H10" s="37"/>
      <c r="I10" s="31"/>
      <c r="J10" s="107"/>
      <c r="K10" s="7"/>
      <c r="L10" s="107"/>
      <c r="M10" s="158">
        <v>20</v>
      </c>
      <c r="N10" s="155">
        <v>8</v>
      </c>
    </row>
    <row r="11" spans="1:14" x14ac:dyDescent="0.4">
      <c r="A11" s="186"/>
      <c r="B11" s="154"/>
      <c r="C11" s="102" t="s">
        <v>16</v>
      </c>
      <c r="D11" s="87" t="s">
        <v>20</v>
      </c>
      <c r="E11" s="82">
        <v>4</v>
      </c>
      <c r="F11" s="6">
        <v>4</v>
      </c>
      <c r="G11" s="31"/>
      <c r="H11" s="37">
        <v>4</v>
      </c>
      <c r="I11" s="31"/>
      <c r="J11" s="107"/>
      <c r="K11" s="7"/>
      <c r="L11" s="107"/>
      <c r="M11" s="158"/>
      <c r="N11" s="155"/>
    </row>
    <row r="12" spans="1:14" x14ac:dyDescent="0.4">
      <c r="A12" s="186"/>
      <c r="B12" s="154"/>
      <c r="C12" s="102" t="s">
        <v>113</v>
      </c>
      <c r="D12" s="87" t="s">
        <v>117</v>
      </c>
      <c r="E12" s="82">
        <v>4</v>
      </c>
      <c r="F12" s="6">
        <v>4</v>
      </c>
      <c r="G12" s="31"/>
      <c r="H12" s="37"/>
      <c r="I12" s="31">
        <v>4</v>
      </c>
      <c r="J12" s="107"/>
      <c r="K12" s="7"/>
      <c r="L12" s="107"/>
      <c r="M12" s="158"/>
      <c r="N12" s="155"/>
    </row>
    <row r="13" spans="1:14" x14ac:dyDescent="0.4">
      <c r="A13" s="186"/>
      <c r="B13" s="154"/>
      <c r="C13" s="102" t="s">
        <v>113</v>
      </c>
      <c r="D13" s="87" t="s">
        <v>118</v>
      </c>
      <c r="E13" s="82">
        <v>4</v>
      </c>
      <c r="F13" s="6">
        <v>4</v>
      </c>
      <c r="G13" s="31"/>
      <c r="H13" s="37"/>
      <c r="I13" s="31"/>
      <c r="J13" s="107">
        <v>4</v>
      </c>
      <c r="K13" s="7"/>
      <c r="L13" s="107"/>
      <c r="M13" s="158"/>
      <c r="N13" s="155"/>
    </row>
    <row r="14" spans="1:14" x14ac:dyDescent="0.4">
      <c r="A14" s="186"/>
      <c r="B14" s="145"/>
      <c r="C14" s="102" t="s">
        <v>113</v>
      </c>
      <c r="D14" s="87" t="s">
        <v>119</v>
      </c>
      <c r="E14" s="82">
        <v>4</v>
      </c>
      <c r="F14" s="6">
        <v>4</v>
      </c>
      <c r="G14" s="31"/>
      <c r="H14" s="37"/>
      <c r="I14" s="31"/>
      <c r="J14" s="107"/>
      <c r="K14" s="7">
        <v>4</v>
      </c>
      <c r="L14" s="107"/>
      <c r="M14" s="158"/>
      <c r="N14" s="155"/>
    </row>
    <row r="15" spans="1:14" x14ac:dyDescent="0.4">
      <c r="A15" s="186"/>
      <c r="B15" s="139" t="s">
        <v>21</v>
      </c>
      <c r="C15" s="102" t="s">
        <v>14</v>
      </c>
      <c r="D15" s="87" t="s">
        <v>22</v>
      </c>
      <c r="E15" s="82">
        <v>4</v>
      </c>
      <c r="F15" s="6">
        <v>4</v>
      </c>
      <c r="G15" s="31">
        <v>4</v>
      </c>
      <c r="H15" s="37"/>
      <c r="I15" s="31"/>
      <c r="J15" s="107"/>
      <c r="K15" s="7"/>
      <c r="L15" s="107"/>
      <c r="M15" s="158">
        <v>16</v>
      </c>
      <c r="N15" s="155">
        <v>8</v>
      </c>
    </row>
    <row r="16" spans="1:14" x14ac:dyDescent="0.4">
      <c r="A16" s="186"/>
      <c r="B16" s="154"/>
      <c r="C16" s="102" t="s">
        <v>16</v>
      </c>
      <c r="D16" s="87" t="s">
        <v>23</v>
      </c>
      <c r="E16" s="82">
        <v>4</v>
      </c>
      <c r="F16" s="6">
        <v>4</v>
      </c>
      <c r="G16" s="31"/>
      <c r="H16" s="37">
        <v>4</v>
      </c>
      <c r="I16" s="31"/>
      <c r="J16" s="107"/>
      <c r="K16" s="7"/>
      <c r="L16" s="107"/>
      <c r="M16" s="158"/>
      <c r="N16" s="155"/>
    </row>
    <row r="17" spans="1:14" x14ac:dyDescent="0.4">
      <c r="A17" s="186"/>
      <c r="B17" s="154"/>
      <c r="C17" s="102" t="s">
        <v>113</v>
      </c>
      <c r="D17" s="87" t="s">
        <v>120</v>
      </c>
      <c r="E17" s="82">
        <v>4</v>
      </c>
      <c r="F17" s="6">
        <v>4</v>
      </c>
      <c r="G17" s="31"/>
      <c r="H17" s="37"/>
      <c r="I17" s="31">
        <v>4</v>
      </c>
      <c r="J17" s="107"/>
      <c r="K17" s="7"/>
      <c r="L17" s="107"/>
      <c r="M17" s="158"/>
      <c r="N17" s="155"/>
    </row>
    <row r="18" spans="1:14" x14ac:dyDescent="0.4">
      <c r="A18" s="186"/>
      <c r="B18" s="145"/>
      <c r="C18" s="102" t="s">
        <v>113</v>
      </c>
      <c r="D18" s="87" t="s">
        <v>121</v>
      </c>
      <c r="E18" s="82">
        <v>4</v>
      </c>
      <c r="F18" s="6">
        <v>4</v>
      </c>
      <c r="G18" s="31"/>
      <c r="H18" s="37"/>
      <c r="I18" s="31"/>
      <c r="J18" s="107">
        <v>4</v>
      </c>
      <c r="K18" s="7"/>
      <c r="L18" s="107"/>
      <c r="M18" s="158"/>
      <c r="N18" s="155"/>
    </row>
    <row r="19" spans="1:14" x14ac:dyDescent="0.4">
      <c r="A19" s="186"/>
      <c r="B19" s="139" t="s">
        <v>95</v>
      </c>
      <c r="C19" s="102" t="s">
        <v>14</v>
      </c>
      <c r="D19" s="87" t="s">
        <v>24</v>
      </c>
      <c r="E19" s="82">
        <v>3</v>
      </c>
      <c r="F19" s="6">
        <v>3</v>
      </c>
      <c r="G19" s="31">
        <v>3</v>
      </c>
      <c r="H19" s="37"/>
      <c r="I19" s="31"/>
      <c r="J19" s="107"/>
      <c r="K19" s="7"/>
      <c r="L19" s="107"/>
      <c r="M19" s="158">
        <v>6</v>
      </c>
      <c r="N19" s="155">
        <v>6</v>
      </c>
    </row>
    <row r="20" spans="1:14" x14ac:dyDescent="0.4">
      <c r="A20" s="186"/>
      <c r="B20" s="154"/>
      <c r="C20" s="102" t="s">
        <v>14</v>
      </c>
      <c r="D20" s="87" t="s">
        <v>25</v>
      </c>
      <c r="E20" s="82">
        <v>3</v>
      </c>
      <c r="F20" s="6">
        <v>3</v>
      </c>
      <c r="G20" s="51"/>
      <c r="H20" s="37">
        <v>3</v>
      </c>
      <c r="I20" s="31"/>
      <c r="J20" s="107"/>
      <c r="K20" s="7"/>
      <c r="L20" s="107"/>
      <c r="M20" s="158"/>
      <c r="N20" s="155"/>
    </row>
    <row r="21" spans="1:14" x14ac:dyDescent="0.4">
      <c r="A21" s="186"/>
      <c r="B21" s="154"/>
      <c r="C21" s="102" t="s">
        <v>14</v>
      </c>
      <c r="D21" s="87" t="s">
        <v>74</v>
      </c>
      <c r="E21" s="82">
        <v>4</v>
      </c>
      <c r="F21" s="6">
        <v>4</v>
      </c>
      <c r="G21" s="51">
        <v>4</v>
      </c>
      <c r="H21" s="37"/>
      <c r="I21" s="31"/>
      <c r="J21" s="107"/>
      <c r="K21" s="7"/>
      <c r="L21" s="107"/>
      <c r="M21" s="158">
        <v>8</v>
      </c>
      <c r="N21" s="187">
        <v>8</v>
      </c>
    </row>
    <row r="22" spans="1:14" x14ac:dyDescent="0.4">
      <c r="A22" s="186"/>
      <c r="B22" s="145"/>
      <c r="C22" s="102" t="s">
        <v>14</v>
      </c>
      <c r="D22" s="87" t="s">
        <v>75</v>
      </c>
      <c r="E22" s="82">
        <v>4</v>
      </c>
      <c r="F22" s="6">
        <v>4</v>
      </c>
      <c r="G22" s="51"/>
      <c r="H22" s="37">
        <v>4</v>
      </c>
      <c r="I22" s="31"/>
      <c r="J22" s="107"/>
      <c r="K22" s="7"/>
      <c r="L22" s="107"/>
      <c r="M22" s="158"/>
      <c r="N22" s="187"/>
    </row>
    <row r="23" spans="1:14" x14ac:dyDescent="0.4">
      <c r="A23" s="186"/>
      <c r="B23" s="139" t="s">
        <v>96</v>
      </c>
      <c r="C23" s="102" t="s">
        <v>14</v>
      </c>
      <c r="D23" s="88" t="s">
        <v>26</v>
      </c>
      <c r="E23" s="82">
        <v>4</v>
      </c>
      <c r="F23" s="6">
        <v>4</v>
      </c>
      <c r="G23" s="51">
        <v>4</v>
      </c>
      <c r="H23" s="37"/>
      <c r="I23" s="31"/>
      <c r="J23" s="107"/>
      <c r="K23" s="7"/>
      <c r="L23" s="107"/>
      <c r="M23" s="158">
        <v>10</v>
      </c>
      <c r="N23" s="155">
        <v>10</v>
      </c>
    </row>
    <row r="24" spans="1:14" x14ac:dyDescent="0.4">
      <c r="A24" s="186"/>
      <c r="B24" s="154"/>
      <c r="C24" s="102" t="s">
        <v>14</v>
      </c>
      <c r="D24" s="88" t="s">
        <v>27</v>
      </c>
      <c r="E24" s="82">
        <v>4</v>
      </c>
      <c r="F24" s="6">
        <v>4</v>
      </c>
      <c r="G24" s="51"/>
      <c r="H24" s="37">
        <v>4</v>
      </c>
      <c r="I24" s="31"/>
      <c r="J24" s="107"/>
      <c r="K24" s="7"/>
      <c r="L24" s="107"/>
      <c r="M24" s="158"/>
      <c r="N24" s="155"/>
    </row>
    <row r="25" spans="1:14" x14ac:dyDescent="0.4">
      <c r="A25" s="186"/>
      <c r="B25" s="154"/>
      <c r="C25" s="102" t="s">
        <v>14</v>
      </c>
      <c r="D25" s="88" t="s">
        <v>28</v>
      </c>
      <c r="E25" s="82">
        <v>1</v>
      </c>
      <c r="F25" s="6">
        <v>1</v>
      </c>
      <c r="G25" s="51">
        <v>1</v>
      </c>
      <c r="H25" s="37"/>
      <c r="I25" s="31"/>
      <c r="J25" s="107"/>
      <c r="K25" s="7"/>
      <c r="L25" s="107"/>
      <c r="M25" s="158"/>
      <c r="N25" s="155"/>
    </row>
    <row r="26" spans="1:14" x14ac:dyDescent="0.4">
      <c r="A26" s="186"/>
      <c r="B26" s="145"/>
      <c r="C26" s="102" t="s">
        <v>14</v>
      </c>
      <c r="D26" s="88" t="s">
        <v>29</v>
      </c>
      <c r="E26" s="82">
        <v>1</v>
      </c>
      <c r="F26" s="6">
        <v>1</v>
      </c>
      <c r="G26" s="51"/>
      <c r="H26" s="37">
        <v>1</v>
      </c>
      <c r="I26" s="31"/>
      <c r="J26" s="107"/>
      <c r="K26" s="7"/>
      <c r="L26" s="107"/>
      <c r="M26" s="158"/>
      <c r="N26" s="155"/>
    </row>
    <row r="27" spans="1:14" x14ac:dyDescent="0.4">
      <c r="A27" s="186"/>
      <c r="B27" s="139" t="s">
        <v>97</v>
      </c>
      <c r="C27" s="102" t="s">
        <v>30</v>
      </c>
      <c r="D27" s="88" t="s">
        <v>61</v>
      </c>
      <c r="E27" s="53">
        <v>2</v>
      </c>
      <c r="F27" s="6">
        <v>1</v>
      </c>
      <c r="G27" s="31">
        <v>1</v>
      </c>
      <c r="H27" s="37"/>
      <c r="I27" s="31"/>
      <c r="J27" s="107"/>
      <c r="K27" s="7"/>
      <c r="L27" s="107"/>
      <c r="M27" s="158">
        <f>SUM(G27:L32)</f>
        <v>10</v>
      </c>
      <c r="N27" s="155">
        <v>10</v>
      </c>
    </row>
    <row r="28" spans="1:14" x14ac:dyDescent="0.4">
      <c r="A28" s="186"/>
      <c r="B28" s="154"/>
      <c r="C28" s="102" t="s">
        <v>30</v>
      </c>
      <c r="D28" s="88" t="s">
        <v>62</v>
      </c>
      <c r="E28" s="53">
        <v>2</v>
      </c>
      <c r="F28" s="6">
        <v>1</v>
      </c>
      <c r="G28" s="31"/>
      <c r="H28" s="37">
        <v>1</v>
      </c>
      <c r="I28" s="31"/>
      <c r="J28" s="107"/>
      <c r="K28" s="7"/>
      <c r="L28" s="107"/>
      <c r="M28" s="158"/>
      <c r="N28" s="155"/>
    </row>
    <row r="29" spans="1:14" x14ac:dyDescent="0.4">
      <c r="A29" s="186"/>
      <c r="B29" s="154"/>
      <c r="C29" s="102" t="s">
        <v>31</v>
      </c>
      <c r="D29" s="88" t="s">
        <v>32</v>
      </c>
      <c r="E29" s="82">
        <v>3</v>
      </c>
      <c r="F29" s="6">
        <v>2</v>
      </c>
      <c r="G29" s="31"/>
      <c r="H29" s="37"/>
      <c r="I29" s="31">
        <v>2</v>
      </c>
      <c r="J29" s="107"/>
      <c r="K29" s="7"/>
      <c r="L29" s="107"/>
      <c r="M29" s="158"/>
      <c r="N29" s="155"/>
    </row>
    <row r="30" spans="1:14" x14ac:dyDescent="0.4">
      <c r="A30" s="186"/>
      <c r="B30" s="154"/>
      <c r="C30" s="102" t="s">
        <v>31</v>
      </c>
      <c r="D30" s="88" t="s">
        <v>33</v>
      </c>
      <c r="E30" s="82">
        <v>3</v>
      </c>
      <c r="F30" s="6">
        <v>2</v>
      </c>
      <c r="G30" s="31"/>
      <c r="H30" s="37"/>
      <c r="I30" s="31"/>
      <c r="J30" s="107">
        <v>2</v>
      </c>
      <c r="K30" s="7"/>
      <c r="L30" s="107"/>
      <c r="M30" s="158"/>
      <c r="N30" s="155"/>
    </row>
    <row r="31" spans="1:14" x14ac:dyDescent="0.4">
      <c r="A31" s="186"/>
      <c r="B31" s="154"/>
      <c r="C31" s="102" t="s">
        <v>34</v>
      </c>
      <c r="D31" s="88" t="s">
        <v>135</v>
      </c>
      <c r="E31" s="82">
        <v>3</v>
      </c>
      <c r="F31" s="6">
        <v>2</v>
      </c>
      <c r="G31" s="31"/>
      <c r="H31" s="37"/>
      <c r="I31" s="31"/>
      <c r="J31" s="107"/>
      <c r="K31" s="7">
        <v>2</v>
      </c>
      <c r="L31" s="107"/>
      <c r="M31" s="158"/>
      <c r="N31" s="155"/>
    </row>
    <row r="32" spans="1:14" x14ac:dyDescent="0.4">
      <c r="A32" s="186"/>
      <c r="B32" s="145"/>
      <c r="C32" s="102" t="s">
        <v>34</v>
      </c>
      <c r="D32" s="88" t="s">
        <v>136</v>
      </c>
      <c r="E32" s="82">
        <v>3</v>
      </c>
      <c r="F32" s="6">
        <v>2</v>
      </c>
      <c r="G32" s="57"/>
      <c r="H32" s="58"/>
      <c r="I32" s="31"/>
      <c r="J32" s="107"/>
      <c r="K32" s="7"/>
      <c r="L32" s="107">
        <v>2</v>
      </c>
      <c r="M32" s="158"/>
      <c r="N32" s="155"/>
    </row>
    <row r="33" spans="1:14" x14ac:dyDescent="0.4">
      <c r="A33" s="186"/>
      <c r="B33" s="146" t="s">
        <v>98</v>
      </c>
      <c r="C33" s="102" t="s">
        <v>35</v>
      </c>
      <c r="D33" s="88" t="s">
        <v>36</v>
      </c>
      <c r="E33" s="82">
        <v>3</v>
      </c>
      <c r="F33" s="6">
        <v>3</v>
      </c>
      <c r="G33" s="159" t="s">
        <v>109</v>
      </c>
      <c r="H33" s="160"/>
      <c r="I33" s="70"/>
      <c r="J33" s="107"/>
      <c r="K33" s="7"/>
      <c r="L33" s="107"/>
      <c r="M33" s="158">
        <v>6</v>
      </c>
      <c r="N33" s="155">
        <v>10</v>
      </c>
    </row>
    <row r="34" spans="1:14" x14ac:dyDescent="0.4">
      <c r="A34" s="186"/>
      <c r="B34" s="146"/>
      <c r="C34" s="102" t="s">
        <v>35</v>
      </c>
      <c r="D34" s="88" t="s">
        <v>37</v>
      </c>
      <c r="E34" s="82">
        <v>3</v>
      </c>
      <c r="F34" s="6">
        <v>3</v>
      </c>
      <c r="G34" s="84">
        <v>3</v>
      </c>
      <c r="H34" s="85">
        <v>3</v>
      </c>
      <c r="I34" s="31"/>
      <c r="J34" s="107"/>
      <c r="K34" s="7"/>
      <c r="L34" s="107"/>
      <c r="M34" s="158"/>
      <c r="N34" s="155"/>
    </row>
    <row r="35" spans="1:14" x14ac:dyDescent="0.4">
      <c r="A35" s="186"/>
      <c r="B35" s="72" t="s">
        <v>72</v>
      </c>
      <c r="C35" s="11" t="s">
        <v>39</v>
      </c>
      <c r="D35" s="89" t="s">
        <v>43</v>
      </c>
      <c r="E35" s="53">
        <v>4</v>
      </c>
      <c r="F35" s="73">
        <v>3</v>
      </c>
      <c r="G35" s="159" t="s">
        <v>73</v>
      </c>
      <c r="H35" s="160"/>
      <c r="I35" s="31"/>
      <c r="J35" s="37"/>
      <c r="K35" s="31"/>
      <c r="L35" s="37"/>
      <c r="M35" s="161">
        <v>5</v>
      </c>
      <c r="N35" s="163">
        <v>16</v>
      </c>
    </row>
    <row r="36" spans="1:14" ht="14.4" thickBot="1" x14ac:dyDescent="0.45">
      <c r="A36" s="186"/>
      <c r="B36" s="36" t="s">
        <v>99</v>
      </c>
      <c r="C36" s="67" t="s">
        <v>35</v>
      </c>
      <c r="D36" s="90" t="s">
        <v>38</v>
      </c>
      <c r="E36" s="68">
        <v>3</v>
      </c>
      <c r="F36" s="69">
        <v>2</v>
      </c>
      <c r="G36" s="71">
        <v>2</v>
      </c>
      <c r="H36" s="97">
        <v>3</v>
      </c>
      <c r="I36" s="46"/>
      <c r="J36" s="61"/>
      <c r="K36" s="46"/>
      <c r="L36" s="61"/>
      <c r="M36" s="162"/>
      <c r="N36" s="164"/>
    </row>
    <row r="37" spans="1:14" ht="15" customHeight="1" x14ac:dyDescent="0.4">
      <c r="A37" s="147" t="s">
        <v>138</v>
      </c>
      <c r="B37" s="99" t="s">
        <v>100</v>
      </c>
      <c r="C37" s="113" t="s">
        <v>52</v>
      </c>
      <c r="D37" s="91" t="s">
        <v>122</v>
      </c>
      <c r="E37" s="62">
        <v>4</v>
      </c>
      <c r="F37" s="63">
        <v>3</v>
      </c>
      <c r="G37" s="59"/>
      <c r="H37" s="60"/>
      <c r="I37" s="64" t="s">
        <v>127</v>
      </c>
      <c r="J37" s="43"/>
      <c r="K37" s="65"/>
      <c r="L37" s="66"/>
      <c r="M37" s="131">
        <v>12</v>
      </c>
      <c r="N37" s="165"/>
    </row>
    <row r="38" spans="1:14" ht="15" customHeight="1" x14ac:dyDescent="0.4">
      <c r="A38" s="148"/>
      <c r="B38" s="100" t="s">
        <v>101</v>
      </c>
      <c r="C38" s="102" t="s">
        <v>40</v>
      </c>
      <c r="D38" s="87" t="s">
        <v>137</v>
      </c>
      <c r="E38" s="82">
        <v>4</v>
      </c>
      <c r="F38" s="6">
        <v>3</v>
      </c>
      <c r="G38" s="12"/>
      <c r="H38" s="13"/>
      <c r="I38" s="126" t="s">
        <v>124</v>
      </c>
      <c r="J38" s="14"/>
      <c r="K38" s="15"/>
      <c r="L38" s="16"/>
      <c r="M38" s="132"/>
      <c r="N38" s="164"/>
    </row>
    <row r="39" spans="1:14" ht="15" customHeight="1" x14ac:dyDescent="0.4">
      <c r="A39" s="148"/>
      <c r="B39" s="100" t="s">
        <v>102</v>
      </c>
      <c r="C39" s="102" t="s">
        <v>34</v>
      </c>
      <c r="D39" s="114" t="s">
        <v>149</v>
      </c>
      <c r="E39" s="82">
        <v>4</v>
      </c>
      <c r="F39" s="6">
        <v>3</v>
      </c>
      <c r="G39" s="12"/>
      <c r="H39" s="13"/>
      <c r="I39" s="127"/>
      <c r="J39" s="14"/>
      <c r="K39" s="15"/>
      <c r="L39" s="16"/>
      <c r="M39" s="132"/>
      <c r="N39" s="164"/>
    </row>
    <row r="40" spans="1:14" ht="15" customHeight="1" x14ac:dyDescent="0.4">
      <c r="A40" s="148"/>
      <c r="B40" s="139" t="s">
        <v>103</v>
      </c>
      <c r="C40" s="102" t="s">
        <v>31</v>
      </c>
      <c r="D40" s="115" t="s">
        <v>154</v>
      </c>
      <c r="E40" s="82">
        <v>4</v>
      </c>
      <c r="F40" s="6">
        <v>3</v>
      </c>
      <c r="G40" s="12"/>
      <c r="H40" s="13"/>
      <c r="I40" s="127"/>
      <c r="J40" s="14"/>
      <c r="K40" s="15"/>
      <c r="L40" s="16"/>
      <c r="M40" s="132"/>
      <c r="N40" s="164"/>
    </row>
    <row r="41" spans="1:14" x14ac:dyDescent="0.4">
      <c r="A41" s="148"/>
      <c r="B41" s="145"/>
      <c r="C41" s="102" t="s">
        <v>68</v>
      </c>
      <c r="D41" s="115" t="s">
        <v>71</v>
      </c>
      <c r="E41" s="82">
        <v>4</v>
      </c>
      <c r="F41" s="6">
        <v>3</v>
      </c>
      <c r="G41" s="12"/>
      <c r="H41" s="13"/>
      <c r="I41" s="127"/>
      <c r="J41" s="14"/>
      <c r="K41" s="15"/>
      <c r="L41" s="16"/>
      <c r="M41" s="132"/>
      <c r="N41" s="164"/>
    </row>
    <row r="42" spans="1:14" ht="14.4" thickBot="1" x14ac:dyDescent="0.45">
      <c r="A42" s="148"/>
      <c r="B42" s="102" t="s">
        <v>104</v>
      </c>
      <c r="C42" s="102" t="s">
        <v>31</v>
      </c>
      <c r="D42" s="89" t="s">
        <v>41</v>
      </c>
      <c r="E42" s="82">
        <v>4</v>
      </c>
      <c r="F42" s="6">
        <v>3</v>
      </c>
      <c r="G42" s="12"/>
      <c r="H42" s="13"/>
      <c r="I42" s="128"/>
      <c r="J42" s="14"/>
      <c r="K42" s="15"/>
      <c r="L42" s="16"/>
      <c r="M42" s="130"/>
      <c r="N42" s="164"/>
    </row>
    <row r="43" spans="1:14" ht="15" customHeight="1" x14ac:dyDescent="0.4">
      <c r="A43" s="148"/>
      <c r="B43" s="8" t="s">
        <v>42</v>
      </c>
      <c r="C43" s="102" t="s">
        <v>31</v>
      </c>
      <c r="D43" s="89" t="s">
        <v>128</v>
      </c>
      <c r="E43" s="82">
        <v>4</v>
      </c>
      <c r="F43" s="6">
        <v>3</v>
      </c>
      <c r="G43" s="12"/>
      <c r="H43" s="13"/>
      <c r="I43" s="10" t="s">
        <v>123</v>
      </c>
      <c r="J43" s="14"/>
      <c r="K43" s="15"/>
      <c r="L43" s="16"/>
      <c r="M43" s="129">
        <v>3</v>
      </c>
      <c r="N43" s="164"/>
    </row>
    <row r="44" spans="1:14" ht="15" customHeight="1" thickBot="1" x14ac:dyDescent="0.45">
      <c r="A44" s="148"/>
      <c r="B44" s="108" t="s">
        <v>64</v>
      </c>
      <c r="C44" s="102" t="s">
        <v>30</v>
      </c>
      <c r="D44" s="89" t="s">
        <v>63</v>
      </c>
      <c r="E44" s="82">
        <v>4</v>
      </c>
      <c r="F44" s="6">
        <v>3</v>
      </c>
      <c r="G44" s="12"/>
      <c r="H44" s="13"/>
      <c r="I44" s="111">
        <v>3</v>
      </c>
      <c r="J44" s="17"/>
      <c r="K44" s="15"/>
      <c r="L44" s="16"/>
      <c r="M44" s="130"/>
      <c r="N44" s="166"/>
    </row>
    <row r="45" spans="1:14" x14ac:dyDescent="0.4">
      <c r="A45" s="148"/>
      <c r="B45" s="108" t="s">
        <v>100</v>
      </c>
      <c r="C45" s="102" t="s">
        <v>40</v>
      </c>
      <c r="D45" s="89" t="s">
        <v>44</v>
      </c>
      <c r="E45" s="82">
        <v>4</v>
      </c>
      <c r="F45" s="6">
        <v>3</v>
      </c>
      <c r="G45" s="12"/>
      <c r="H45" s="18"/>
      <c r="I45" s="19"/>
      <c r="J45" s="10" t="s">
        <v>127</v>
      </c>
      <c r="K45" s="20"/>
      <c r="L45" s="16"/>
      <c r="M45" s="129">
        <v>12</v>
      </c>
      <c r="N45" s="163"/>
    </row>
    <row r="46" spans="1:14" x14ac:dyDescent="0.4">
      <c r="A46" s="148"/>
      <c r="B46" s="108" t="s">
        <v>101</v>
      </c>
      <c r="C46" s="102" t="s">
        <v>30</v>
      </c>
      <c r="D46" s="89" t="s">
        <v>45</v>
      </c>
      <c r="E46" s="82">
        <v>4</v>
      </c>
      <c r="F46" s="6">
        <v>3</v>
      </c>
      <c r="G46" s="12"/>
      <c r="H46" s="18"/>
      <c r="I46" s="19"/>
      <c r="J46" s="126" t="s">
        <v>124</v>
      </c>
      <c r="K46" s="20"/>
      <c r="L46" s="16"/>
      <c r="M46" s="132"/>
      <c r="N46" s="164"/>
    </row>
    <row r="47" spans="1:14" x14ac:dyDescent="0.4">
      <c r="A47" s="148"/>
      <c r="B47" s="108" t="s">
        <v>102</v>
      </c>
      <c r="C47" s="102" t="s">
        <v>30</v>
      </c>
      <c r="D47" s="116" t="s">
        <v>150</v>
      </c>
      <c r="E47" s="82">
        <v>4</v>
      </c>
      <c r="F47" s="6">
        <v>3</v>
      </c>
      <c r="G47" s="12"/>
      <c r="H47" s="18"/>
      <c r="I47" s="75"/>
      <c r="J47" s="127"/>
      <c r="K47" s="20"/>
      <c r="L47" s="16"/>
      <c r="M47" s="132"/>
      <c r="N47" s="164"/>
    </row>
    <row r="48" spans="1:14" x14ac:dyDescent="0.4">
      <c r="A48" s="148"/>
      <c r="B48" s="156" t="s">
        <v>103</v>
      </c>
      <c r="C48" s="102" t="s">
        <v>66</v>
      </c>
      <c r="D48" s="89" t="s">
        <v>67</v>
      </c>
      <c r="E48" s="82">
        <v>4</v>
      </c>
      <c r="F48" s="6">
        <v>3</v>
      </c>
      <c r="G48" s="12"/>
      <c r="H48" s="18"/>
      <c r="I48" s="75"/>
      <c r="J48" s="127"/>
      <c r="K48" s="20"/>
      <c r="L48" s="16"/>
      <c r="M48" s="132"/>
      <c r="N48" s="164"/>
    </row>
    <row r="49" spans="1:14" x14ac:dyDescent="0.4">
      <c r="A49" s="148"/>
      <c r="B49" s="157"/>
      <c r="C49" s="102" t="s">
        <v>30</v>
      </c>
      <c r="D49" s="89" t="s">
        <v>146</v>
      </c>
      <c r="E49" s="82">
        <v>4</v>
      </c>
      <c r="F49" s="6">
        <v>3</v>
      </c>
      <c r="G49" s="12"/>
      <c r="H49" s="18"/>
      <c r="I49" s="21"/>
      <c r="J49" s="127"/>
      <c r="K49" s="20"/>
      <c r="L49" s="16"/>
      <c r="M49" s="132"/>
      <c r="N49" s="164"/>
    </row>
    <row r="50" spans="1:14" ht="33.6" customHeight="1" thickBot="1" x14ac:dyDescent="0.45">
      <c r="A50" s="148"/>
      <c r="B50" s="8" t="s">
        <v>104</v>
      </c>
      <c r="C50" s="102" t="s">
        <v>30</v>
      </c>
      <c r="D50" s="89" t="s">
        <v>46</v>
      </c>
      <c r="E50" s="82">
        <v>4</v>
      </c>
      <c r="F50" s="6">
        <v>3</v>
      </c>
      <c r="G50" s="12"/>
      <c r="H50" s="18"/>
      <c r="I50" s="75"/>
      <c r="J50" s="128"/>
      <c r="K50" s="20"/>
      <c r="L50" s="16"/>
      <c r="M50" s="130"/>
      <c r="N50" s="164"/>
    </row>
    <row r="51" spans="1:14" ht="17.7" customHeight="1" x14ac:dyDescent="0.4">
      <c r="A51" s="148"/>
      <c r="B51" s="8" t="s">
        <v>42</v>
      </c>
      <c r="C51" s="102" t="s">
        <v>30</v>
      </c>
      <c r="D51" s="89" t="s">
        <v>129</v>
      </c>
      <c r="E51" s="82">
        <v>4</v>
      </c>
      <c r="F51" s="6">
        <v>3</v>
      </c>
      <c r="G51" s="12"/>
      <c r="H51" s="18"/>
      <c r="I51" s="21"/>
      <c r="J51" s="10" t="s">
        <v>123</v>
      </c>
      <c r="K51" s="20"/>
      <c r="L51" s="16"/>
      <c r="M51" s="129">
        <v>3</v>
      </c>
      <c r="N51" s="164"/>
    </row>
    <row r="52" spans="1:14" ht="14.4" thickBot="1" x14ac:dyDescent="0.45">
      <c r="A52" s="148"/>
      <c r="B52" s="108" t="s">
        <v>64</v>
      </c>
      <c r="C52" s="100" t="s">
        <v>34</v>
      </c>
      <c r="D52" s="117" t="s">
        <v>151</v>
      </c>
      <c r="E52" s="83">
        <v>4</v>
      </c>
      <c r="F52" s="9">
        <v>3</v>
      </c>
      <c r="G52" s="22"/>
      <c r="H52" s="23"/>
      <c r="I52" s="24"/>
      <c r="J52" s="110">
        <v>3</v>
      </c>
      <c r="K52" s="25"/>
      <c r="L52" s="26"/>
      <c r="M52" s="133"/>
      <c r="N52" s="164"/>
    </row>
    <row r="53" spans="1:14" x14ac:dyDescent="0.4">
      <c r="A53" s="148"/>
      <c r="B53" s="99" t="s">
        <v>105</v>
      </c>
      <c r="C53" s="52" t="s">
        <v>52</v>
      </c>
      <c r="D53" s="92" t="s">
        <v>125</v>
      </c>
      <c r="E53" s="81">
        <v>4</v>
      </c>
      <c r="F53" s="4">
        <v>3</v>
      </c>
      <c r="G53" s="5"/>
      <c r="H53" s="112"/>
      <c r="I53" s="27"/>
      <c r="J53" s="28"/>
      <c r="K53" s="29" t="s">
        <v>127</v>
      </c>
      <c r="L53" s="30"/>
      <c r="M53" s="131">
        <v>12</v>
      </c>
      <c r="N53" s="165"/>
    </row>
    <row r="54" spans="1:14" ht="17.7" customHeight="1" x14ac:dyDescent="0.4">
      <c r="A54" s="148"/>
      <c r="B54" s="102" t="s">
        <v>106</v>
      </c>
      <c r="C54" s="102" t="s">
        <v>40</v>
      </c>
      <c r="D54" s="89" t="s">
        <v>126</v>
      </c>
      <c r="E54" s="82">
        <v>4</v>
      </c>
      <c r="F54" s="6">
        <v>3</v>
      </c>
      <c r="G54" s="7"/>
      <c r="H54" s="107"/>
      <c r="I54" s="31"/>
      <c r="J54" s="32"/>
      <c r="K54" s="169" t="s">
        <v>124</v>
      </c>
      <c r="L54" s="33"/>
      <c r="M54" s="167"/>
      <c r="N54" s="164"/>
    </row>
    <row r="55" spans="1:14" ht="18.600000000000001" customHeight="1" x14ac:dyDescent="0.4">
      <c r="A55" s="148"/>
      <c r="B55" s="139" t="s">
        <v>107</v>
      </c>
      <c r="C55" s="102" t="s">
        <v>31</v>
      </c>
      <c r="D55" s="93" t="s">
        <v>70</v>
      </c>
      <c r="E55" s="82">
        <v>4</v>
      </c>
      <c r="F55" s="6">
        <v>3</v>
      </c>
      <c r="G55" s="7"/>
      <c r="H55" s="107"/>
      <c r="I55" s="31"/>
      <c r="J55" s="32"/>
      <c r="K55" s="169"/>
      <c r="L55" s="33"/>
      <c r="M55" s="167"/>
      <c r="N55" s="164"/>
    </row>
    <row r="56" spans="1:14" ht="18.600000000000001" customHeight="1" x14ac:dyDescent="0.4">
      <c r="A56" s="148"/>
      <c r="B56" s="145"/>
      <c r="C56" s="102" t="s">
        <v>34</v>
      </c>
      <c r="D56" s="118" t="s">
        <v>147</v>
      </c>
      <c r="E56" s="82">
        <v>4</v>
      </c>
      <c r="F56" s="6">
        <v>3</v>
      </c>
      <c r="G56" s="7"/>
      <c r="H56" s="107"/>
      <c r="I56" s="31"/>
      <c r="J56" s="32"/>
      <c r="K56" s="169"/>
      <c r="L56" s="33"/>
      <c r="M56" s="167"/>
      <c r="N56" s="164"/>
    </row>
    <row r="57" spans="1:14" x14ac:dyDescent="0.4">
      <c r="A57" s="148"/>
      <c r="B57" s="139" t="s">
        <v>95</v>
      </c>
      <c r="C57" s="102" t="s">
        <v>40</v>
      </c>
      <c r="D57" s="94" t="s">
        <v>130</v>
      </c>
      <c r="E57" s="82">
        <v>4</v>
      </c>
      <c r="F57" s="6">
        <v>3</v>
      </c>
      <c r="G57" s="7"/>
      <c r="H57" s="107"/>
      <c r="I57" s="31"/>
      <c r="J57" s="32"/>
      <c r="K57" s="169"/>
      <c r="L57" s="33"/>
      <c r="M57" s="167"/>
      <c r="N57" s="164"/>
    </row>
    <row r="58" spans="1:14" x14ac:dyDescent="0.4">
      <c r="A58" s="148"/>
      <c r="B58" s="145"/>
      <c r="C58" s="102" t="s">
        <v>69</v>
      </c>
      <c r="D58" s="94" t="s">
        <v>131</v>
      </c>
      <c r="E58" s="82">
        <v>4</v>
      </c>
      <c r="F58" s="6">
        <v>3</v>
      </c>
      <c r="G58" s="7"/>
      <c r="H58" s="107"/>
      <c r="I58" s="31"/>
      <c r="J58" s="32"/>
      <c r="K58" s="169"/>
      <c r="L58" s="33"/>
      <c r="M58" s="167"/>
      <c r="N58" s="164"/>
    </row>
    <row r="59" spans="1:14" ht="32.700000000000003" customHeight="1" thickBot="1" x14ac:dyDescent="0.45">
      <c r="A59" s="148"/>
      <c r="B59" s="102" t="s">
        <v>104</v>
      </c>
      <c r="C59" s="102" t="s">
        <v>40</v>
      </c>
      <c r="D59" s="94" t="s">
        <v>47</v>
      </c>
      <c r="E59" s="82">
        <v>4</v>
      </c>
      <c r="F59" s="6">
        <v>3</v>
      </c>
      <c r="G59" s="7"/>
      <c r="H59" s="107"/>
      <c r="I59" s="31"/>
      <c r="J59" s="32"/>
      <c r="K59" s="170"/>
      <c r="L59" s="33"/>
      <c r="M59" s="168"/>
      <c r="N59" s="166"/>
    </row>
    <row r="60" spans="1:14" x14ac:dyDescent="0.4">
      <c r="A60" s="148"/>
      <c r="B60" s="108" t="s">
        <v>64</v>
      </c>
      <c r="C60" s="102" t="s">
        <v>48</v>
      </c>
      <c r="D60" s="94" t="s">
        <v>49</v>
      </c>
      <c r="E60" s="82">
        <v>4</v>
      </c>
      <c r="F60" s="6">
        <v>3</v>
      </c>
      <c r="G60" s="7"/>
      <c r="H60" s="107"/>
      <c r="I60" s="31"/>
      <c r="J60" s="32"/>
      <c r="K60" s="34" t="s">
        <v>50</v>
      </c>
      <c r="L60" s="35"/>
      <c r="M60" s="158">
        <v>3</v>
      </c>
      <c r="N60" s="155"/>
    </row>
    <row r="61" spans="1:14" x14ac:dyDescent="0.4">
      <c r="A61" s="148"/>
      <c r="B61" s="108" t="s">
        <v>42</v>
      </c>
      <c r="C61" s="102" t="s">
        <v>53</v>
      </c>
      <c r="D61" s="94" t="s">
        <v>65</v>
      </c>
      <c r="E61" s="82">
        <v>4</v>
      </c>
      <c r="F61" s="6">
        <v>3</v>
      </c>
      <c r="G61" s="7"/>
      <c r="H61" s="107"/>
      <c r="I61" s="31"/>
      <c r="J61" s="32"/>
      <c r="K61" s="191">
        <v>3</v>
      </c>
      <c r="L61" s="35"/>
      <c r="M61" s="158"/>
      <c r="N61" s="155"/>
    </row>
    <row r="62" spans="1:14" ht="18" customHeight="1" thickBot="1" x14ac:dyDescent="0.45">
      <c r="A62" s="148"/>
      <c r="B62" s="102" t="s">
        <v>108</v>
      </c>
      <c r="C62" s="102" t="s">
        <v>48</v>
      </c>
      <c r="D62" s="94" t="s">
        <v>51</v>
      </c>
      <c r="E62" s="82">
        <v>3</v>
      </c>
      <c r="F62" s="6">
        <v>3</v>
      </c>
      <c r="G62" s="7"/>
      <c r="H62" s="107"/>
      <c r="I62" s="31"/>
      <c r="J62" s="32"/>
      <c r="K62" s="192"/>
      <c r="L62" s="215"/>
      <c r="M62" s="158"/>
      <c r="N62" s="155"/>
    </row>
    <row r="63" spans="1:14" ht="14.7" customHeight="1" x14ac:dyDescent="0.4">
      <c r="A63" s="148"/>
      <c r="B63" s="139" t="s">
        <v>105</v>
      </c>
      <c r="C63" s="102" t="s">
        <v>76</v>
      </c>
      <c r="D63" s="95" t="s">
        <v>77</v>
      </c>
      <c r="E63" s="82">
        <v>4</v>
      </c>
      <c r="F63" s="6">
        <v>4</v>
      </c>
      <c r="G63" s="7"/>
      <c r="H63" s="107"/>
      <c r="I63" s="31"/>
      <c r="J63" s="37"/>
      <c r="K63" s="38"/>
      <c r="L63" s="216" t="s">
        <v>156</v>
      </c>
      <c r="M63" s="129">
        <v>20</v>
      </c>
      <c r="N63" s="163"/>
    </row>
    <row r="64" spans="1:14" ht="14.7" customHeight="1" x14ac:dyDescent="0.4">
      <c r="A64" s="148"/>
      <c r="B64" s="140"/>
      <c r="C64" s="102" t="s">
        <v>52</v>
      </c>
      <c r="D64" s="95" t="s">
        <v>80</v>
      </c>
      <c r="E64" s="82">
        <v>4</v>
      </c>
      <c r="F64" s="6">
        <v>4</v>
      </c>
      <c r="G64" s="7"/>
      <c r="H64" s="107"/>
      <c r="I64" s="31"/>
      <c r="J64" s="37"/>
      <c r="K64" s="38"/>
      <c r="L64" s="217" t="s">
        <v>157</v>
      </c>
      <c r="M64" s="167"/>
      <c r="N64" s="164"/>
    </row>
    <row r="65" spans="1:14" ht="14.7" customHeight="1" x14ac:dyDescent="0.4">
      <c r="A65" s="148"/>
      <c r="B65" s="139" t="s">
        <v>106</v>
      </c>
      <c r="C65" s="102" t="s">
        <v>30</v>
      </c>
      <c r="D65" s="119" t="s">
        <v>148</v>
      </c>
      <c r="E65" s="82">
        <v>4</v>
      </c>
      <c r="F65" s="6">
        <v>4</v>
      </c>
      <c r="G65" s="7"/>
      <c r="H65" s="107"/>
      <c r="I65" s="31"/>
      <c r="J65" s="37"/>
      <c r="K65" s="38"/>
      <c r="L65" s="218"/>
      <c r="M65" s="167"/>
      <c r="N65" s="164"/>
    </row>
    <row r="66" spans="1:14" ht="17.399999999999999" customHeight="1" x14ac:dyDescent="0.4">
      <c r="A66" s="148"/>
      <c r="B66" s="145"/>
      <c r="C66" s="102" t="s">
        <v>53</v>
      </c>
      <c r="D66" s="89" t="s">
        <v>145</v>
      </c>
      <c r="E66" s="82">
        <v>4</v>
      </c>
      <c r="F66" s="6">
        <v>4</v>
      </c>
      <c r="G66" s="7"/>
      <c r="H66" s="107"/>
      <c r="I66" s="31"/>
      <c r="J66" s="37"/>
      <c r="K66" s="39"/>
      <c r="L66" s="218"/>
      <c r="M66" s="167"/>
      <c r="N66" s="164"/>
    </row>
    <row r="67" spans="1:14" ht="17.399999999999999" customHeight="1" x14ac:dyDescent="0.4">
      <c r="A67" s="148"/>
      <c r="B67" s="139" t="s">
        <v>102</v>
      </c>
      <c r="C67" s="102" t="s">
        <v>76</v>
      </c>
      <c r="D67" s="89" t="s">
        <v>78</v>
      </c>
      <c r="E67" s="82">
        <v>4</v>
      </c>
      <c r="F67" s="6">
        <v>4</v>
      </c>
      <c r="G67" s="7"/>
      <c r="H67" s="107"/>
      <c r="I67" s="31"/>
      <c r="J67" s="37"/>
      <c r="K67" s="39"/>
      <c r="L67" s="218"/>
      <c r="M67" s="167"/>
      <c r="N67" s="164"/>
    </row>
    <row r="68" spans="1:14" ht="17.399999999999999" customHeight="1" x14ac:dyDescent="0.4">
      <c r="A68" s="148"/>
      <c r="B68" s="140"/>
      <c r="C68" s="102" t="s">
        <v>53</v>
      </c>
      <c r="D68" s="93" t="s">
        <v>112</v>
      </c>
      <c r="E68" s="82">
        <v>4</v>
      </c>
      <c r="F68" s="6">
        <v>4</v>
      </c>
      <c r="G68" s="7"/>
      <c r="H68" s="107"/>
      <c r="I68" s="31"/>
      <c r="J68" s="37"/>
      <c r="K68" s="39"/>
      <c r="L68" s="218"/>
      <c r="M68" s="167"/>
      <c r="N68" s="164"/>
    </row>
    <row r="69" spans="1:14" ht="14.7" customHeight="1" x14ac:dyDescent="0.4">
      <c r="A69" s="148"/>
      <c r="B69" s="141" t="s">
        <v>95</v>
      </c>
      <c r="C69" s="102" t="s">
        <v>76</v>
      </c>
      <c r="D69" s="93" t="s">
        <v>79</v>
      </c>
      <c r="E69" s="82">
        <v>4</v>
      </c>
      <c r="F69" s="6">
        <v>4</v>
      </c>
      <c r="G69" s="7"/>
      <c r="H69" s="107"/>
      <c r="I69" s="31"/>
      <c r="J69" s="37"/>
      <c r="K69" s="39"/>
      <c r="L69" s="218"/>
      <c r="M69" s="162"/>
      <c r="N69" s="164"/>
    </row>
    <row r="70" spans="1:14" ht="33" customHeight="1" x14ac:dyDescent="0.4">
      <c r="A70" s="148"/>
      <c r="B70" s="142"/>
      <c r="C70" s="102" t="s">
        <v>52</v>
      </c>
      <c r="D70" s="94" t="s">
        <v>132</v>
      </c>
      <c r="E70" s="82">
        <v>4</v>
      </c>
      <c r="F70" s="6">
        <v>4</v>
      </c>
      <c r="G70" s="7"/>
      <c r="H70" s="107"/>
      <c r="I70" s="31"/>
      <c r="J70" s="37"/>
      <c r="K70" s="39"/>
      <c r="L70" s="218"/>
      <c r="M70" s="167"/>
      <c r="N70" s="164"/>
    </row>
    <row r="71" spans="1:14" ht="32.700000000000003" customHeight="1" thickBot="1" x14ac:dyDescent="0.45">
      <c r="A71" s="148"/>
      <c r="B71" s="120" t="s">
        <v>104</v>
      </c>
      <c r="C71" s="102" t="s">
        <v>53</v>
      </c>
      <c r="D71" s="94" t="s">
        <v>133</v>
      </c>
      <c r="E71" s="82">
        <v>4</v>
      </c>
      <c r="F71" s="6">
        <v>4</v>
      </c>
      <c r="G71" s="7"/>
      <c r="H71" s="107"/>
      <c r="I71" s="31"/>
      <c r="J71" s="37"/>
      <c r="K71" s="39"/>
      <c r="L71" s="219"/>
      <c r="M71" s="168"/>
      <c r="N71" s="166"/>
    </row>
    <row r="72" spans="1:14" x14ac:dyDescent="0.4">
      <c r="A72" s="149"/>
      <c r="B72" s="122" t="s">
        <v>64</v>
      </c>
      <c r="C72" s="121" t="s">
        <v>48</v>
      </c>
      <c r="D72" s="116" t="s">
        <v>152</v>
      </c>
      <c r="E72" s="82">
        <v>4</v>
      </c>
      <c r="F72" s="6">
        <v>4</v>
      </c>
      <c r="G72" s="7"/>
      <c r="H72" s="107"/>
      <c r="I72" s="31"/>
      <c r="J72" s="37"/>
      <c r="K72" s="40"/>
      <c r="L72" s="34" t="s">
        <v>50</v>
      </c>
      <c r="M72" s="158">
        <v>4</v>
      </c>
      <c r="N72" s="155"/>
    </row>
    <row r="73" spans="1:14" ht="16.5" customHeight="1" x14ac:dyDescent="0.4">
      <c r="A73" s="149"/>
      <c r="B73" s="122" t="s">
        <v>42</v>
      </c>
      <c r="C73" s="121" t="s">
        <v>76</v>
      </c>
      <c r="D73" s="116" t="s">
        <v>153</v>
      </c>
      <c r="E73" s="82">
        <v>4</v>
      </c>
      <c r="F73" s="6">
        <v>4</v>
      </c>
      <c r="G73" s="7"/>
      <c r="H73" s="107"/>
      <c r="I73" s="31"/>
      <c r="J73" s="37"/>
      <c r="K73" s="40"/>
      <c r="L73" s="220">
        <v>4</v>
      </c>
      <c r="M73" s="158"/>
      <c r="N73" s="155"/>
    </row>
    <row r="74" spans="1:14" x14ac:dyDescent="0.4">
      <c r="A74" s="149"/>
      <c r="B74" s="193" t="s">
        <v>99</v>
      </c>
      <c r="C74" s="195" t="s">
        <v>53</v>
      </c>
      <c r="D74" s="197" t="s">
        <v>155</v>
      </c>
      <c r="E74" s="199">
        <v>3</v>
      </c>
      <c r="F74" s="124">
        <v>2</v>
      </c>
      <c r="G74" s="7"/>
      <c r="H74" s="123"/>
      <c r="I74" s="31"/>
      <c r="J74" s="37"/>
      <c r="K74" s="41"/>
      <c r="L74" s="221"/>
      <c r="M74" s="158"/>
      <c r="N74" s="155"/>
    </row>
    <row r="75" spans="1:14" ht="14.4" thickBot="1" x14ac:dyDescent="0.45">
      <c r="A75" s="149"/>
      <c r="B75" s="194"/>
      <c r="C75" s="196"/>
      <c r="D75" s="198"/>
      <c r="E75" s="200"/>
      <c r="F75" s="124">
        <v>2</v>
      </c>
      <c r="G75" s="7"/>
      <c r="H75" s="107"/>
      <c r="I75" s="31"/>
      <c r="J75" s="37"/>
      <c r="K75" s="41"/>
      <c r="L75" s="222"/>
      <c r="M75" s="158"/>
      <c r="N75" s="155"/>
    </row>
    <row r="76" spans="1:14" x14ac:dyDescent="0.4">
      <c r="A76" s="148"/>
      <c r="B76" s="145" t="s">
        <v>98</v>
      </c>
      <c r="C76" s="102" t="s">
        <v>40</v>
      </c>
      <c r="D76" s="95" t="s">
        <v>54</v>
      </c>
      <c r="E76" s="82">
        <v>3</v>
      </c>
      <c r="F76" s="6">
        <v>2</v>
      </c>
      <c r="G76" s="7"/>
      <c r="H76" s="107"/>
      <c r="I76" s="31"/>
      <c r="J76" s="32"/>
      <c r="K76" s="42" t="s">
        <v>50</v>
      </c>
      <c r="L76" s="43"/>
      <c r="M76" s="158">
        <v>2</v>
      </c>
      <c r="N76" s="155"/>
    </row>
    <row r="77" spans="1:14" ht="14.4" thickBot="1" x14ac:dyDescent="0.45">
      <c r="A77" s="148"/>
      <c r="B77" s="146"/>
      <c r="C77" s="102" t="s">
        <v>40</v>
      </c>
      <c r="D77" s="89" t="s">
        <v>55</v>
      </c>
      <c r="E77" s="82">
        <v>3</v>
      </c>
      <c r="F77" s="6">
        <v>2</v>
      </c>
      <c r="G77" s="7"/>
      <c r="H77" s="107"/>
      <c r="I77" s="31"/>
      <c r="J77" s="32"/>
      <c r="K77" s="44">
        <v>2</v>
      </c>
      <c r="L77" s="17"/>
      <c r="M77" s="158"/>
      <c r="N77" s="155"/>
    </row>
    <row r="78" spans="1:14" x14ac:dyDescent="0.4">
      <c r="A78" s="148"/>
      <c r="B78" s="146"/>
      <c r="C78" s="102" t="s">
        <v>40</v>
      </c>
      <c r="D78" s="95" t="s">
        <v>56</v>
      </c>
      <c r="E78" s="82">
        <v>3</v>
      </c>
      <c r="F78" s="6">
        <v>2</v>
      </c>
      <c r="G78" s="7"/>
      <c r="H78" s="107"/>
      <c r="I78" s="31"/>
      <c r="J78" s="37"/>
      <c r="K78" s="45"/>
      <c r="L78" s="42" t="s">
        <v>50</v>
      </c>
      <c r="M78" s="158">
        <v>2</v>
      </c>
      <c r="N78" s="155"/>
    </row>
    <row r="79" spans="1:14" ht="14.4" thickBot="1" x14ac:dyDescent="0.45">
      <c r="A79" s="148"/>
      <c r="B79" s="139"/>
      <c r="C79" s="100" t="s">
        <v>40</v>
      </c>
      <c r="D79" s="96" t="s">
        <v>110</v>
      </c>
      <c r="E79" s="83">
        <v>3</v>
      </c>
      <c r="F79" s="9">
        <v>2</v>
      </c>
      <c r="G79" s="103"/>
      <c r="H79" s="105"/>
      <c r="I79" s="57"/>
      <c r="J79" s="58"/>
      <c r="K79" s="80"/>
      <c r="L79" s="109">
        <v>2</v>
      </c>
      <c r="M79" s="161"/>
      <c r="N79" s="163"/>
    </row>
    <row r="80" spans="1:14" x14ac:dyDescent="0.4">
      <c r="A80" s="132"/>
      <c r="B80" s="52" t="s">
        <v>81</v>
      </c>
      <c r="C80" s="52" t="s">
        <v>82</v>
      </c>
      <c r="D80" s="92" t="s">
        <v>94</v>
      </c>
      <c r="E80" s="81">
        <v>4</v>
      </c>
      <c r="F80" s="4">
        <v>3</v>
      </c>
      <c r="G80" s="203" t="s">
        <v>92</v>
      </c>
      <c r="H80" s="204"/>
      <c r="I80" s="204"/>
      <c r="J80" s="204"/>
      <c r="K80" s="204"/>
      <c r="L80" s="205"/>
      <c r="M80" s="131"/>
      <c r="N80" s="165"/>
    </row>
    <row r="81" spans="1:14" ht="14.7" customHeight="1" x14ac:dyDescent="0.4">
      <c r="A81" s="132"/>
      <c r="B81" s="102" t="s">
        <v>83</v>
      </c>
      <c r="C81" s="102" t="s">
        <v>84</v>
      </c>
      <c r="D81" s="95" t="s">
        <v>134</v>
      </c>
      <c r="E81" s="82">
        <v>4</v>
      </c>
      <c r="F81" s="6">
        <v>3</v>
      </c>
      <c r="G81" s="206"/>
      <c r="H81" s="207"/>
      <c r="I81" s="207"/>
      <c r="J81" s="207"/>
      <c r="K81" s="207"/>
      <c r="L81" s="208"/>
      <c r="M81" s="132"/>
      <c r="N81" s="201"/>
    </row>
    <row r="82" spans="1:14" ht="14.7" customHeight="1" x14ac:dyDescent="0.4">
      <c r="A82" s="132"/>
      <c r="B82" s="139" t="s">
        <v>85</v>
      </c>
      <c r="C82" s="102" t="s">
        <v>82</v>
      </c>
      <c r="D82" s="95" t="s">
        <v>86</v>
      </c>
      <c r="E82" s="82">
        <v>4</v>
      </c>
      <c r="F82" s="6">
        <v>3</v>
      </c>
      <c r="G82" s="206"/>
      <c r="H82" s="207"/>
      <c r="I82" s="207"/>
      <c r="J82" s="207"/>
      <c r="K82" s="207"/>
      <c r="L82" s="208"/>
      <c r="M82" s="132"/>
      <c r="N82" s="201"/>
    </row>
    <row r="83" spans="1:14" ht="14.7" customHeight="1" x14ac:dyDescent="0.4">
      <c r="A83" s="132"/>
      <c r="B83" s="140"/>
      <c r="C83" s="102" t="s">
        <v>84</v>
      </c>
      <c r="D83" s="95" t="s">
        <v>87</v>
      </c>
      <c r="E83" s="82">
        <v>4</v>
      </c>
      <c r="F83" s="6">
        <v>3</v>
      </c>
      <c r="G83" s="206"/>
      <c r="H83" s="207"/>
      <c r="I83" s="207"/>
      <c r="J83" s="207"/>
      <c r="K83" s="207"/>
      <c r="L83" s="208"/>
      <c r="M83" s="132"/>
      <c r="N83" s="201"/>
    </row>
    <row r="84" spans="1:14" ht="15.6" customHeight="1" x14ac:dyDescent="0.4">
      <c r="A84" s="132"/>
      <c r="B84" s="143" t="s">
        <v>88</v>
      </c>
      <c r="C84" s="102" t="s">
        <v>82</v>
      </c>
      <c r="D84" s="95" t="s">
        <v>93</v>
      </c>
      <c r="E84" s="82">
        <v>4</v>
      </c>
      <c r="F84" s="6">
        <v>3</v>
      </c>
      <c r="G84" s="206"/>
      <c r="H84" s="207"/>
      <c r="I84" s="207"/>
      <c r="J84" s="207"/>
      <c r="K84" s="207"/>
      <c r="L84" s="208"/>
      <c r="M84" s="132"/>
      <c r="N84" s="201"/>
    </row>
    <row r="85" spans="1:14" ht="14.7" customHeight="1" x14ac:dyDescent="0.4">
      <c r="A85" s="132"/>
      <c r="B85" s="144"/>
      <c r="C85" s="100" t="s">
        <v>84</v>
      </c>
      <c r="D85" s="96" t="s">
        <v>89</v>
      </c>
      <c r="E85" s="83">
        <v>4</v>
      </c>
      <c r="F85" s="9">
        <v>3</v>
      </c>
      <c r="G85" s="209"/>
      <c r="H85" s="210"/>
      <c r="I85" s="210"/>
      <c r="J85" s="210"/>
      <c r="K85" s="210"/>
      <c r="L85" s="211"/>
      <c r="M85" s="132"/>
      <c r="N85" s="201"/>
    </row>
    <row r="86" spans="1:14" ht="15" customHeight="1" thickBot="1" x14ac:dyDescent="0.45">
      <c r="A86" s="133"/>
      <c r="B86" s="100" t="s">
        <v>90</v>
      </c>
      <c r="C86" s="100" t="s">
        <v>91</v>
      </c>
      <c r="D86" s="96" t="s">
        <v>90</v>
      </c>
      <c r="E86" s="83">
        <v>4</v>
      </c>
      <c r="F86" s="9">
        <v>3</v>
      </c>
      <c r="G86" s="212"/>
      <c r="H86" s="213"/>
      <c r="I86" s="213"/>
      <c r="J86" s="213"/>
      <c r="K86" s="213"/>
      <c r="L86" s="214"/>
      <c r="M86" s="133"/>
      <c r="N86" s="202"/>
    </row>
    <row r="87" spans="1:14" ht="14.7" customHeight="1" x14ac:dyDescent="0.4">
      <c r="A87" s="150" t="s">
        <v>57</v>
      </c>
      <c r="B87" s="151"/>
      <c r="C87" s="151"/>
      <c r="D87" s="151"/>
      <c r="E87" s="151"/>
      <c r="F87" s="152"/>
      <c r="G87" s="76">
        <v>30</v>
      </c>
      <c r="H87" s="76">
        <v>31</v>
      </c>
      <c r="I87" s="77">
        <v>29</v>
      </c>
      <c r="J87" s="77">
        <v>29</v>
      </c>
      <c r="K87" s="77">
        <v>27</v>
      </c>
      <c r="L87" s="77">
        <v>28</v>
      </c>
      <c r="M87" s="78">
        <f>SUM(G87:L87)</f>
        <v>174</v>
      </c>
      <c r="N87" s="79">
        <f>SUM(N5:N79)</f>
        <v>84</v>
      </c>
    </row>
    <row r="88" spans="1:14" ht="13.95" customHeight="1" x14ac:dyDescent="0.4">
      <c r="A88" s="136" t="s">
        <v>58</v>
      </c>
      <c r="B88" s="137"/>
      <c r="C88" s="137"/>
      <c r="D88" s="137"/>
      <c r="E88" s="137"/>
      <c r="F88" s="138"/>
      <c r="G88" s="74">
        <v>3</v>
      </c>
      <c r="H88" s="74">
        <v>3</v>
      </c>
      <c r="I88" s="54">
        <v>3</v>
      </c>
      <c r="J88" s="54">
        <v>3</v>
      </c>
      <c r="K88" s="54">
        <v>3</v>
      </c>
      <c r="L88" s="54">
        <v>3</v>
      </c>
      <c r="M88" s="55">
        <f>SUM(G88:L88)</f>
        <v>18</v>
      </c>
      <c r="N88" s="56"/>
    </row>
    <row r="89" spans="1:14" ht="14.4" thickBot="1" x14ac:dyDescent="0.45">
      <c r="A89" s="134" t="s">
        <v>59</v>
      </c>
      <c r="B89" s="135"/>
      <c r="C89" s="135"/>
      <c r="D89" s="135"/>
      <c r="E89" s="135"/>
      <c r="F89" s="135"/>
      <c r="G89" s="101">
        <f t="shared" ref="G89:M89" si="0">G87+G88</f>
        <v>33</v>
      </c>
      <c r="H89" s="101">
        <f t="shared" si="0"/>
        <v>34</v>
      </c>
      <c r="I89" s="101">
        <f t="shared" si="0"/>
        <v>32</v>
      </c>
      <c r="J89" s="101">
        <f t="shared" si="0"/>
        <v>32</v>
      </c>
      <c r="K89" s="101">
        <f t="shared" si="0"/>
        <v>30</v>
      </c>
      <c r="L89" s="101">
        <f t="shared" si="0"/>
        <v>31</v>
      </c>
      <c r="M89" s="47">
        <f t="shared" si="0"/>
        <v>192</v>
      </c>
      <c r="N89" s="48"/>
    </row>
    <row r="90" spans="1:14" ht="17.399999999999999" x14ac:dyDescent="0.4">
      <c r="A90" s="98" t="s">
        <v>111</v>
      </c>
    </row>
    <row r="91" spans="1:14" ht="17.399999999999999" x14ac:dyDescent="0.4">
      <c r="A91" s="98" t="s">
        <v>140</v>
      </c>
    </row>
    <row r="92" spans="1:14" ht="17.399999999999999" x14ac:dyDescent="0.4">
      <c r="A92" s="98" t="s">
        <v>141</v>
      </c>
    </row>
    <row r="93" spans="1:14" ht="17.399999999999999" x14ac:dyDescent="0.4">
      <c r="A93" s="98" t="s">
        <v>142</v>
      </c>
    </row>
    <row r="94" spans="1:14" ht="17.399999999999999" x14ac:dyDescent="0.4">
      <c r="A94" s="98" t="s">
        <v>143</v>
      </c>
    </row>
    <row r="95" spans="1:14" ht="17.399999999999999" x14ac:dyDescent="0.4">
      <c r="A95" t="s">
        <v>139</v>
      </c>
    </row>
    <row r="96" spans="1:14" ht="69.599999999999994" customHeight="1" x14ac:dyDescent="0.4">
      <c r="A96" s="125" t="s">
        <v>144</v>
      </c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</row>
  </sheetData>
  <mergeCells count="86">
    <mergeCell ref="M80:M86"/>
    <mergeCell ref="N80:N86"/>
    <mergeCell ref="G80:L86"/>
    <mergeCell ref="M76:M77"/>
    <mergeCell ref="N76:N79"/>
    <mergeCell ref="M78:M79"/>
    <mergeCell ref="N60:N62"/>
    <mergeCell ref="N63:N71"/>
    <mergeCell ref="B65:B66"/>
    <mergeCell ref="M72:M75"/>
    <mergeCell ref="N72:N75"/>
    <mergeCell ref="L73:L75"/>
    <mergeCell ref="K61:K62"/>
    <mergeCell ref="M63:M71"/>
    <mergeCell ref="M60:M62"/>
    <mergeCell ref="B74:B75"/>
    <mergeCell ref="C74:C75"/>
    <mergeCell ref="D74:D75"/>
    <mergeCell ref="E74:E75"/>
    <mergeCell ref="L64:L71"/>
    <mergeCell ref="A5:A36"/>
    <mergeCell ref="B33:B34"/>
    <mergeCell ref="N45:N52"/>
    <mergeCell ref="N21:N22"/>
    <mergeCell ref="M33:M34"/>
    <mergeCell ref="N33:N34"/>
    <mergeCell ref="M23:M26"/>
    <mergeCell ref="N23:N26"/>
    <mergeCell ref="M27:M32"/>
    <mergeCell ref="N27:N32"/>
    <mergeCell ref="G33:H33"/>
    <mergeCell ref="N15:N18"/>
    <mergeCell ref="M19:M20"/>
    <mergeCell ref="N19:N20"/>
    <mergeCell ref="M5:M9"/>
    <mergeCell ref="N5:N9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N10:N14"/>
    <mergeCell ref="B55:B56"/>
    <mergeCell ref="B57:B58"/>
    <mergeCell ref="B48:B49"/>
    <mergeCell ref="B40:B41"/>
    <mergeCell ref="M15:M18"/>
    <mergeCell ref="M21:M22"/>
    <mergeCell ref="G35:H35"/>
    <mergeCell ref="I38:I42"/>
    <mergeCell ref="M35:M36"/>
    <mergeCell ref="N35:N36"/>
    <mergeCell ref="N37:N44"/>
    <mergeCell ref="M53:M59"/>
    <mergeCell ref="N53:N59"/>
    <mergeCell ref="K54:K59"/>
    <mergeCell ref="M10:M14"/>
    <mergeCell ref="B5:B9"/>
    <mergeCell ref="B27:B32"/>
    <mergeCell ref="B23:B26"/>
    <mergeCell ref="B19:B22"/>
    <mergeCell ref="B15:B18"/>
    <mergeCell ref="B10:B14"/>
    <mergeCell ref="A96:N96"/>
    <mergeCell ref="J46:J50"/>
    <mergeCell ref="M43:M44"/>
    <mergeCell ref="M37:M42"/>
    <mergeCell ref="M51:M52"/>
    <mergeCell ref="M45:M50"/>
    <mergeCell ref="A89:F89"/>
    <mergeCell ref="A88:F88"/>
    <mergeCell ref="B63:B64"/>
    <mergeCell ref="B67:B68"/>
    <mergeCell ref="B69:B70"/>
    <mergeCell ref="B82:B83"/>
    <mergeCell ref="B84:B85"/>
    <mergeCell ref="B76:B79"/>
    <mergeCell ref="A37:A86"/>
    <mergeCell ref="A87:F8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8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2025학년도 신입생 3개년 편제표(안)</vt:lpstr>
      <vt:lpstr>'2025학년도 신입생 3개년 편제표(안)'!Print_Area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2026-07-07T06:11:04Z</cp:lastPrinted>
  <dcterms:created xsi:type="dcterms:W3CDTF">2024-05-27T01:02:39Z</dcterms:created>
  <dcterms:modified xsi:type="dcterms:W3CDTF">2026-07-16T00:14:48Z</dcterms:modified>
</cp:coreProperties>
</file>