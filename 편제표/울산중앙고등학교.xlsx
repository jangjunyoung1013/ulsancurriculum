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2026 교육과정\편제표 교육청 보고0922\"/>
    </mc:Choice>
  </mc:AlternateContent>
  <xr:revisionPtr revIDLastSave="0" documentId="13_ncr:1_{BF31E155-6696-494D-A041-99F4EF82DBF0}" xr6:coauthVersionLast="36" xr6:coauthVersionMax="36" xr10:uidLastSave="{00000000-0000-0000-0000-000000000000}"/>
  <bookViews>
    <workbookView xWindow="0" yWindow="0" windowWidth="23040" windowHeight="9648" activeTab="1" xr2:uid="{00000000-000D-0000-FFFF-FFFF00000000}"/>
  </bookViews>
  <sheets>
    <sheet name="2026학년도 신입생 3개년" sheetId="19" r:id="rId1"/>
    <sheet name="2026학년도 전학년" sheetId="20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8" i="20" l="1"/>
  <c r="L67" i="20"/>
  <c r="L69" i="20" s="1"/>
  <c r="K67" i="20"/>
  <c r="K69" i="20" s="1"/>
  <c r="J67" i="20"/>
  <c r="J69" i="20" s="1"/>
  <c r="I67" i="20"/>
  <c r="I69" i="20" s="1"/>
  <c r="H67" i="20"/>
  <c r="H69" i="20" s="1"/>
  <c r="G67" i="20"/>
  <c r="G69" i="20" s="1"/>
  <c r="M67" i="20" l="1"/>
  <c r="M69" i="20" s="1"/>
  <c r="M69" i="19"/>
  <c r="L68" i="19"/>
  <c r="L70" i="19" s="1"/>
  <c r="K68" i="19"/>
  <c r="K70" i="19" s="1"/>
  <c r="J68" i="19"/>
  <c r="J70" i="19" s="1"/>
  <c r="I68" i="19"/>
  <c r="I70" i="19" s="1"/>
  <c r="H68" i="19"/>
  <c r="H70" i="19" s="1"/>
  <c r="G68" i="19"/>
  <c r="M68" i="19" l="1"/>
  <c r="M70" i="19" s="1"/>
  <c r="G70" i="19"/>
</calcChain>
</file>

<file path=xl/sharedStrings.xml><?xml version="1.0" encoding="utf-8"?>
<sst xmlns="http://schemas.openxmlformats.org/spreadsheetml/2006/main" count="402" uniqueCount="158">
  <si>
    <t>구분</t>
    <phoneticPr fontId="2" type="noConversion"/>
  </si>
  <si>
    <t>교과
(군)</t>
    <phoneticPr fontId="2" type="noConversion"/>
  </si>
  <si>
    <t>세부과목</t>
  </si>
  <si>
    <t>1학년</t>
    <phoneticPr fontId="2" type="noConversion"/>
  </si>
  <si>
    <t>2학년</t>
  </si>
  <si>
    <t>1학기</t>
  </si>
  <si>
    <t>2학기</t>
  </si>
  <si>
    <t>학
교
지
정
교
육
과
정</t>
    <phoneticPr fontId="2" type="noConversion"/>
  </si>
  <si>
    <t>국어</t>
    <phoneticPr fontId="2" type="noConversion"/>
  </si>
  <si>
    <t>일반</t>
    <phoneticPr fontId="2" type="noConversion"/>
  </si>
  <si>
    <t>수학</t>
    <phoneticPr fontId="2" type="noConversion"/>
  </si>
  <si>
    <t>영어</t>
    <phoneticPr fontId="2" type="noConversion"/>
  </si>
  <si>
    <t>과학</t>
    <phoneticPr fontId="2" type="noConversion"/>
  </si>
  <si>
    <t>체육</t>
    <phoneticPr fontId="2" type="noConversion"/>
  </si>
  <si>
    <t>진로</t>
    <phoneticPr fontId="2" type="noConversion"/>
  </si>
  <si>
    <t>예술</t>
    <phoneticPr fontId="2" type="noConversion"/>
  </si>
  <si>
    <t>음악</t>
    <phoneticPr fontId="2" type="noConversion"/>
  </si>
  <si>
    <t>미술</t>
    <phoneticPr fontId="2" type="noConversion"/>
  </si>
  <si>
    <t>교양</t>
    <phoneticPr fontId="2" type="noConversion"/>
  </si>
  <si>
    <t xml:space="preserve">학
생
선
택
교
육
과
정  </t>
    <phoneticPr fontId="2" type="noConversion"/>
  </si>
  <si>
    <t>사회</t>
    <phoneticPr fontId="2" type="noConversion"/>
  </si>
  <si>
    <t>택1</t>
    <phoneticPr fontId="2" type="noConversion"/>
  </si>
  <si>
    <t>제2외국어</t>
    <phoneticPr fontId="2" type="noConversion"/>
  </si>
  <si>
    <t>진로</t>
  </si>
  <si>
    <t>창의적 체험활동</t>
  </si>
  <si>
    <t>일반</t>
  </si>
  <si>
    <t>기준
학점</t>
    <phoneticPr fontId="2" type="noConversion"/>
  </si>
  <si>
    <t>이수 
학점</t>
    <phoneticPr fontId="2" type="noConversion"/>
  </si>
  <si>
    <t>이수학점 소계</t>
    <phoneticPr fontId="2" type="noConversion"/>
  </si>
  <si>
    <t>학기별 총 이수 학점</t>
    <phoneticPr fontId="2" type="noConversion"/>
  </si>
  <si>
    <t>울산중앙고등학교</t>
    <phoneticPr fontId="2" type="noConversion"/>
  </si>
  <si>
    <t>정보</t>
    <phoneticPr fontId="2" type="noConversion"/>
  </si>
  <si>
    <t>문학</t>
    <phoneticPr fontId="2" type="noConversion"/>
  </si>
  <si>
    <t>영어Ⅰ</t>
    <phoneticPr fontId="2" type="noConversion"/>
  </si>
  <si>
    <t>영어Ⅱ</t>
    <phoneticPr fontId="2" type="noConversion"/>
  </si>
  <si>
    <t>기하</t>
    <phoneticPr fontId="2" type="noConversion"/>
  </si>
  <si>
    <t>택2</t>
    <phoneticPr fontId="2" type="noConversion"/>
  </si>
  <si>
    <t>운영
학점</t>
    <phoneticPr fontId="2" type="noConversion"/>
  </si>
  <si>
    <t>공통</t>
  </si>
  <si>
    <t>공통국어 1</t>
  </si>
  <si>
    <t>공통국어 2</t>
  </si>
  <si>
    <t>공통수학1</t>
  </si>
  <si>
    <t>공통영어1</t>
  </si>
  <si>
    <t>공통영어2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</si>
  <si>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</si>
  <si>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</si>
  <si>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</si>
  <si>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</si>
  <si>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</si>
  <si>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</si>
  <si>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</si>
  <si>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</si>
  <si>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</si>
  <si>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</si>
  <si>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교차집중(↔)</t>
  </si>
  <si>
    <t>3학년</t>
    <phoneticPr fontId="2" type="noConversion"/>
  </si>
  <si>
    <t>필수
학점</t>
    <phoneticPr fontId="2" type="noConversion"/>
  </si>
  <si>
    <t>공통수학2</t>
  </si>
  <si>
    <t>융합</t>
    <phoneticPr fontId="2" type="noConversion"/>
  </si>
  <si>
    <t>스포츠 생활1</t>
    <phoneticPr fontId="2" type="noConversion"/>
  </si>
  <si>
    <t>스포츠 생활2</t>
    <phoneticPr fontId="2" type="noConversion"/>
  </si>
  <si>
    <t>스포츠 문화</t>
    <phoneticPr fontId="2" type="noConversion"/>
  </si>
  <si>
    <t>스포츠 과학</t>
    <phoneticPr fontId="2" type="noConversion"/>
  </si>
  <si>
    <t>택6</t>
    <phoneticPr fontId="2" type="noConversion"/>
  </si>
  <si>
    <t>세계사, 사회와 문화</t>
    <phoneticPr fontId="2" type="noConversion"/>
  </si>
  <si>
    <t>윤리와 사상, 도시의 미래 탐구</t>
    <phoneticPr fontId="2" type="noConversion"/>
  </si>
  <si>
    <t>음악 연주와 창작, 미술 창작</t>
    <phoneticPr fontId="2" type="noConversion"/>
  </si>
  <si>
    <t>일본어, 중국어</t>
    <phoneticPr fontId="2" type="noConversion"/>
  </si>
  <si>
    <t>독서와 작문</t>
    <phoneticPr fontId="2" type="noConversion"/>
  </si>
  <si>
    <t>미적분Ⅰ</t>
    <phoneticPr fontId="2" type="noConversion"/>
  </si>
  <si>
    <t>현대사회와 윤리, 세계시민과 지리</t>
    <phoneticPr fontId="2" type="noConversion"/>
  </si>
  <si>
    <t>동아시아 역사 기행, 법과 사회</t>
    <phoneticPr fontId="2" type="noConversion"/>
  </si>
  <si>
    <t>역학과 에너지, 물질과 에너지, 
세포와 물질대사, 지구시스템과학</t>
    <phoneticPr fontId="2" type="noConversion"/>
  </si>
  <si>
    <t>화법과 언어</t>
    <phoneticPr fontId="2" type="noConversion"/>
  </si>
  <si>
    <t>영어 독해와 작문</t>
    <phoneticPr fontId="2" type="noConversion"/>
  </si>
  <si>
    <t>전자기와 양자, 화학 반응의 세계, 
생물의 유전, 행성우주과학</t>
    <phoneticPr fontId="2" type="noConversion"/>
  </si>
  <si>
    <t>예술</t>
  </si>
  <si>
    <t>융합</t>
  </si>
  <si>
    <t>음악과 미디어, 미술과 매체</t>
  </si>
  <si>
    <t>생태와 환경</t>
    <phoneticPr fontId="2" type="noConversion"/>
  </si>
  <si>
    <t>인간과 철학</t>
    <phoneticPr fontId="2" type="noConversion"/>
  </si>
  <si>
    <t>문학과 영상</t>
    <phoneticPr fontId="2" type="noConversion"/>
  </si>
  <si>
    <t>언어생활 탐구</t>
    <phoneticPr fontId="2" type="noConversion"/>
  </si>
  <si>
    <t>3
3
3
3
3
3</t>
    <phoneticPr fontId="2" type="noConversion"/>
  </si>
  <si>
    <t>여행지리, 윤리문제 탐구</t>
    <phoneticPr fontId="2" type="noConversion"/>
  </si>
  <si>
    <t>과학의 역사와 문화, 기후변화와 환경생태</t>
  </si>
  <si>
    <t>논리와 사고, 인간과 심리, 교육의 이해</t>
    <phoneticPr fontId="2" type="noConversion"/>
  </si>
  <si>
    <t>인간과 경제활동, 논술</t>
    <phoneticPr fontId="2" type="noConversion"/>
  </si>
  <si>
    <t>2
2</t>
    <phoneticPr fontId="2" type="noConversion"/>
  </si>
  <si>
    <t xml:space="preserve">◦특목고 과목을 선택과목으로 가져올 때 * 표기   ◦고시외과목은 ☆ 표기               ◦교차집중과목: 교차집중(↔)
◦전문교과를 진로선택과목으로 가져올 때 ★ 표기     ◦ 교과특성화학교 관련 과목은 ■ 표기  </t>
    <phoneticPr fontId="2" type="noConversion"/>
  </si>
  <si>
    <t>◦2학년: 예술, 제2외국어 각 택1 필수   ◦3학년: 예술, 교양 각 택1 필수
◦국어, 수학, 영어 교과의 이수 학점 총합은 81학점을 초과하지 않도록 하며, 교과 이수 학점이 174학점을 초과하는 경우에는 초과 이수 학점의 50%를 넘지 않도록 한다.</t>
    <phoneticPr fontId="2" type="noConversion"/>
  </si>
  <si>
    <t>물리학, 화학, 생명과학, 지구과학</t>
    <phoneticPr fontId="2" type="noConversion"/>
  </si>
  <si>
    <t>택5</t>
    <phoneticPr fontId="2" type="noConversion"/>
  </si>
  <si>
    <t>진로·학업설계☆</t>
  </si>
  <si>
    <t>진로·직업탐구☆</t>
  </si>
  <si>
    <t>확률과 통계</t>
    <phoneticPr fontId="2" type="noConversion"/>
  </si>
  <si>
    <t xml:space="preserve">고급 물리학*, 고급 생명과학*, </t>
    <phoneticPr fontId="2" type="noConversion"/>
  </si>
  <si>
    <t>화학 실험*, 생명과학 실험*</t>
    <phoneticPr fontId="2" type="noConversion"/>
  </si>
  <si>
    <t>사회문제 탐구, 기후변화와 지속가능한 세계, 
역사로 탐구하는 현대 세계, 금융과 경제생활</t>
    <phoneticPr fontId="2" type="noConversion"/>
  </si>
  <si>
    <t>한국지리 탐구</t>
    <phoneticPr fontId="2" type="noConversion"/>
  </si>
  <si>
    <t>미적분Ⅱ, 인공지능수학, 경제수학</t>
    <phoneticPr fontId="2" type="noConversion"/>
  </si>
  <si>
    <t>소인수 교육과정 / 공동 교육과정
(무학년)</t>
    <phoneticPr fontId="2" type="noConversion"/>
  </si>
  <si>
    <t>수학과제 탐구</t>
    <phoneticPr fontId="2" type="noConversion"/>
  </si>
  <si>
    <t>진로</t>
    <phoneticPr fontId="2" type="noConversion"/>
  </si>
  <si>
    <t>스포츠 생활</t>
    <phoneticPr fontId="2" type="noConversion"/>
  </si>
  <si>
    <t>음악감상과 비평</t>
    <phoneticPr fontId="2" type="noConversion"/>
  </si>
  <si>
    <t>교차집중(↔)</t>
    <phoneticPr fontId="2" type="noConversion"/>
  </si>
  <si>
    <t>미술감상과 비평</t>
    <phoneticPr fontId="2" type="noConversion"/>
  </si>
  <si>
    <t>환경</t>
    <phoneticPr fontId="2" type="noConversion"/>
  </si>
  <si>
    <t>대수, 확률과 통계</t>
    <phoneticPr fontId="2" type="noConversion"/>
  </si>
  <si>
    <t>4
4
4
4
4
4</t>
    <phoneticPr fontId="2" type="noConversion"/>
  </si>
  <si>
    <t>화법과 작문, 독서</t>
  </si>
  <si>
    <t>택4</t>
    <phoneticPr fontId="2" type="noConversion"/>
  </si>
  <si>
    <t>현대문학감상*</t>
  </si>
  <si>
    <t>3
3
3
3</t>
    <phoneticPr fontId="2" type="noConversion"/>
  </si>
  <si>
    <t>수학적사고와 통계★, 기하, 심화수학Ⅰ*</t>
  </si>
  <si>
    <t>영어Ⅱ</t>
  </si>
  <si>
    <t>진로영어</t>
  </si>
  <si>
    <t>생활과윤리, 사회문화, 한국지리, 동아시아사</t>
  </si>
  <si>
    <t>택3</t>
    <phoneticPr fontId="2" type="noConversion"/>
  </si>
  <si>
    <t>여행지리, 사회탐구방법*, 현대세계의 변화*, 
세계문제와 미래사회*</t>
  </si>
  <si>
    <t>3
3
3</t>
    <phoneticPr fontId="2" type="noConversion"/>
  </si>
  <si>
    <t>물리학Ⅱ, 화학Ⅱ, 생명과학Ⅱ, 지구과학Ⅱ, 
과학사, 생활과 과학</t>
  </si>
  <si>
    <t>교육학</t>
  </si>
  <si>
    <t>문학적감성과 상상력★, 시사영어★, 
생활속의 수학적사고★, 민주시민★, 과학교양★</t>
    <phoneticPr fontId="2" type="noConversion"/>
  </si>
  <si>
    <t>일본문화*, 중국어Ⅱ</t>
    <phoneticPr fontId="2" type="noConversion"/>
  </si>
  <si>
    <t>기술·가정</t>
  </si>
  <si>
    <t>인공지능기초, 정보과제연구★</t>
    <phoneticPr fontId="2" type="noConversion"/>
  </si>
  <si>
    <t>수학</t>
  </si>
  <si>
    <t>인공지능수학</t>
  </si>
  <si>
    <r>
      <rPr>
        <b/>
        <u/>
        <sz val="10"/>
        <color rgb="FF0070C0"/>
        <rFont val="나눔고딕"/>
        <family val="3"/>
        <charset val="129"/>
      </rPr>
      <t>2015 개정 교육과정(26학년도 3학년)</t>
    </r>
    <r>
      <rPr>
        <sz val="10"/>
        <color rgb="FF000000"/>
        <rFont val="나눔고딕"/>
        <family val="3"/>
        <charset val="129"/>
      </rPr>
      <t xml:space="preserve">
소인수 교육과정 / 공동 교육과정
(무학년)</t>
    </r>
    <phoneticPr fontId="2" type="noConversion"/>
  </si>
  <si>
    <t>사회</t>
  </si>
  <si>
    <t>사회문제탐구, 국제경제*, 국제 관계와 국제기구*</t>
  </si>
  <si>
    <t>과학</t>
  </si>
  <si>
    <t>융합과학탐구*, 물리학실험*, 화학실험*, 
생명과학실험*, 고급물리학*, 고급화학*, 고급생명과학*</t>
    <phoneticPr fontId="2" type="noConversion"/>
  </si>
  <si>
    <t>영상 제작의 이해*</t>
  </si>
  <si>
    <t>빅데이터 분석*</t>
  </si>
  <si>
    <t>심리학, 실용경제</t>
    <phoneticPr fontId="2" type="noConversion"/>
  </si>
  <si>
    <t>일반</t>
    <phoneticPr fontId="2" type="noConversion"/>
  </si>
  <si>
    <t>대수</t>
    <phoneticPr fontId="2" type="noConversion"/>
  </si>
  <si>
    <t>미적분Ⅰ</t>
    <phoneticPr fontId="2" type="noConversion"/>
  </si>
  <si>
    <t>영어Ⅰ</t>
    <phoneticPr fontId="2" type="noConversion"/>
  </si>
  <si>
    <t>현대사회와 윤리, 세계시민과 지리</t>
  </si>
  <si>
    <t>동아시아 역사 기행, 법과 사회</t>
  </si>
  <si>
    <t>역학과 에너지, 물질과 에너지, 
세포와 물질대사, 지구시스템과학</t>
  </si>
  <si>
    <t>기하</t>
  </si>
  <si>
    <t>4
4
4</t>
    <phoneticPr fontId="2" type="noConversion"/>
  </si>
  <si>
    <t>사회</t>
    <phoneticPr fontId="2" type="noConversion"/>
  </si>
  <si>
    <t>과학</t>
    <phoneticPr fontId="2" type="noConversion"/>
  </si>
  <si>
    <t>4
4</t>
    <phoneticPr fontId="2" type="noConversion"/>
  </si>
  <si>
    <t>통합수학Ⅰ</t>
    <phoneticPr fontId="2" type="noConversion"/>
  </si>
  <si>
    <t>영미 문학 읽기, 심화 영어</t>
    <phoneticPr fontId="2" type="noConversion"/>
  </si>
  <si>
    <t>독서 토론과 글쓰기</t>
  </si>
  <si>
    <t>4
4
4
4
4</t>
    <phoneticPr fontId="2" type="noConversion"/>
  </si>
  <si>
    <r>
      <t>관광 일본어★, 관광 중국어★,</t>
    </r>
    <r>
      <rPr>
        <i/>
        <sz val="9"/>
        <rFont val="나눔고딕"/>
        <family val="3"/>
        <charset val="129"/>
      </rPr>
      <t xml:space="preserve"> 
</t>
    </r>
    <r>
      <rPr>
        <i/>
        <sz val="10"/>
        <rFont val="나눔고딕"/>
        <family val="3"/>
        <charset val="129"/>
      </rPr>
      <t>인공지능과 함께하는 세상☆</t>
    </r>
    <phoneticPr fontId="2" type="noConversion"/>
  </si>
  <si>
    <r>
      <rPr>
        <b/>
        <u/>
        <sz val="9"/>
        <color rgb="FF0070C0"/>
        <rFont val="나눔고딕"/>
        <family val="3"/>
        <charset val="129"/>
      </rPr>
      <t>2022 개정 교육과정(26학년도 1,2학년</t>
    </r>
    <r>
      <rPr>
        <sz val="9"/>
        <color rgb="FF000000"/>
        <rFont val="나눔고딕"/>
        <family val="3"/>
        <charset val="129"/>
      </rPr>
      <t>)</t>
    </r>
    <r>
      <rPr>
        <sz val="10"/>
        <color rgb="FF000000"/>
        <rFont val="나눔고딕"/>
        <family val="3"/>
        <charset val="129"/>
      </rPr>
      <t xml:space="preserve">
소인수 교육과정 / 공동 교육과정
(무학년)</t>
    </r>
    <phoneticPr fontId="2" type="noConversion"/>
  </si>
  <si>
    <t>2026학년도 신입생 3개년 교육과정 편제표</t>
    <phoneticPr fontId="2" type="noConversion"/>
  </si>
  <si>
    <t>2026학년도 전학년 교육과정 편제표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</si>
</sst>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8" x14ac:knownFonts="1"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나눔고딕"/>
      <family val="3"/>
      <charset val="129"/>
    </font>
    <font>
      <sz val="10"/>
      <color rgb="FF000000"/>
      <name val="나눔고딕"/>
      <family val="3"/>
      <charset val="129"/>
    </font>
    <font>
      <sz val="10"/>
      <name val="나눔고딕"/>
      <family val="3"/>
      <charset val="129"/>
    </font>
    <font>
      <i/>
      <sz val="10"/>
      <name val="나눔고딕"/>
      <family val="3"/>
      <charset val="129"/>
    </font>
    <font>
      <b/>
      <sz val="10"/>
      <color theme="1"/>
      <name val="나눔고딕"/>
      <family val="3"/>
      <charset val="129"/>
    </font>
    <font>
      <i/>
      <sz val="10"/>
      <color rgb="FF000000"/>
      <name val="나눔고딕"/>
      <family val="3"/>
      <charset val="129"/>
    </font>
    <font>
      <i/>
      <sz val="10"/>
      <color theme="1"/>
      <name val="나눔고딕"/>
      <family val="3"/>
      <charset val="129"/>
    </font>
    <font>
      <b/>
      <sz val="10"/>
      <color rgb="FFFF0000"/>
      <name val="나눔고딕"/>
      <family val="3"/>
      <charset val="129"/>
    </font>
    <font>
      <b/>
      <sz val="10"/>
      <name val="나눔고딕"/>
      <family val="3"/>
      <charset val="129"/>
    </font>
    <font>
      <b/>
      <u/>
      <sz val="10"/>
      <color rgb="FF0070C0"/>
      <name val="나눔고딕"/>
      <family val="3"/>
      <charset val="129"/>
    </font>
    <font>
      <i/>
      <sz val="9"/>
      <name val="나눔고딕"/>
      <family val="3"/>
      <charset val="129"/>
    </font>
    <font>
      <b/>
      <u/>
      <sz val="9"/>
      <color rgb="FF0070C0"/>
      <name val="나눔고딕"/>
      <family val="3"/>
      <charset val="129"/>
    </font>
    <font>
      <sz val="9"/>
      <color rgb="FF000000"/>
      <name val="나눔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03">
    <border>
      <left/>
      <right/>
      <top/>
      <bottom/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/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thin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/>
      <bottom style="thin">
        <color theme="1"/>
      </bottom>
      <diagonal/>
    </border>
    <border>
      <left/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theme="1"/>
      </left>
      <right style="medium">
        <color theme="1"/>
      </right>
      <top style="thin">
        <color theme="1"/>
      </top>
      <bottom/>
      <diagonal/>
    </border>
    <border>
      <left/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 style="thin">
        <color theme="1"/>
      </right>
      <top/>
      <bottom/>
      <diagonal/>
    </border>
    <border>
      <left/>
      <right style="medium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medium">
        <color theme="1"/>
      </left>
      <right style="medium">
        <color theme="1"/>
      </right>
      <top style="thick">
        <color rgb="FFFF0000"/>
      </top>
      <bottom/>
      <diagonal/>
    </border>
    <border>
      <left style="medium">
        <color theme="1"/>
      </left>
      <right style="thin">
        <color theme="1"/>
      </right>
      <top style="thick">
        <color rgb="FFFF000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ck">
        <color rgb="FFFF0000"/>
      </top>
      <bottom style="thin">
        <color theme="1"/>
      </bottom>
      <diagonal/>
    </border>
    <border>
      <left style="thin">
        <color theme="1"/>
      </left>
      <right/>
      <top style="thick">
        <color rgb="FFFF0000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ck">
        <color rgb="FFFF0000"/>
      </top>
      <bottom style="thin">
        <color theme="1"/>
      </bottom>
      <diagonal/>
    </border>
    <border>
      <left/>
      <right/>
      <top style="thick">
        <color rgb="FFFF0000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ck">
        <color rgb="FFFF0000"/>
      </top>
      <bottom style="thin">
        <color theme="1"/>
      </bottom>
      <diagonal/>
    </border>
    <border>
      <left style="medium">
        <color theme="1"/>
      </left>
      <right/>
      <top style="thick">
        <color rgb="FFFF0000"/>
      </top>
      <bottom style="thin">
        <color theme="1"/>
      </bottom>
      <diagonal/>
    </border>
    <border>
      <left style="thin">
        <color auto="1"/>
      </left>
      <right style="medium">
        <color theme="1"/>
      </right>
      <top style="thick">
        <color rgb="FFFF0000"/>
      </top>
      <bottom style="thin">
        <color theme="1"/>
      </bottom>
      <diagonal/>
    </border>
    <border>
      <left/>
      <right style="thin">
        <color theme="1"/>
      </right>
      <top style="thick">
        <color rgb="FFFF0000"/>
      </top>
      <bottom style="thin">
        <color theme="1"/>
      </bottom>
      <diagonal/>
    </border>
    <border>
      <left/>
      <right style="medium">
        <color theme="1"/>
      </right>
      <top style="thick">
        <color rgb="FFFF0000"/>
      </top>
      <bottom style="thin">
        <color theme="1"/>
      </bottom>
      <diagonal/>
    </border>
    <border>
      <left style="medium">
        <color theme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thin">
        <color auto="1"/>
      </right>
      <top/>
      <bottom/>
      <diagonal/>
    </border>
    <border>
      <left style="medium">
        <color theme="1"/>
      </left>
      <right style="thin">
        <color auto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/>
      <diagonal/>
    </border>
    <border>
      <left style="medium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 style="medium">
        <color theme="1"/>
      </right>
      <top style="thin">
        <color theme="1"/>
      </top>
      <bottom/>
      <diagonal/>
    </border>
    <border>
      <left style="thin">
        <color auto="1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/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/>
      <top/>
      <bottom style="thin">
        <color theme="1"/>
      </bottom>
      <diagonal/>
    </border>
    <border>
      <left style="thin">
        <color auto="1"/>
      </left>
      <right style="medium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 style="medium">
        <color theme="1"/>
      </left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 style="medium">
        <color theme="1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theme="1"/>
      </bottom>
      <diagonal/>
    </border>
    <border>
      <left/>
      <right style="medium">
        <color theme="1"/>
      </right>
      <top style="thin">
        <color theme="1"/>
      </top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thick">
        <color rgb="FFFF0000"/>
      </bottom>
      <diagonal/>
    </border>
    <border>
      <left style="thin">
        <color theme="1"/>
      </left>
      <right/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1"/>
      </top>
      <bottom style="thick">
        <color rgb="FFFF0000"/>
      </bottom>
      <diagonal/>
    </border>
    <border>
      <left style="thin">
        <color theme="1"/>
      </left>
      <right style="thin">
        <color theme="1"/>
      </right>
      <top/>
      <bottom style="thick">
        <color rgb="FFFF0000"/>
      </bottom>
      <diagonal/>
    </border>
    <border>
      <left style="thin">
        <color theme="1"/>
      </left>
      <right/>
      <top/>
      <bottom style="thick">
        <color rgb="FFFF0000"/>
      </bottom>
      <diagonal/>
    </border>
    <border>
      <left style="medium">
        <color theme="1"/>
      </left>
      <right style="medium">
        <color theme="1"/>
      </right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 style="thin">
        <color theme="1"/>
      </left>
      <right style="medium">
        <color theme="1"/>
      </right>
      <top/>
      <bottom style="thick">
        <color rgb="FFFF0000"/>
      </bottom>
      <diagonal/>
    </border>
    <border>
      <left style="thin">
        <color theme="1"/>
      </left>
      <right style="medium">
        <color theme="1"/>
      </right>
      <top style="thin">
        <color theme="1"/>
      </top>
      <bottom style="thick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ck">
        <color rgb="FFFF0000"/>
      </bottom>
      <diagonal/>
    </border>
    <border>
      <left/>
      <right style="medium">
        <color theme="1"/>
      </right>
      <top/>
      <bottom style="thick">
        <color rgb="FFFF0000"/>
      </bottom>
      <diagonal/>
    </border>
    <border>
      <left style="medium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medium">
        <color theme="1"/>
      </bottom>
      <diagonal/>
    </border>
    <border>
      <left style="thin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>
      <alignment vertical="center"/>
    </xf>
  </cellStyleXfs>
  <cellXfs count="279">
    <xf numFmtId="0" fontId="0" fillId="0" borderId="0" xfId="0">
      <alignment vertical="center"/>
    </xf>
    <xf numFmtId="0" fontId="3" fillId="0" borderId="0" xfId="0" applyFont="1">
      <alignment vertical="center"/>
    </xf>
    <xf numFmtId="176" fontId="4" fillId="6" borderId="7" xfId="0" applyNumberFormat="1" applyFont="1" applyFill="1" applyBorder="1" applyAlignment="1">
      <alignment horizontal="center" vertical="center" shrinkToFit="1"/>
    </xf>
    <xf numFmtId="176" fontId="10" fillId="2" borderId="11" xfId="0" applyNumberFormat="1" applyFont="1" applyFill="1" applyBorder="1" applyAlignment="1">
      <alignment horizontal="left" vertical="center" wrapText="1"/>
    </xf>
    <xf numFmtId="176" fontId="6" fillId="2" borderId="12" xfId="0" applyNumberFormat="1" applyFont="1" applyFill="1" applyBorder="1" applyAlignment="1">
      <alignment horizontal="center" vertical="center" wrapText="1"/>
    </xf>
    <xf numFmtId="176" fontId="6" fillId="2" borderId="13" xfId="0" applyNumberFormat="1" applyFont="1" applyFill="1" applyBorder="1" applyAlignment="1">
      <alignment horizontal="center" vertical="center" wrapText="1"/>
    </xf>
    <xf numFmtId="176" fontId="6" fillId="2" borderId="15" xfId="0" applyNumberFormat="1" applyFont="1" applyFill="1" applyBorder="1" applyAlignment="1">
      <alignment horizontal="center" vertical="center" wrapText="1"/>
    </xf>
    <xf numFmtId="176" fontId="6" fillId="2" borderId="16" xfId="0" applyNumberFormat="1" applyFont="1" applyFill="1" applyBorder="1" applyAlignment="1">
      <alignment horizontal="center" vertical="center" wrapText="1"/>
    </xf>
    <xf numFmtId="176" fontId="10" fillId="2" borderId="20" xfId="0" applyNumberFormat="1" applyFont="1" applyFill="1" applyBorder="1" applyAlignment="1">
      <alignment horizontal="left" vertical="center" wrapText="1"/>
    </xf>
    <xf numFmtId="176" fontId="6" fillId="2" borderId="21" xfId="0" applyNumberFormat="1" applyFont="1" applyFill="1" applyBorder="1" applyAlignment="1">
      <alignment horizontal="center" vertical="center" wrapText="1"/>
    </xf>
    <xf numFmtId="176" fontId="6" fillId="2" borderId="22" xfId="0" applyNumberFormat="1" applyFont="1" applyFill="1" applyBorder="1" applyAlignment="1">
      <alignment horizontal="center" vertical="center" wrapText="1"/>
    </xf>
    <xf numFmtId="176" fontId="6" fillId="2" borderId="4" xfId="0" applyNumberFormat="1" applyFont="1" applyFill="1" applyBorder="1" applyAlignment="1">
      <alignment horizontal="center" vertical="center" wrapText="1"/>
    </xf>
    <xf numFmtId="176" fontId="6" fillId="2" borderId="23" xfId="0" applyNumberFormat="1" applyFont="1" applyFill="1" applyBorder="1" applyAlignment="1">
      <alignment horizontal="center" vertical="center" wrapText="1"/>
    </xf>
    <xf numFmtId="176" fontId="6" fillId="0" borderId="3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horizontal="center" vertical="center" wrapText="1"/>
    </xf>
    <xf numFmtId="176" fontId="6" fillId="0" borderId="23" xfId="0" applyNumberFormat="1" applyFont="1" applyFill="1" applyBorder="1" applyAlignment="1">
      <alignment horizontal="center" vertical="center" wrapText="1"/>
    </xf>
    <xf numFmtId="176" fontId="6" fillId="0" borderId="20" xfId="0" applyNumberFormat="1" applyFont="1" applyFill="1" applyBorder="1" applyAlignment="1">
      <alignment horizontal="center" vertical="center" wrapText="1"/>
    </xf>
    <xf numFmtId="176" fontId="7" fillId="3" borderId="3" xfId="0" applyNumberFormat="1" applyFont="1" applyFill="1" applyBorder="1" applyAlignment="1">
      <alignment horizontal="center" vertical="center" wrapText="1"/>
    </xf>
    <xf numFmtId="176" fontId="10" fillId="2" borderId="32" xfId="0" applyNumberFormat="1" applyFont="1" applyFill="1" applyBorder="1" applyAlignment="1">
      <alignment horizontal="left" vertical="center" wrapText="1"/>
    </xf>
    <xf numFmtId="176" fontId="6" fillId="2" borderId="33" xfId="0" applyNumberFormat="1" applyFont="1" applyFill="1" applyBorder="1" applyAlignment="1">
      <alignment horizontal="center" vertical="center" wrapText="1"/>
    </xf>
    <xf numFmtId="176" fontId="6" fillId="0" borderId="34" xfId="0" applyNumberFormat="1" applyFont="1" applyFill="1" applyBorder="1" applyAlignment="1">
      <alignment horizontal="center" vertical="center" wrapText="1"/>
    </xf>
    <xf numFmtId="176" fontId="6" fillId="0" borderId="32" xfId="0" applyNumberFormat="1" applyFont="1" applyFill="1" applyBorder="1" applyAlignment="1">
      <alignment horizontal="center" vertical="center" wrapText="1"/>
    </xf>
    <xf numFmtId="176" fontId="6" fillId="2" borderId="36" xfId="0" applyNumberFormat="1" applyFont="1" applyFill="1" applyBorder="1" applyAlignment="1">
      <alignment horizontal="center" vertical="center" wrapText="1"/>
    </xf>
    <xf numFmtId="176" fontId="6" fillId="2" borderId="37" xfId="0" applyNumberFormat="1" applyFont="1" applyFill="1" applyBorder="1" applyAlignment="1">
      <alignment horizontal="center" vertical="center" wrapText="1"/>
    </xf>
    <xf numFmtId="176" fontId="10" fillId="2" borderId="38" xfId="0" applyNumberFormat="1" applyFont="1" applyFill="1" applyBorder="1" applyAlignment="1">
      <alignment horizontal="left" vertical="center" wrapText="1"/>
    </xf>
    <xf numFmtId="176" fontId="6" fillId="2" borderId="39" xfId="0" applyNumberFormat="1" applyFont="1" applyFill="1" applyBorder="1" applyAlignment="1">
      <alignment horizontal="center" vertical="center" wrapText="1"/>
    </xf>
    <xf numFmtId="176" fontId="6" fillId="2" borderId="40" xfId="0" applyNumberFormat="1" applyFont="1" applyFill="1" applyBorder="1" applyAlignment="1">
      <alignment horizontal="center" vertical="center" wrapText="1"/>
    </xf>
    <xf numFmtId="176" fontId="6" fillId="0" borderId="36" xfId="0" applyNumberFormat="1" applyFont="1" applyFill="1" applyBorder="1" applyAlignment="1">
      <alignment horizontal="center" vertical="center" wrapText="1"/>
    </xf>
    <xf numFmtId="176" fontId="6" fillId="0" borderId="41" xfId="0" applyNumberFormat="1" applyFont="1" applyFill="1" applyBorder="1" applyAlignment="1">
      <alignment horizontal="center" vertical="center" wrapText="1"/>
    </xf>
    <xf numFmtId="176" fontId="6" fillId="0" borderId="42" xfId="0" applyNumberFormat="1" applyFont="1" applyFill="1" applyBorder="1" applyAlignment="1">
      <alignment horizontal="center" vertical="center" wrapText="1"/>
    </xf>
    <xf numFmtId="176" fontId="6" fillId="0" borderId="43" xfId="0" applyNumberFormat="1" applyFont="1" applyFill="1" applyBorder="1" applyAlignment="1">
      <alignment horizontal="center" vertical="center" wrapText="1"/>
    </xf>
    <xf numFmtId="176" fontId="6" fillId="0" borderId="44" xfId="0" applyNumberFormat="1" applyFont="1" applyFill="1" applyBorder="1" applyAlignment="1">
      <alignment horizontal="center" vertical="center" wrapText="1"/>
    </xf>
    <xf numFmtId="176" fontId="6" fillId="0" borderId="38" xfId="0" applyNumberFormat="1" applyFont="1" applyFill="1" applyBorder="1" applyAlignment="1">
      <alignment horizontal="center" vertical="center" wrapText="1"/>
    </xf>
    <xf numFmtId="176" fontId="6" fillId="2" borderId="45" xfId="0" applyNumberFormat="1" applyFont="1" applyFill="1" applyBorder="1" applyAlignment="1">
      <alignment horizontal="center" vertical="center" wrapText="1"/>
    </xf>
    <xf numFmtId="176" fontId="6" fillId="0" borderId="47" xfId="0" applyNumberFormat="1" applyFont="1" applyFill="1" applyBorder="1" applyAlignment="1">
      <alignment horizontal="center" vertical="center" wrapText="1"/>
    </xf>
    <xf numFmtId="176" fontId="6" fillId="2" borderId="2" xfId="0" applyNumberFormat="1" applyFont="1" applyFill="1" applyBorder="1" applyAlignment="1">
      <alignment horizontal="center" vertical="center" wrapText="1"/>
    </xf>
    <xf numFmtId="176" fontId="10" fillId="2" borderId="51" xfId="0" applyNumberFormat="1" applyFont="1" applyFill="1" applyBorder="1" applyAlignment="1">
      <alignment horizontal="left" vertical="center" wrapText="1"/>
    </xf>
    <xf numFmtId="176" fontId="6" fillId="2" borderId="52" xfId="0" applyNumberFormat="1" applyFont="1" applyFill="1" applyBorder="1" applyAlignment="1">
      <alignment horizontal="center" vertical="center" wrapText="1"/>
    </xf>
    <xf numFmtId="176" fontId="6" fillId="4" borderId="53" xfId="0" applyNumberFormat="1" applyFont="1" applyFill="1" applyBorder="1" applyAlignment="1">
      <alignment horizontal="center" vertical="center" wrapText="1"/>
    </xf>
    <xf numFmtId="176" fontId="6" fillId="4" borderId="47" xfId="0" applyNumberFormat="1" applyFont="1" applyFill="1" applyBorder="1" applyAlignment="1">
      <alignment horizontal="center" vertical="center" wrapText="1"/>
    </xf>
    <xf numFmtId="176" fontId="6" fillId="4" borderId="55" xfId="0" applyNumberFormat="1" applyFont="1" applyFill="1" applyBorder="1" applyAlignment="1">
      <alignment horizontal="center" vertical="center" wrapText="1"/>
    </xf>
    <xf numFmtId="176" fontId="6" fillId="4" borderId="6" xfId="0" applyNumberFormat="1" applyFont="1" applyFill="1" applyBorder="1" applyAlignment="1">
      <alignment horizontal="center" vertical="center" wrapText="1"/>
    </xf>
    <xf numFmtId="176" fontId="6" fillId="0" borderId="56" xfId="0" applyNumberFormat="1" applyFont="1" applyFill="1" applyBorder="1" applyAlignment="1">
      <alignment horizontal="center" vertical="center" wrapText="1"/>
    </xf>
    <xf numFmtId="176" fontId="6" fillId="0" borderId="51" xfId="0" applyNumberFormat="1" applyFont="1" applyFill="1" applyBorder="1" applyAlignment="1">
      <alignment horizontal="center" vertical="center" wrapText="1"/>
    </xf>
    <xf numFmtId="176" fontId="6" fillId="0" borderId="53" xfId="0" applyNumberFormat="1" applyFont="1" applyFill="1" applyBorder="1" applyAlignment="1">
      <alignment horizontal="center" vertical="center" wrapText="1"/>
    </xf>
    <xf numFmtId="176" fontId="10" fillId="2" borderId="20" xfId="0" applyNumberFormat="1" applyFont="1" applyFill="1" applyBorder="1" applyAlignment="1">
      <alignment horizontal="left" vertical="center" wrapText="1" shrinkToFit="1"/>
    </xf>
    <xf numFmtId="0" fontId="5" fillId="2" borderId="19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left" vertical="center" wrapText="1" shrinkToFit="1"/>
    </xf>
    <xf numFmtId="176" fontId="8" fillId="2" borderId="11" xfId="0" applyNumberFormat="1" applyFont="1" applyFill="1" applyBorder="1" applyAlignment="1">
      <alignment horizontal="left" vertical="center" wrapText="1"/>
    </xf>
    <xf numFmtId="176" fontId="7" fillId="2" borderId="12" xfId="0" applyNumberFormat="1" applyFont="1" applyFill="1" applyBorder="1" applyAlignment="1">
      <alignment horizontal="center" vertical="center" wrapText="1"/>
    </xf>
    <xf numFmtId="176" fontId="7" fillId="2" borderId="13" xfId="0" applyNumberFormat="1" applyFont="1" applyFill="1" applyBorder="1" applyAlignment="1">
      <alignment horizontal="center" vertical="center" wrapText="1"/>
    </xf>
    <xf numFmtId="176" fontId="6" fillId="0" borderId="14" xfId="0" applyNumberFormat="1" applyFont="1" applyFill="1" applyBorder="1" applyAlignment="1">
      <alignment horizontal="center" vertical="center" wrapText="1"/>
    </xf>
    <xf numFmtId="176" fontId="6" fillId="0" borderId="15" xfId="0" applyNumberFormat="1" applyFont="1" applyFill="1" applyBorder="1" applyAlignment="1">
      <alignment horizontal="center" vertical="center" wrapText="1"/>
    </xf>
    <xf numFmtId="176" fontId="6" fillId="0" borderId="59" xfId="0" applyNumberFormat="1" applyFont="1" applyFill="1" applyBorder="1" applyAlignment="1">
      <alignment horizontal="center" vertical="center" wrapText="1"/>
    </xf>
    <xf numFmtId="176" fontId="6" fillId="0" borderId="60" xfId="0" applyNumberFormat="1" applyFont="1" applyFill="1" applyBorder="1" applyAlignment="1">
      <alignment horizontal="center" vertical="center" wrapText="1"/>
    </xf>
    <xf numFmtId="176" fontId="6" fillId="0" borderId="13" xfId="0" applyNumberFormat="1" applyFont="1" applyFill="1" applyBorder="1" applyAlignment="1">
      <alignment horizontal="center" vertical="center" wrapText="1"/>
    </xf>
    <xf numFmtId="176" fontId="6" fillId="2" borderId="61" xfId="0" applyNumberFormat="1" applyFont="1" applyFill="1" applyBorder="1" applyAlignment="1">
      <alignment horizontal="center" vertical="center" wrapText="1"/>
    </xf>
    <xf numFmtId="176" fontId="8" fillId="2" borderId="32" xfId="0" applyNumberFormat="1" applyFont="1" applyFill="1" applyBorder="1" applyAlignment="1">
      <alignment horizontal="left" vertical="center" wrapText="1"/>
    </xf>
    <xf numFmtId="176" fontId="7" fillId="2" borderId="33" xfId="0" applyNumberFormat="1" applyFont="1" applyFill="1" applyBorder="1" applyAlignment="1">
      <alignment horizontal="center" vertical="center" wrapText="1"/>
    </xf>
    <xf numFmtId="176" fontId="6" fillId="0" borderId="62" xfId="0" applyNumberFormat="1" applyFont="1" applyFill="1" applyBorder="1" applyAlignment="1">
      <alignment horizontal="center" vertical="center" wrapText="1"/>
    </xf>
    <xf numFmtId="176" fontId="6" fillId="0" borderId="63" xfId="0" applyNumberFormat="1" applyFont="1" applyFill="1" applyBorder="1" applyAlignment="1">
      <alignment horizontal="center" vertical="center" wrapText="1"/>
    </xf>
    <xf numFmtId="176" fontId="8" fillId="2" borderId="20" xfId="0" applyNumberFormat="1" applyFont="1" applyFill="1" applyBorder="1" applyAlignment="1">
      <alignment horizontal="left" vertical="center" wrapText="1"/>
    </xf>
    <xf numFmtId="176" fontId="8" fillId="2" borderId="20" xfId="0" applyNumberFormat="1" applyFont="1" applyFill="1" applyBorder="1" applyAlignment="1">
      <alignment horizontal="left" vertical="center" wrapText="1" shrinkToFit="1"/>
    </xf>
    <xf numFmtId="176" fontId="7" fillId="2" borderId="21" xfId="0" applyNumberFormat="1" applyFont="1" applyFill="1" applyBorder="1" applyAlignment="1">
      <alignment horizontal="center" vertical="center" wrapText="1"/>
    </xf>
    <xf numFmtId="176" fontId="7" fillId="2" borderId="22" xfId="0" applyNumberFormat="1" applyFont="1" applyFill="1" applyBorder="1" applyAlignment="1">
      <alignment horizontal="center" vertical="center" wrapText="1"/>
    </xf>
    <xf numFmtId="176" fontId="7" fillId="2" borderId="19" xfId="0" applyNumberFormat="1" applyFont="1" applyFill="1" applyBorder="1" applyAlignment="1">
      <alignment horizontal="center" vertical="center" wrapText="1"/>
    </xf>
    <xf numFmtId="176" fontId="7" fillId="2" borderId="52" xfId="0" applyNumberFormat="1" applyFont="1" applyFill="1" applyBorder="1" applyAlignment="1">
      <alignment horizontal="center" vertical="center" wrapText="1"/>
    </xf>
    <xf numFmtId="176" fontId="6" fillId="8" borderId="20" xfId="0" applyNumberFormat="1" applyFont="1" applyFill="1" applyBorder="1" applyAlignment="1">
      <alignment horizontal="center" vertical="center" wrapText="1"/>
    </xf>
    <xf numFmtId="176" fontId="6" fillId="8" borderId="4" xfId="0" applyNumberFormat="1" applyFont="1" applyFill="1" applyBorder="1" applyAlignment="1">
      <alignment horizontal="center" vertical="center" wrapText="1"/>
    </xf>
    <xf numFmtId="176" fontId="8" fillId="2" borderId="51" xfId="0" applyNumberFormat="1" applyFont="1" applyFill="1" applyBorder="1" applyAlignment="1">
      <alignment horizontal="left" vertical="center" wrapText="1"/>
    </xf>
    <xf numFmtId="176" fontId="7" fillId="2" borderId="55" xfId="0" applyNumberFormat="1" applyFont="1" applyFill="1" applyBorder="1" applyAlignment="1">
      <alignment horizontal="center" vertical="center" wrapText="1"/>
    </xf>
    <xf numFmtId="176" fontId="6" fillId="0" borderId="33" xfId="0" applyNumberFormat="1" applyFont="1" applyFill="1" applyBorder="1" applyAlignment="1">
      <alignment horizontal="center" vertical="center" wrapText="1"/>
    </xf>
    <xf numFmtId="176" fontId="6" fillId="0" borderId="22" xfId="0" applyNumberFormat="1" applyFont="1" applyFill="1" applyBorder="1" applyAlignment="1">
      <alignment horizontal="center" vertical="center" wrapText="1"/>
    </xf>
    <xf numFmtId="176" fontId="8" fillId="2" borderId="4" xfId="0" applyNumberFormat="1" applyFont="1" applyFill="1" applyBorder="1" applyAlignment="1">
      <alignment horizontal="left" vertical="center" wrapText="1"/>
    </xf>
    <xf numFmtId="176" fontId="6" fillId="0" borderId="52" xfId="0" applyNumberFormat="1" applyFont="1" applyFill="1" applyBorder="1" applyAlignment="1">
      <alignment horizontal="center" vertical="center" wrapText="1"/>
    </xf>
    <xf numFmtId="176" fontId="7" fillId="2" borderId="10" xfId="0" applyNumberFormat="1" applyFont="1" applyFill="1" applyBorder="1" applyAlignment="1">
      <alignment horizontal="center" vertical="center" wrapText="1"/>
    </xf>
    <xf numFmtId="176" fontId="6" fillId="0" borderId="12" xfId="0" applyNumberFormat="1" applyFont="1" applyFill="1" applyBorder="1" applyAlignment="1">
      <alignment horizontal="center" vertical="center" wrapText="1"/>
    </xf>
    <xf numFmtId="176" fontId="6" fillId="0" borderId="67" xfId="0" applyNumberFormat="1" applyFont="1" applyFill="1" applyBorder="1" applyAlignment="1">
      <alignment horizontal="center" vertical="center" wrapText="1"/>
    </xf>
    <xf numFmtId="176" fontId="6" fillId="0" borderId="68" xfId="0" applyNumberFormat="1" applyFont="1" applyFill="1" applyBorder="1" applyAlignment="1">
      <alignment horizontal="center" vertical="center" wrapText="1"/>
    </xf>
    <xf numFmtId="176" fontId="6" fillId="2" borderId="72" xfId="0" applyNumberFormat="1" applyFont="1" applyFill="1" applyBorder="1" applyAlignment="1">
      <alignment horizontal="center" vertical="center" wrapText="1"/>
    </xf>
    <xf numFmtId="176" fontId="6" fillId="2" borderId="73" xfId="0" applyNumberFormat="1" applyFont="1" applyFill="1" applyBorder="1" applyAlignment="1">
      <alignment horizontal="center" vertical="center" wrapText="1"/>
    </xf>
    <xf numFmtId="176" fontId="7" fillId="2" borderId="74" xfId="0" applyNumberFormat="1" applyFont="1" applyFill="1" applyBorder="1" applyAlignment="1">
      <alignment horizontal="center" vertical="center" wrapText="1"/>
    </xf>
    <xf numFmtId="176" fontId="6" fillId="2" borderId="75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176" fontId="7" fillId="2" borderId="3" xfId="0" applyNumberFormat="1" applyFont="1" applyFill="1" applyBorder="1" applyAlignment="1">
      <alignment horizontal="center" vertical="center" wrapText="1"/>
    </xf>
    <xf numFmtId="176" fontId="6" fillId="0" borderId="5" xfId="0" applyNumberFormat="1" applyFont="1" applyFill="1" applyBorder="1" applyAlignment="1">
      <alignment horizontal="center" vertical="center" wrapText="1"/>
    </xf>
    <xf numFmtId="176" fontId="7" fillId="2" borderId="50" xfId="0" applyNumberFormat="1" applyFont="1" applyFill="1" applyBorder="1" applyAlignment="1">
      <alignment horizontal="center" vertical="center" wrapText="1"/>
    </xf>
    <xf numFmtId="176" fontId="7" fillId="2" borderId="31" xfId="0" applyNumberFormat="1" applyFont="1" applyFill="1" applyBorder="1" applyAlignment="1">
      <alignment horizontal="center" vertical="center" wrapText="1"/>
    </xf>
    <xf numFmtId="176" fontId="8" fillId="2" borderId="54" xfId="0" applyNumberFormat="1" applyFont="1" applyFill="1" applyBorder="1" applyAlignment="1">
      <alignment horizontal="left" vertical="center" wrapText="1"/>
    </xf>
    <xf numFmtId="176" fontId="7" fillId="2" borderId="27" xfId="0" applyNumberFormat="1" applyFont="1" applyFill="1" applyBorder="1" applyAlignment="1">
      <alignment horizontal="center" vertical="center" wrapText="1"/>
    </xf>
    <xf numFmtId="176" fontId="7" fillId="2" borderId="24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 wrapText="1"/>
    </xf>
    <xf numFmtId="176" fontId="7" fillId="2" borderId="78" xfId="0" applyNumberFormat="1" applyFont="1" applyFill="1" applyBorder="1" applyAlignment="1">
      <alignment horizontal="center" vertical="center" wrapText="1"/>
    </xf>
    <xf numFmtId="176" fontId="6" fillId="2" borderId="14" xfId="0" applyNumberFormat="1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6" fillId="2" borderId="19" xfId="0" applyNumberFormat="1" applyFont="1" applyFill="1" applyBorder="1" applyAlignment="1">
      <alignment horizontal="center" vertical="center" wrapText="1"/>
    </xf>
    <xf numFmtId="176" fontId="6" fillId="2" borderId="20" xfId="0" applyNumberFormat="1" applyFont="1" applyFill="1" applyBorder="1" applyAlignment="1">
      <alignment horizontal="center" vertical="center" wrapText="1"/>
    </xf>
    <xf numFmtId="176" fontId="6" fillId="2" borderId="69" xfId="0" applyNumberFormat="1" applyFont="1" applyFill="1" applyBorder="1" applyAlignment="1">
      <alignment horizontal="center" vertical="center" wrapText="1"/>
    </xf>
    <xf numFmtId="176" fontId="6" fillId="2" borderId="71" xfId="0" applyNumberFormat="1" applyFont="1" applyFill="1" applyBorder="1" applyAlignment="1">
      <alignment horizontal="center" vertical="center" wrapText="1"/>
    </xf>
    <xf numFmtId="176" fontId="6" fillId="0" borderId="27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176" fontId="6" fillId="0" borderId="24" xfId="0" applyNumberFormat="1" applyFont="1" applyFill="1" applyBorder="1" applyAlignment="1">
      <alignment horizontal="center" vertical="center" wrapText="1"/>
    </xf>
    <xf numFmtId="176" fontId="6" fillId="2" borderId="26" xfId="0" applyNumberFormat="1" applyFont="1" applyFill="1" applyBorder="1" applyAlignment="1">
      <alignment horizontal="center" vertical="center" wrapText="1"/>
    </xf>
    <xf numFmtId="176" fontId="6" fillId="0" borderId="54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6" fillId="2" borderId="28" xfId="0" applyNumberFormat="1" applyFont="1" applyFill="1" applyBorder="1" applyAlignment="1">
      <alignment horizontal="center" vertical="center" wrapText="1"/>
    </xf>
    <xf numFmtId="176" fontId="6" fillId="2" borderId="27" xfId="0" applyNumberFormat="1" applyFont="1" applyFill="1" applyBorder="1" applyAlignment="1">
      <alignment horizontal="center" vertical="center" wrapText="1"/>
    </xf>
    <xf numFmtId="176" fontId="6" fillId="0" borderId="26" xfId="0" applyNumberFormat="1" applyFont="1" applyFill="1" applyBorder="1" applyAlignment="1">
      <alignment horizontal="center" vertical="center" wrapText="1"/>
    </xf>
    <xf numFmtId="176" fontId="6" fillId="2" borderId="24" xfId="0" applyNumberFormat="1" applyFont="1" applyFill="1" applyBorder="1" applyAlignment="1">
      <alignment horizontal="center" vertical="center" wrapText="1"/>
    </xf>
    <xf numFmtId="176" fontId="6" fillId="2" borderId="25" xfId="0" applyNumberFormat="1" applyFont="1" applyFill="1" applyBorder="1" applyAlignment="1">
      <alignment horizontal="center" vertical="center" wrapText="1"/>
    </xf>
    <xf numFmtId="176" fontId="6" fillId="2" borderId="50" xfId="0" applyNumberFormat="1" applyFont="1" applyFill="1" applyBorder="1" applyAlignment="1">
      <alignment horizontal="center" vertical="center" wrapText="1"/>
    </xf>
    <xf numFmtId="176" fontId="6" fillId="2" borderId="31" xfId="0" applyNumberFormat="1" applyFont="1" applyFill="1" applyBorder="1" applyAlignment="1">
      <alignment horizontal="center" vertical="center" wrapText="1"/>
    </xf>
    <xf numFmtId="176" fontId="6" fillId="0" borderId="21" xfId="0" applyNumberFormat="1" applyFont="1" applyFill="1" applyBorder="1" applyAlignment="1">
      <alignment horizontal="center" vertical="center" wrapText="1"/>
    </xf>
    <xf numFmtId="176" fontId="13" fillId="2" borderId="3" xfId="0" applyNumberFormat="1" applyFont="1" applyFill="1" applyBorder="1" applyAlignment="1">
      <alignment horizontal="center" vertical="center" wrapText="1"/>
    </xf>
    <xf numFmtId="176" fontId="13" fillId="2" borderId="4" xfId="0" applyNumberFormat="1" applyFont="1" applyFill="1" applyBorder="1" applyAlignment="1">
      <alignment horizontal="center" vertical="center" wrapText="1"/>
    </xf>
    <xf numFmtId="176" fontId="7" fillId="2" borderId="4" xfId="0" applyNumberFormat="1" applyFont="1" applyFill="1" applyBorder="1" applyAlignment="1">
      <alignment horizontal="center" vertical="center" wrapText="1"/>
    </xf>
    <xf numFmtId="176" fontId="13" fillId="2" borderId="23" xfId="0" applyNumberFormat="1" applyFont="1" applyFill="1" applyBorder="1" applyAlignment="1">
      <alignment horizontal="center" vertical="center" wrapText="1"/>
    </xf>
    <xf numFmtId="176" fontId="13" fillId="2" borderId="20" xfId="0" applyNumberFormat="1" applyFont="1" applyFill="1" applyBorder="1" applyAlignment="1">
      <alignment horizontal="center" vertical="center" wrapText="1"/>
    </xf>
    <xf numFmtId="176" fontId="6" fillId="2" borderId="24" xfId="0" applyNumberFormat="1" applyFont="1" applyFill="1" applyBorder="1" applyAlignment="1">
      <alignment horizontal="center" vertical="center" wrapText="1"/>
    </xf>
    <xf numFmtId="176" fontId="6" fillId="2" borderId="25" xfId="0" applyNumberFormat="1" applyFont="1" applyFill="1" applyBorder="1" applyAlignment="1">
      <alignment horizontal="center" vertical="center" wrapText="1"/>
    </xf>
    <xf numFmtId="176" fontId="7" fillId="0" borderId="3" xfId="0" applyNumberFormat="1" applyFont="1" applyFill="1" applyBorder="1" applyAlignment="1">
      <alignment horizontal="center" vertical="center" wrapText="1"/>
    </xf>
    <xf numFmtId="176" fontId="7" fillId="0" borderId="6" xfId="0" applyNumberFormat="1" applyFont="1" applyFill="1" applyBorder="1" applyAlignment="1">
      <alignment horizontal="center" vertical="center" wrapText="1"/>
    </xf>
    <xf numFmtId="176" fontId="7" fillId="0" borderId="5" xfId="0" applyNumberFormat="1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176" fontId="6" fillId="2" borderId="26" xfId="0" applyNumberFormat="1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176" fontId="6" fillId="2" borderId="27" xfId="0" applyNumberFormat="1" applyFont="1" applyFill="1" applyBorder="1" applyAlignment="1">
      <alignment horizontal="center" vertical="center" wrapText="1"/>
    </xf>
    <xf numFmtId="176" fontId="6" fillId="2" borderId="24" xfId="0" applyNumberFormat="1" applyFont="1" applyFill="1" applyBorder="1" applyAlignment="1">
      <alignment horizontal="center" vertical="center" wrapText="1"/>
    </xf>
    <xf numFmtId="176" fontId="6" fillId="2" borderId="28" xfId="0" applyNumberFormat="1" applyFont="1" applyFill="1" applyBorder="1" applyAlignment="1">
      <alignment horizontal="center" vertical="center" wrapText="1"/>
    </xf>
    <xf numFmtId="176" fontId="6" fillId="2" borderId="25" xfId="0" applyNumberFormat="1" applyFont="1" applyFill="1" applyBorder="1" applyAlignment="1">
      <alignment horizontal="center" vertical="center" wrapText="1"/>
    </xf>
    <xf numFmtId="176" fontId="6" fillId="2" borderId="30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176" fontId="6" fillId="2" borderId="18" xfId="0" applyNumberFormat="1" applyFont="1" applyFill="1" applyBorder="1" applyAlignment="1">
      <alignment horizontal="center" vertical="center" wrapText="1"/>
    </xf>
    <xf numFmtId="176" fontId="6" fillId="0" borderId="24" xfId="0" applyNumberFormat="1" applyFont="1" applyFill="1" applyBorder="1" applyAlignment="1">
      <alignment horizontal="center" vertical="center" wrapText="1"/>
    </xf>
    <xf numFmtId="176" fontId="6" fillId="0" borderId="29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6" fillId="0" borderId="54" xfId="0" applyNumberFormat="1" applyFont="1" applyFill="1" applyBorder="1" applyAlignment="1">
      <alignment horizontal="center" vertical="center" wrapText="1"/>
    </xf>
    <xf numFmtId="176" fontId="6" fillId="0" borderId="64" xfId="0" applyNumberFormat="1" applyFont="1" applyFill="1" applyBorder="1" applyAlignment="1">
      <alignment horizontal="center" vertical="center" wrapText="1"/>
    </xf>
    <xf numFmtId="176" fontId="6" fillId="2" borderId="14" xfId="0" applyNumberFormat="1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6" fillId="2" borderId="19" xfId="0" applyNumberFormat="1" applyFont="1" applyFill="1" applyBorder="1" applyAlignment="1">
      <alignment horizontal="center" vertical="center" wrapText="1"/>
    </xf>
    <xf numFmtId="176" fontId="6" fillId="2" borderId="20" xfId="0" applyNumberFormat="1" applyFont="1" applyFill="1" applyBorder="1" applyAlignment="1">
      <alignment horizontal="center" vertical="center" wrapText="1"/>
    </xf>
    <xf numFmtId="176" fontId="6" fillId="2" borderId="69" xfId="0" applyNumberFormat="1" applyFont="1" applyFill="1" applyBorder="1" applyAlignment="1">
      <alignment horizontal="center" vertical="center" wrapText="1"/>
    </xf>
    <xf numFmtId="176" fontId="6" fillId="2" borderId="71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6" fillId="2" borderId="19" xfId="0" applyNumberFormat="1" applyFont="1" applyFill="1" applyBorder="1" applyAlignment="1">
      <alignment horizontal="center" vertical="center" wrapText="1"/>
    </xf>
    <xf numFmtId="176" fontId="6" fillId="2" borderId="20" xfId="0" applyNumberFormat="1" applyFont="1" applyFill="1" applyBorder="1" applyAlignment="1">
      <alignment horizontal="center" vertical="center" wrapText="1"/>
    </xf>
    <xf numFmtId="176" fontId="6" fillId="2" borderId="80" xfId="0" applyNumberFormat="1" applyFont="1" applyFill="1" applyBorder="1" applyAlignment="1">
      <alignment horizontal="center" vertical="center" wrapText="1"/>
    </xf>
    <xf numFmtId="176" fontId="10" fillId="2" borderId="77" xfId="0" applyNumberFormat="1" applyFont="1" applyFill="1" applyBorder="1" applyAlignment="1">
      <alignment horizontal="left" vertical="center" wrapText="1"/>
    </xf>
    <xf numFmtId="176" fontId="6" fillId="2" borderId="0" xfId="0" applyNumberFormat="1" applyFont="1" applyFill="1" applyBorder="1" applyAlignment="1">
      <alignment horizontal="center" vertical="center" wrapText="1"/>
    </xf>
    <xf numFmtId="176" fontId="6" fillId="0" borderId="81" xfId="0" applyNumberFormat="1" applyFont="1" applyFill="1" applyBorder="1" applyAlignment="1">
      <alignment horizontal="center" vertical="center" wrapText="1"/>
    </xf>
    <xf numFmtId="176" fontId="6" fillId="0" borderId="77" xfId="0" applyNumberFormat="1" applyFont="1" applyFill="1" applyBorder="1" applyAlignment="1">
      <alignment horizontal="center" vertical="center" wrapText="1"/>
    </xf>
    <xf numFmtId="176" fontId="6" fillId="0" borderId="10" xfId="0" applyNumberFormat="1" applyFont="1" applyFill="1" applyBorder="1" applyAlignment="1">
      <alignment horizontal="center" vertical="center" wrapText="1"/>
    </xf>
    <xf numFmtId="176" fontId="6" fillId="0" borderId="16" xfId="0" applyNumberFormat="1" applyFont="1" applyFill="1" applyBorder="1" applyAlignment="1">
      <alignment horizontal="center" vertical="center" wrapText="1"/>
    </xf>
    <xf numFmtId="176" fontId="6" fillId="0" borderId="11" xfId="0" applyNumberFormat="1" applyFont="1" applyFill="1" applyBorder="1" applyAlignment="1">
      <alignment horizontal="center" vertical="center" wrapText="1"/>
    </xf>
    <xf numFmtId="176" fontId="6" fillId="2" borderId="17" xfId="0" applyNumberFormat="1" applyFont="1" applyFill="1" applyBorder="1" applyAlignment="1">
      <alignment horizontal="center" vertical="center" wrapText="1"/>
    </xf>
    <xf numFmtId="176" fontId="6" fillId="0" borderId="31" xfId="0" applyNumberFormat="1" applyFont="1" applyFill="1" applyBorder="1" applyAlignment="1">
      <alignment horizontal="center" vertical="center" wrapText="1"/>
    </xf>
    <xf numFmtId="176" fontId="8" fillId="3" borderId="84" xfId="0" applyNumberFormat="1" applyFont="1" applyFill="1" applyBorder="1" applyAlignment="1">
      <alignment horizontal="center" vertical="center" wrapText="1"/>
    </xf>
    <xf numFmtId="176" fontId="8" fillId="3" borderId="85" xfId="0" applyNumberFormat="1" applyFont="1" applyFill="1" applyBorder="1" applyAlignment="1">
      <alignment horizontal="center" vertical="center" wrapText="1"/>
    </xf>
    <xf numFmtId="176" fontId="6" fillId="2" borderId="86" xfId="0" applyNumberFormat="1" applyFont="1" applyFill="1" applyBorder="1" applyAlignment="1">
      <alignment horizontal="center" vertical="center" wrapText="1"/>
    </xf>
    <xf numFmtId="176" fontId="6" fillId="2" borderId="87" xfId="0" applyNumberFormat="1" applyFont="1" applyFill="1" applyBorder="1" applyAlignment="1">
      <alignment horizontal="center" vertical="center" wrapText="1"/>
    </xf>
    <xf numFmtId="176" fontId="10" fillId="2" borderId="88" xfId="0" applyNumberFormat="1" applyFont="1" applyFill="1" applyBorder="1" applyAlignment="1">
      <alignment horizontal="left" vertical="center" wrapText="1"/>
    </xf>
    <xf numFmtId="176" fontId="6" fillId="2" borderId="89" xfId="0" applyNumberFormat="1" applyFont="1" applyFill="1" applyBorder="1" applyAlignment="1">
      <alignment horizontal="center" vertical="center" wrapText="1"/>
    </xf>
    <xf numFmtId="176" fontId="6" fillId="2" borderId="90" xfId="0" applyNumberFormat="1" applyFont="1" applyFill="1" applyBorder="1" applyAlignment="1">
      <alignment horizontal="center" vertical="center" wrapText="1"/>
    </xf>
    <xf numFmtId="176" fontId="6" fillId="0" borderId="76" xfId="0" applyNumberFormat="1" applyFont="1" applyFill="1" applyBorder="1" applyAlignment="1">
      <alignment horizontal="center" vertical="center" wrapText="1"/>
    </xf>
    <xf numFmtId="176" fontId="6" fillId="0" borderId="91" xfId="0" applyNumberFormat="1" applyFont="1" applyFill="1" applyBorder="1" applyAlignment="1">
      <alignment horizontal="center" vertical="center" wrapText="1"/>
    </xf>
    <xf numFmtId="176" fontId="6" fillId="0" borderId="86" xfId="0" applyNumberFormat="1" applyFont="1" applyFill="1" applyBorder="1" applyAlignment="1">
      <alignment horizontal="center" vertical="center" wrapText="1"/>
    </xf>
    <xf numFmtId="176" fontId="6" fillId="0" borderId="92" xfId="0" applyNumberFormat="1" applyFont="1" applyFill="1" applyBorder="1" applyAlignment="1">
      <alignment horizontal="center" vertical="center" wrapText="1"/>
    </xf>
    <xf numFmtId="176" fontId="8" fillId="2" borderId="93" xfId="0" applyNumberFormat="1" applyFont="1" applyFill="1" applyBorder="1" applyAlignment="1">
      <alignment horizontal="center" vertical="center" wrapText="1"/>
    </xf>
    <xf numFmtId="176" fontId="8" fillId="2" borderId="94" xfId="0" applyNumberFormat="1" applyFont="1" applyFill="1" applyBorder="1" applyAlignment="1">
      <alignment horizontal="center" vertical="center" wrapText="1"/>
    </xf>
    <xf numFmtId="176" fontId="6" fillId="0" borderId="95" xfId="0" applyNumberFormat="1" applyFont="1" applyFill="1" applyBorder="1" applyAlignment="1">
      <alignment horizontal="center" vertical="center" wrapText="1"/>
    </xf>
    <xf numFmtId="176" fontId="6" fillId="2" borderId="96" xfId="0" applyNumberFormat="1" applyFont="1" applyFill="1" applyBorder="1" applyAlignment="1">
      <alignment horizontal="center" vertical="center" wrapText="1"/>
    </xf>
    <xf numFmtId="176" fontId="6" fillId="0" borderId="19" xfId="0" applyNumberFormat="1" applyFont="1" applyFill="1" applyBorder="1" applyAlignment="1">
      <alignment horizontal="center" vertical="center" wrapText="1"/>
    </xf>
    <xf numFmtId="176" fontId="7" fillId="0" borderId="19" xfId="0" applyNumberFormat="1" applyFont="1" applyFill="1" applyBorder="1" applyAlignment="1">
      <alignment horizontal="center" vertical="center" wrapText="1"/>
    </xf>
    <xf numFmtId="176" fontId="6" fillId="0" borderId="4" xfId="0" applyNumberFormat="1" applyFont="1" applyFill="1" applyBorder="1" applyAlignment="1">
      <alignment vertical="center" wrapText="1"/>
    </xf>
    <xf numFmtId="176" fontId="7" fillId="0" borderId="31" xfId="0" applyNumberFormat="1" applyFont="1" applyFill="1" applyBorder="1" applyAlignment="1">
      <alignment horizontal="center" vertical="center" wrapText="1"/>
    </xf>
    <xf numFmtId="176" fontId="7" fillId="2" borderId="98" xfId="0" applyNumberFormat="1" applyFont="1" applyFill="1" applyBorder="1" applyAlignment="1">
      <alignment horizontal="center" vertical="center" shrinkToFit="1"/>
    </xf>
    <xf numFmtId="176" fontId="7" fillId="2" borderId="99" xfId="0" applyNumberFormat="1" applyFont="1" applyFill="1" applyBorder="1" applyAlignment="1">
      <alignment horizontal="center" vertical="center" wrapText="1"/>
    </xf>
    <xf numFmtId="176" fontId="8" fillId="2" borderId="100" xfId="0" applyNumberFormat="1" applyFont="1" applyFill="1" applyBorder="1" applyAlignment="1">
      <alignment horizontal="left" vertical="center" wrapText="1"/>
    </xf>
    <xf numFmtId="176" fontId="6" fillId="0" borderId="79" xfId="0" applyNumberFormat="1" applyFont="1" applyFill="1" applyBorder="1" applyAlignment="1">
      <alignment horizontal="center" vertical="center" wrapText="1"/>
    </xf>
    <xf numFmtId="176" fontId="6" fillId="0" borderId="78" xfId="0" applyNumberFormat="1" applyFont="1" applyFill="1" applyBorder="1" applyAlignment="1">
      <alignment horizontal="center" vertical="center" wrapText="1"/>
    </xf>
    <xf numFmtId="176" fontId="6" fillId="2" borderId="102" xfId="0" applyNumberFormat="1" applyFont="1" applyFill="1" applyBorder="1" applyAlignment="1">
      <alignment horizontal="center" vertical="center" wrapText="1"/>
    </xf>
    <xf numFmtId="176" fontId="6" fillId="2" borderId="9" xfId="0" applyNumberFormat="1" applyFont="1" applyFill="1" applyBorder="1" applyAlignment="1">
      <alignment horizontal="center" vertical="center" wrapText="1"/>
    </xf>
    <xf numFmtId="176" fontId="15" fillId="2" borderId="32" xfId="0" applyNumberFormat="1" applyFont="1" applyFill="1" applyBorder="1" applyAlignment="1">
      <alignment horizontal="left" vertical="center" wrapText="1"/>
    </xf>
    <xf numFmtId="176" fontId="7" fillId="2" borderId="23" xfId="0" applyNumberFormat="1" applyFont="1" applyFill="1" applyBorder="1" applyAlignment="1">
      <alignment horizontal="center" vertical="center" wrapText="1"/>
    </xf>
    <xf numFmtId="176" fontId="7" fillId="2" borderId="20" xfId="0" applyNumberFormat="1" applyFont="1" applyFill="1" applyBorder="1" applyAlignment="1">
      <alignment horizontal="center" vertical="center" wrapText="1"/>
    </xf>
    <xf numFmtId="176" fontId="6" fillId="2" borderId="14" xfId="0" applyNumberFormat="1" applyFont="1" applyFill="1" applyBorder="1" applyAlignment="1">
      <alignment horizontal="center" vertical="center" wrapText="1"/>
    </xf>
    <xf numFmtId="176" fontId="6" fillId="2" borderId="10" xfId="0" applyNumberFormat="1" applyFont="1" applyFill="1" applyBorder="1" applyAlignment="1">
      <alignment horizontal="center" vertical="center" wrapText="1"/>
    </xf>
    <xf numFmtId="176" fontId="6" fillId="2" borderId="11" xfId="0" applyNumberFormat="1" applyFont="1" applyFill="1" applyBorder="1" applyAlignment="1">
      <alignment horizontal="center" vertical="center" wrapText="1"/>
    </xf>
    <xf numFmtId="176" fontId="6" fillId="2" borderId="3" xfId="0" applyNumberFormat="1" applyFont="1" applyFill="1" applyBorder="1" applyAlignment="1">
      <alignment horizontal="center" vertical="center" wrapText="1"/>
    </xf>
    <xf numFmtId="176" fontId="6" fillId="2" borderId="19" xfId="0" applyNumberFormat="1" applyFont="1" applyFill="1" applyBorder="1" applyAlignment="1">
      <alignment horizontal="center" vertical="center" wrapText="1"/>
    </xf>
    <xf numFmtId="176" fontId="6" fillId="2" borderId="20" xfId="0" applyNumberFormat="1" applyFont="1" applyFill="1" applyBorder="1" applyAlignment="1">
      <alignment horizontal="center" vertical="center" wrapText="1"/>
    </xf>
    <xf numFmtId="176" fontId="6" fillId="2" borderId="69" xfId="0" applyNumberFormat="1" applyFont="1" applyFill="1" applyBorder="1" applyAlignment="1">
      <alignment horizontal="center" vertical="center" wrapText="1"/>
    </xf>
    <xf numFmtId="176" fontId="6" fillId="2" borderId="70" xfId="0" applyNumberFormat="1" applyFont="1" applyFill="1" applyBorder="1" applyAlignment="1">
      <alignment horizontal="center" vertical="center" wrapText="1"/>
    </xf>
    <xf numFmtId="176" fontId="6" fillId="2" borderId="71" xfId="0" applyNumberFormat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176" fontId="6" fillId="8" borderId="26" xfId="0" applyNumberFormat="1" applyFont="1" applyFill="1" applyBorder="1" applyAlignment="1">
      <alignment horizontal="center" vertical="center" wrapText="1"/>
    </xf>
    <xf numFmtId="176" fontId="6" fillId="8" borderId="29" xfId="0" applyNumberFormat="1" applyFont="1" applyFill="1" applyBorder="1" applyAlignment="1">
      <alignment horizontal="center" vertical="center" wrapText="1"/>
    </xf>
    <xf numFmtId="176" fontId="6" fillId="8" borderId="5" xfId="0" applyNumberFormat="1" applyFont="1" applyFill="1" applyBorder="1" applyAlignment="1">
      <alignment horizontal="center" vertical="center" wrapText="1"/>
    </xf>
    <xf numFmtId="0" fontId="5" fillId="9" borderId="35" xfId="0" applyFont="1" applyFill="1" applyBorder="1" applyAlignment="1">
      <alignment horizontal="center" vertical="center" wrapText="1"/>
    </xf>
    <xf numFmtId="0" fontId="5" fillId="9" borderId="18" xfId="0" applyFont="1" applyFill="1" applyBorder="1" applyAlignment="1">
      <alignment horizontal="center" vertical="center" wrapText="1"/>
    </xf>
    <xf numFmtId="0" fontId="5" fillId="9" borderId="78" xfId="0" applyFont="1" applyFill="1" applyBorder="1" applyAlignment="1">
      <alignment horizontal="center" vertical="center" wrapText="1"/>
    </xf>
    <xf numFmtId="176" fontId="6" fillId="0" borderId="35" xfId="0" applyNumberFormat="1" applyFont="1" applyFill="1" applyBorder="1" applyAlignment="1">
      <alignment horizontal="center" vertical="center" wrapText="1"/>
    </xf>
    <xf numFmtId="176" fontId="6" fillId="0" borderId="18" xfId="0" applyNumberFormat="1" applyFont="1" applyFill="1" applyBorder="1" applyAlignment="1">
      <alignment horizontal="center" vertical="center" wrapText="1"/>
    </xf>
    <xf numFmtId="176" fontId="6" fillId="0" borderId="24" xfId="0" applyNumberFormat="1" applyFont="1" applyFill="1" applyBorder="1" applyAlignment="1">
      <alignment horizontal="center" vertical="center" wrapText="1"/>
    </xf>
    <xf numFmtId="176" fontId="6" fillId="0" borderId="48" xfId="0" applyNumberFormat="1" applyFont="1" applyFill="1" applyBorder="1" applyAlignment="1">
      <alignment horizontal="center" vertical="center" wrapText="1"/>
    </xf>
    <xf numFmtId="176" fontId="6" fillId="0" borderId="49" xfId="0" applyNumberFormat="1" applyFont="1" applyFill="1" applyBorder="1" applyAlignment="1">
      <alignment horizontal="center" vertical="center" wrapText="1"/>
    </xf>
    <xf numFmtId="176" fontId="6" fillId="2" borderId="26" xfId="0" applyNumberFormat="1" applyFont="1" applyFill="1" applyBorder="1" applyAlignment="1">
      <alignment horizontal="center" vertical="center" wrapText="1"/>
    </xf>
    <xf numFmtId="176" fontId="6" fillId="2" borderId="5" xfId="0" applyNumberFormat="1" applyFont="1" applyFill="1" applyBorder="1" applyAlignment="1">
      <alignment horizontal="center" vertical="center" wrapText="1"/>
    </xf>
    <xf numFmtId="176" fontId="6" fillId="0" borderId="27" xfId="0" applyNumberFormat="1" applyFont="1" applyFill="1" applyBorder="1" applyAlignment="1">
      <alignment horizontal="center" vertical="center" wrapText="1"/>
    </xf>
    <xf numFmtId="176" fontId="6" fillId="0" borderId="57" xfId="0" applyNumberFormat="1" applyFont="1" applyFill="1" applyBorder="1" applyAlignment="1">
      <alignment horizontal="center" vertical="center" wrapText="1"/>
    </xf>
    <xf numFmtId="176" fontId="6" fillId="0" borderId="58" xfId="0" applyNumberFormat="1" applyFont="1" applyFill="1" applyBorder="1" applyAlignment="1">
      <alignment horizontal="center" vertical="center" wrapText="1"/>
    </xf>
    <xf numFmtId="176" fontId="6" fillId="2" borderId="9" xfId="0" applyNumberFormat="1" applyFont="1" applyFill="1" applyBorder="1" applyAlignment="1">
      <alignment horizontal="center" vertical="center" wrapText="1"/>
    </xf>
    <xf numFmtId="176" fontId="6" fillId="2" borderId="79" xfId="0" applyNumberFormat="1" applyFont="1" applyFill="1" applyBorder="1" applyAlignment="1">
      <alignment horizontal="center" vertical="center" wrapText="1"/>
    </xf>
    <xf numFmtId="176" fontId="6" fillId="5" borderId="65" xfId="0" applyNumberFormat="1" applyFont="1" applyFill="1" applyBorder="1" applyAlignment="1">
      <alignment horizontal="center" vertical="center" wrapText="1"/>
    </xf>
    <xf numFmtId="176" fontId="6" fillId="5" borderId="66" xfId="0" applyNumberFormat="1" applyFont="1" applyFill="1" applyBorder="1" applyAlignment="1">
      <alignment horizontal="center" vertical="center" wrapText="1"/>
    </xf>
    <xf numFmtId="176" fontId="6" fillId="5" borderId="17" xfId="0" applyNumberFormat="1" applyFont="1" applyFill="1" applyBorder="1" applyAlignment="1">
      <alignment horizontal="center" vertical="center" wrapText="1"/>
    </xf>
    <xf numFmtId="176" fontId="6" fillId="5" borderId="77" xfId="0" applyNumberFormat="1" applyFont="1" applyFill="1" applyBorder="1" applyAlignment="1">
      <alignment horizontal="center" vertical="center" wrapText="1"/>
    </xf>
    <xf numFmtId="176" fontId="6" fillId="5" borderId="0" xfId="0" applyNumberFormat="1" applyFont="1" applyFill="1" applyBorder="1" applyAlignment="1">
      <alignment horizontal="center" vertical="center" wrapText="1"/>
    </xf>
    <xf numFmtId="176" fontId="6" fillId="5" borderId="30" xfId="0" applyNumberFormat="1" applyFont="1" applyFill="1" applyBorder="1" applyAlignment="1">
      <alignment horizontal="center" vertical="center" wrapText="1"/>
    </xf>
    <xf numFmtId="176" fontId="6" fillId="0" borderId="8" xfId="0" applyNumberFormat="1" applyFont="1" applyFill="1" applyBorder="1" applyAlignment="1">
      <alignment horizontal="center" vertical="center" wrapText="1"/>
    </xf>
    <xf numFmtId="176" fontId="6" fillId="0" borderId="29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  <xf numFmtId="176" fontId="6" fillId="2" borderId="29" xfId="0" applyNumberFormat="1" applyFont="1" applyFill="1" applyBorder="1" applyAlignment="1">
      <alignment horizontal="center" vertical="center" wrapText="1"/>
    </xf>
    <xf numFmtId="176" fontId="7" fillId="3" borderId="54" xfId="0" applyNumberFormat="1" applyFont="1" applyFill="1" applyBorder="1" applyAlignment="1">
      <alignment horizontal="center" vertical="center" wrapText="1"/>
    </xf>
    <xf numFmtId="176" fontId="7" fillId="3" borderId="6" xfId="0" applyNumberFormat="1" applyFont="1" applyFill="1" applyBorder="1" applyAlignment="1">
      <alignment horizontal="center" vertical="center" wrapText="1"/>
    </xf>
    <xf numFmtId="176" fontId="6" fillId="2" borderId="76" xfId="0" applyNumberFormat="1" applyFont="1" applyFill="1" applyBorder="1" applyAlignment="1">
      <alignment horizontal="center" vertical="center" wrapText="1"/>
    </xf>
    <xf numFmtId="176" fontId="7" fillId="3" borderId="1" xfId="0" applyNumberFormat="1" applyFont="1" applyFill="1" applyBorder="1" applyAlignment="1">
      <alignment horizontal="center" vertical="center" wrapText="1"/>
    </xf>
    <xf numFmtId="176" fontId="7" fillId="3" borderId="2" xfId="0" applyNumberFormat="1" applyFont="1" applyFill="1" applyBorder="1" applyAlignment="1">
      <alignment horizontal="center" vertical="center" wrapText="1"/>
    </xf>
    <xf numFmtId="176" fontId="6" fillId="8" borderId="54" xfId="0" applyNumberFormat="1" applyFont="1" applyFill="1" applyBorder="1" applyAlignment="1">
      <alignment horizontal="center" vertical="center" wrapText="1"/>
    </xf>
    <xf numFmtId="176" fontId="6" fillId="8" borderId="64" xfId="0" applyNumberFormat="1" applyFont="1" applyFill="1" applyBorder="1" applyAlignment="1">
      <alignment horizontal="center" vertical="center" wrapText="1"/>
    </xf>
    <xf numFmtId="176" fontId="6" fillId="8" borderId="6" xfId="0" applyNumberFormat="1" applyFont="1" applyFill="1" applyBorder="1" applyAlignment="1">
      <alignment horizontal="center" vertical="center" wrapText="1"/>
    </xf>
    <xf numFmtId="176" fontId="6" fillId="0" borderId="54" xfId="0" applyNumberFormat="1" applyFont="1" applyFill="1" applyBorder="1" applyAlignment="1">
      <alignment horizontal="center" vertical="center" wrapText="1"/>
    </xf>
    <xf numFmtId="176" fontId="6" fillId="0" borderId="64" xfId="0" applyNumberFormat="1" applyFont="1" applyFill="1" applyBorder="1" applyAlignment="1">
      <alignment horizontal="center" vertical="center" wrapText="1"/>
    </xf>
    <xf numFmtId="176" fontId="7" fillId="2" borderId="26" xfId="0" applyNumberFormat="1" applyFont="1" applyFill="1" applyBorder="1" applyAlignment="1">
      <alignment horizontal="center" vertical="center" wrapText="1"/>
    </xf>
    <xf numFmtId="176" fontId="7" fillId="2" borderId="29" xfId="0" applyNumberFormat="1" applyFont="1" applyFill="1" applyBorder="1" applyAlignment="1">
      <alignment horizontal="center" vertical="center" wrapText="1"/>
    </xf>
    <xf numFmtId="176" fontId="7" fillId="2" borderId="5" xfId="0" applyNumberFormat="1" applyFont="1" applyFill="1" applyBorder="1" applyAlignment="1">
      <alignment horizontal="center" vertical="center" wrapText="1"/>
    </xf>
    <xf numFmtId="176" fontId="6" fillId="2" borderId="28" xfId="0" applyNumberFormat="1" applyFont="1" applyFill="1" applyBorder="1" applyAlignment="1">
      <alignment horizontal="center" vertical="center" wrapText="1"/>
    </xf>
    <xf numFmtId="176" fontId="6" fillId="2" borderId="30" xfId="0" applyNumberFormat="1" applyFont="1" applyFill="1" applyBorder="1" applyAlignment="1">
      <alignment horizontal="center" vertical="center" wrapText="1"/>
    </xf>
    <xf numFmtId="176" fontId="6" fillId="2" borderId="25" xfId="0" applyNumberFormat="1" applyFont="1" applyFill="1" applyBorder="1" applyAlignment="1">
      <alignment horizontal="center" vertical="center" wrapText="1"/>
    </xf>
    <xf numFmtId="176" fontId="6" fillId="2" borderId="27" xfId="0" applyNumberFormat="1" applyFont="1" applyFill="1" applyBorder="1" applyAlignment="1">
      <alignment horizontal="center" vertical="center" wrapText="1"/>
    </xf>
    <xf numFmtId="176" fontId="6" fillId="2" borderId="18" xfId="0" applyNumberFormat="1" applyFont="1" applyFill="1" applyBorder="1" applyAlignment="1">
      <alignment horizontal="center" vertical="center" wrapText="1"/>
    </xf>
    <xf numFmtId="176" fontId="6" fillId="2" borderId="24" xfId="0" applyNumberFormat="1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8" xfId="0" applyFont="1" applyFill="1" applyBorder="1" applyAlignment="1">
      <alignment horizontal="center" vertical="center" wrapText="1"/>
    </xf>
    <xf numFmtId="176" fontId="7" fillId="0" borderId="27" xfId="0" applyNumberFormat="1" applyFont="1" applyFill="1" applyBorder="1" applyAlignment="1">
      <alignment horizontal="center" vertical="center" wrapText="1"/>
    </xf>
    <xf numFmtId="176" fontId="7" fillId="0" borderId="18" xfId="0" applyNumberFormat="1" applyFont="1" applyFill="1" applyBorder="1" applyAlignment="1">
      <alignment horizontal="center" vertical="center" wrapText="1"/>
    </xf>
    <xf numFmtId="176" fontId="6" fillId="2" borderId="8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right" vertical="center" wrapText="1"/>
    </xf>
    <xf numFmtId="0" fontId="9" fillId="6" borderId="7" xfId="0" applyFont="1" applyFill="1" applyBorder="1" applyAlignment="1">
      <alignment horizontal="center" vertical="center"/>
    </xf>
    <xf numFmtId="176" fontId="4" fillId="6" borderId="7" xfId="0" applyNumberFormat="1" applyFont="1" applyFill="1" applyBorder="1" applyAlignment="1">
      <alignment horizontal="center" vertical="center" wrapText="1"/>
    </xf>
    <xf numFmtId="176" fontId="4" fillId="7" borderId="7" xfId="0" applyNumberFormat="1" applyFont="1" applyFill="1" applyBorder="1" applyAlignment="1">
      <alignment horizontal="center" vertical="center" wrapText="1"/>
    </xf>
    <xf numFmtId="176" fontId="4" fillId="3" borderId="7" xfId="0" applyNumberFormat="1" applyFont="1" applyFill="1" applyBorder="1" applyAlignment="1">
      <alignment horizontal="center" vertical="center" wrapText="1"/>
    </xf>
    <xf numFmtId="176" fontId="4" fillId="4" borderId="7" xfId="0" applyNumberFormat="1" applyFont="1" applyFill="1" applyBorder="1" applyAlignment="1">
      <alignment horizontal="center" vertical="center" wrapText="1"/>
    </xf>
    <xf numFmtId="176" fontId="4" fillId="8" borderId="7" xfId="0" applyNumberFormat="1" applyFont="1" applyFill="1" applyBorder="1" applyAlignment="1">
      <alignment horizontal="center" vertical="center" wrapText="1"/>
    </xf>
    <xf numFmtId="176" fontId="8" fillId="3" borderId="82" xfId="0" applyNumberFormat="1" applyFont="1" applyFill="1" applyBorder="1" applyAlignment="1">
      <alignment horizontal="center" vertical="center" wrapText="1"/>
    </xf>
    <xf numFmtId="176" fontId="8" fillId="3" borderId="83" xfId="0" applyNumberFormat="1" applyFont="1" applyFill="1" applyBorder="1" applyAlignment="1">
      <alignment horizontal="center" vertical="center" wrapText="1"/>
    </xf>
    <xf numFmtId="176" fontId="6" fillId="0" borderId="21" xfId="0" applyNumberFormat="1" applyFont="1" applyFill="1" applyBorder="1" applyAlignment="1">
      <alignment horizontal="center" vertical="center" wrapText="1"/>
    </xf>
    <xf numFmtId="176" fontId="6" fillId="0" borderId="46" xfId="0" applyNumberFormat="1" applyFont="1" applyFill="1" applyBorder="1" applyAlignment="1">
      <alignment horizontal="center" vertical="center" wrapText="1"/>
    </xf>
    <xf numFmtId="176" fontId="6" fillId="0" borderId="26" xfId="0" applyNumberFormat="1" applyFont="1" applyFill="1" applyBorder="1" applyAlignment="1">
      <alignment horizontal="center" vertical="center" wrapText="1"/>
    </xf>
    <xf numFmtId="176" fontId="6" fillId="0" borderId="59" xfId="0" applyNumberFormat="1" applyFont="1" applyFill="1" applyBorder="1" applyAlignment="1">
      <alignment horizontal="center" vertical="center" wrapText="1"/>
    </xf>
    <xf numFmtId="176" fontId="6" fillId="0" borderId="61" xfId="0" applyNumberFormat="1" applyFont="1" applyFill="1" applyBorder="1" applyAlignment="1">
      <alignment horizontal="center" vertical="center" wrapText="1"/>
    </xf>
    <xf numFmtId="176" fontId="6" fillId="0" borderId="55" xfId="0" applyNumberFormat="1" applyFont="1" applyFill="1" applyBorder="1" applyAlignment="1">
      <alignment horizontal="center" vertical="center" wrapText="1"/>
    </xf>
    <xf numFmtId="176" fontId="6" fillId="0" borderId="97" xfId="0" applyNumberFormat="1" applyFont="1" applyFill="1" applyBorder="1" applyAlignment="1">
      <alignment horizontal="center" vertical="center" wrapText="1"/>
    </xf>
    <xf numFmtId="176" fontId="6" fillId="0" borderId="6" xfId="0" applyNumberFormat="1" applyFont="1" applyFill="1" applyBorder="1" applyAlignment="1">
      <alignment horizontal="center" vertical="center" wrapText="1"/>
    </xf>
    <xf numFmtId="176" fontId="6" fillId="0" borderId="53" xfId="0" applyNumberFormat="1" applyFont="1" applyFill="1" applyBorder="1" applyAlignment="1">
      <alignment horizontal="center" vertical="center" wrapText="1"/>
    </xf>
    <xf numFmtId="176" fontId="6" fillId="0" borderId="2" xfId="0" applyNumberFormat="1" applyFont="1" applyFill="1" applyBorder="1" applyAlignment="1">
      <alignment horizontal="center" vertical="center" wrapText="1"/>
    </xf>
    <xf numFmtId="176" fontId="6" fillId="0" borderId="62" xfId="0" applyNumberFormat="1" applyFont="1" applyFill="1" applyBorder="1" applyAlignment="1">
      <alignment horizontal="center" vertical="center" wrapText="1"/>
    </xf>
    <xf numFmtId="176" fontId="6" fillId="5" borderId="100" xfId="0" applyNumberFormat="1" applyFont="1" applyFill="1" applyBorder="1" applyAlignment="1">
      <alignment horizontal="center" vertical="center" wrapText="1"/>
    </xf>
    <xf numFmtId="176" fontId="6" fillId="5" borderId="101" xfId="0" applyNumberFormat="1" applyFont="1" applyFill="1" applyBorder="1" applyAlignment="1">
      <alignment horizontal="center" vertical="center" wrapText="1"/>
    </xf>
    <xf numFmtId="176" fontId="6" fillId="5" borderId="102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BB3F2"/>
      <color rgb="FF99FFCC"/>
      <color rgb="FFFF66FF"/>
      <color rgb="FFFF99FF"/>
      <color rgb="FFFF66CC"/>
      <color rgb="FFFDB1E9"/>
      <color rgb="FFFC80DC"/>
      <color rgb="FFFF00FF"/>
      <color rgb="FFFA00FA"/>
      <color rgb="FFFF6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F7662-90A0-41EA-84C7-9DEE2254E95E}">
  <sheetPr>
    <tabColor rgb="FF92D050"/>
    <pageSetUpPr fitToPage="1"/>
  </sheetPr>
  <dimension ref="A1:N7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D21" sqref="D21"/>
    </sheetView>
  </sheetViews>
  <sheetFormatPr defaultColWidth="9" defaultRowHeight="13.8" x14ac:dyDescent="0.4"/>
  <cols>
    <col min="1" max="1" width="4.69921875" style="83" customWidth="1"/>
    <col min="2" max="2" width="13.3984375" style="84" customWidth="1"/>
    <col min="3" max="3" width="7" style="83" customWidth="1"/>
    <col min="4" max="4" width="39.296875" style="84" customWidth="1"/>
    <col min="5" max="8" width="5.796875" style="83" customWidth="1"/>
    <col min="9" max="10" width="5.796875" style="84" customWidth="1"/>
    <col min="11" max="12" width="5.796875" style="83" customWidth="1"/>
    <col min="13" max="14" width="5.796875" style="84" customWidth="1"/>
    <col min="15" max="16384" width="9" style="1"/>
  </cols>
  <sheetData>
    <row r="1" spans="1:14" ht="39.6" customHeight="1" x14ac:dyDescent="0.4">
      <c r="A1" s="255" t="s">
        <v>156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</row>
    <row r="2" spans="1:14" ht="19.2" customHeight="1" thickBot="1" x14ac:dyDescent="0.45">
      <c r="A2" s="256" t="s">
        <v>30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</row>
    <row r="3" spans="1:14" ht="16.8" customHeight="1" thickBot="1" x14ac:dyDescent="0.45">
      <c r="A3" s="257" t="s">
        <v>0</v>
      </c>
      <c r="B3" s="258" t="s">
        <v>1</v>
      </c>
      <c r="C3" s="258" t="s">
        <v>2</v>
      </c>
      <c r="D3" s="258"/>
      <c r="E3" s="259" t="s">
        <v>26</v>
      </c>
      <c r="F3" s="259" t="s">
        <v>37</v>
      </c>
      <c r="G3" s="260" t="s">
        <v>3</v>
      </c>
      <c r="H3" s="260"/>
      <c r="I3" s="261" t="s">
        <v>4</v>
      </c>
      <c r="J3" s="261"/>
      <c r="K3" s="262" t="s">
        <v>55</v>
      </c>
      <c r="L3" s="262"/>
      <c r="M3" s="258" t="s">
        <v>27</v>
      </c>
      <c r="N3" s="258" t="s">
        <v>56</v>
      </c>
    </row>
    <row r="4" spans="1:14" ht="16.8" customHeight="1" thickBot="1" x14ac:dyDescent="0.45">
      <c r="A4" s="257"/>
      <c r="B4" s="258"/>
      <c r="C4" s="258"/>
      <c r="D4" s="258"/>
      <c r="E4" s="259"/>
      <c r="F4" s="259"/>
      <c r="G4" s="2" t="s">
        <v>5</v>
      </c>
      <c r="H4" s="2" t="s">
        <v>6</v>
      </c>
      <c r="I4" s="2" t="s">
        <v>5</v>
      </c>
      <c r="J4" s="2" t="s">
        <v>6</v>
      </c>
      <c r="K4" s="2" t="s">
        <v>5</v>
      </c>
      <c r="L4" s="2" t="s">
        <v>6</v>
      </c>
      <c r="M4" s="258"/>
      <c r="N4" s="258"/>
    </row>
    <row r="5" spans="1:14" ht="16.8" customHeight="1" x14ac:dyDescent="0.4">
      <c r="A5" s="250" t="s">
        <v>7</v>
      </c>
      <c r="B5" s="219" t="s">
        <v>8</v>
      </c>
      <c r="C5" s="95" t="s">
        <v>38</v>
      </c>
      <c r="D5" s="48" t="s">
        <v>39</v>
      </c>
      <c r="E5" s="4">
        <v>4</v>
      </c>
      <c r="F5" s="5">
        <v>4</v>
      </c>
      <c r="G5" s="94">
        <v>4</v>
      </c>
      <c r="H5" s="6"/>
      <c r="I5" s="94"/>
      <c r="J5" s="6"/>
      <c r="K5" s="7"/>
      <c r="L5" s="96"/>
      <c r="M5" s="254">
        <v>20</v>
      </c>
      <c r="N5" s="254">
        <v>8</v>
      </c>
    </row>
    <row r="6" spans="1:14" ht="16.8" customHeight="1" x14ac:dyDescent="0.4">
      <c r="A6" s="251"/>
      <c r="B6" s="230"/>
      <c r="C6" s="98" t="s">
        <v>38</v>
      </c>
      <c r="D6" s="61" t="s">
        <v>40</v>
      </c>
      <c r="E6" s="9">
        <v>4</v>
      </c>
      <c r="F6" s="10">
        <v>4</v>
      </c>
      <c r="G6" s="97"/>
      <c r="H6" s="11">
        <v>4</v>
      </c>
      <c r="I6" s="97"/>
      <c r="J6" s="11"/>
      <c r="K6" s="12"/>
      <c r="L6" s="99"/>
      <c r="M6" s="248"/>
      <c r="N6" s="248"/>
    </row>
    <row r="7" spans="1:14" ht="16.8" customHeight="1" x14ac:dyDescent="0.4">
      <c r="A7" s="251"/>
      <c r="B7" s="230"/>
      <c r="C7" s="150" t="s">
        <v>138</v>
      </c>
      <c r="D7" s="61" t="s">
        <v>32</v>
      </c>
      <c r="E7" s="9">
        <v>4</v>
      </c>
      <c r="F7" s="10">
        <v>4</v>
      </c>
      <c r="G7" s="149"/>
      <c r="H7" s="11"/>
      <c r="I7" s="149">
        <v>4</v>
      </c>
      <c r="J7" s="11"/>
      <c r="K7" s="12"/>
      <c r="L7" s="151"/>
      <c r="M7" s="248"/>
      <c r="N7" s="248"/>
    </row>
    <row r="8" spans="1:14" ht="16.8" customHeight="1" x14ac:dyDescent="0.4">
      <c r="A8" s="251"/>
      <c r="B8" s="230"/>
      <c r="C8" s="150" t="s">
        <v>138</v>
      </c>
      <c r="D8" s="61" t="s">
        <v>68</v>
      </c>
      <c r="E8" s="9">
        <v>4</v>
      </c>
      <c r="F8" s="10">
        <v>4</v>
      </c>
      <c r="G8" s="149"/>
      <c r="H8" s="11"/>
      <c r="I8" s="149"/>
      <c r="J8" s="11">
        <v>4</v>
      </c>
      <c r="K8" s="12"/>
      <c r="L8" s="151"/>
      <c r="M8" s="248"/>
      <c r="N8" s="248"/>
    </row>
    <row r="9" spans="1:14" ht="16.8" customHeight="1" x14ac:dyDescent="0.4">
      <c r="A9" s="251"/>
      <c r="B9" s="215"/>
      <c r="C9" s="98" t="s">
        <v>9</v>
      </c>
      <c r="D9" s="61" t="s">
        <v>73</v>
      </c>
      <c r="E9" s="9">
        <v>4</v>
      </c>
      <c r="F9" s="10">
        <v>4</v>
      </c>
      <c r="G9" s="97"/>
      <c r="H9" s="11"/>
      <c r="I9" s="97"/>
      <c r="J9" s="11"/>
      <c r="K9" s="12">
        <v>4</v>
      </c>
      <c r="L9" s="99"/>
      <c r="M9" s="249"/>
      <c r="N9" s="249"/>
    </row>
    <row r="10" spans="1:14" ht="16.8" customHeight="1" x14ac:dyDescent="0.4">
      <c r="A10" s="251"/>
      <c r="B10" s="214" t="s">
        <v>10</v>
      </c>
      <c r="C10" s="98" t="s">
        <v>38</v>
      </c>
      <c r="D10" s="61" t="s">
        <v>41</v>
      </c>
      <c r="E10" s="9">
        <v>4</v>
      </c>
      <c r="F10" s="10">
        <v>4</v>
      </c>
      <c r="G10" s="97">
        <v>4</v>
      </c>
      <c r="H10" s="11"/>
      <c r="I10" s="97"/>
      <c r="J10" s="11"/>
      <c r="K10" s="12"/>
      <c r="L10" s="99"/>
      <c r="M10" s="247">
        <v>20</v>
      </c>
      <c r="N10" s="247">
        <v>8</v>
      </c>
    </row>
    <row r="11" spans="1:14" ht="16.8" customHeight="1" x14ac:dyDescent="0.4">
      <c r="A11" s="251"/>
      <c r="B11" s="230"/>
      <c r="C11" s="98" t="s">
        <v>38</v>
      </c>
      <c r="D11" s="61" t="s">
        <v>57</v>
      </c>
      <c r="E11" s="9">
        <v>4</v>
      </c>
      <c r="F11" s="10">
        <v>4</v>
      </c>
      <c r="G11" s="97"/>
      <c r="H11" s="11">
        <v>4</v>
      </c>
      <c r="I11" s="97"/>
      <c r="J11" s="11"/>
      <c r="K11" s="12"/>
      <c r="L11" s="99"/>
      <c r="M11" s="248"/>
      <c r="N11" s="248"/>
    </row>
    <row r="12" spans="1:14" ht="16.8" customHeight="1" x14ac:dyDescent="0.4">
      <c r="A12" s="251"/>
      <c r="B12" s="230"/>
      <c r="C12" s="150" t="s">
        <v>138</v>
      </c>
      <c r="D12" s="61" t="s">
        <v>139</v>
      </c>
      <c r="E12" s="9">
        <v>4</v>
      </c>
      <c r="F12" s="10">
        <v>4</v>
      </c>
      <c r="G12" s="149"/>
      <c r="H12" s="11"/>
      <c r="I12" s="149">
        <v>4</v>
      </c>
      <c r="J12" s="11"/>
      <c r="K12" s="12"/>
      <c r="L12" s="151"/>
      <c r="M12" s="248"/>
      <c r="N12" s="248"/>
    </row>
    <row r="13" spans="1:14" ht="16.8" customHeight="1" x14ac:dyDescent="0.4">
      <c r="A13" s="251"/>
      <c r="B13" s="230"/>
      <c r="C13" s="150" t="s">
        <v>138</v>
      </c>
      <c r="D13" s="61" t="s">
        <v>140</v>
      </c>
      <c r="E13" s="9">
        <v>4</v>
      </c>
      <c r="F13" s="10">
        <v>4</v>
      </c>
      <c r="G13" s="149"/>
      <c r="H13" s="11"/>
      <c r="I13" s="149"/>
      <c r="J13" s="11">
        <v>4</v>
      </c>
      <c r="K13" s="12"/>
      <c r="L13" s="151"/>
      <c r="M13" s="248"/>
      <c r="N13" s="248"/>
    </row>
    <row r="14" spans="1:14" ht="16.8" customHeight="1" x14ac:dyDescent="0.4">
      <c r="A14" s="251"/>
      <c r="B14" s="215"/>
      <c r="C14" s="98" t="s">
        <v>9</v>
      </c>
      <c r="D14" s="61" t="s">
        <v>95</v>
      </c>
      <c r="E14" s="9">
        <v>4</v>
      </c>
      <c r="F14" s="10">
        <v>4</v>
      </c>
      <c r="G14" s="97"/>
      <c r="H14" s="11"/>
      <c r="I14" s="97"/>
      <c r="J14" s="11">
        <v>4</v>
      </c>
      <c r="K14" s="12"/>
      <c r="L14" s="99"/>
      <c r="M14" s="249"/>
      <c r="N14" s="249"/>
    </row>
    <row r="15" spans="1:14" ht="16.8" customHeight="1" x14ac:dyDescent="0.4">
      <c r="A15" s="251"/>
      <c r="B15" s="214" t="s">
        <v>11</v>
      </c>
      <c r="C15" s="98" t="s">
        <v>38</v>
      </c>
      <c r="D15" s="61" t="s">
        <v>42</v>
      </c>
      <c r="E15" s="9">
        <v>4</v>
      </c>
      <c r="F15" s="10">
        <v>4</v>
      </c>
      <c r="G15" s="97">
        <v>4</v>
      </c>
      <c r="H15" s="11"/>
      <c r="I15" s="97"/>
      <c r="J15" s="11"/>
      <c r="K15" s="12"/>
      <c r="L15" s="99"/>
      <c r="M15" s="247">
        <v>16</v>
      </c>
      <c r="N15" s="247">
        <v>8</v>
      </c>
    </row>
    <row r="16" spans="1:14" ht="16.8" customHeight="1" x14ac:dyDescent="0.4">
      <c r="A16" s="251"/>
      <c r="B16" s="230"/>
      <c r="C16" s="98" t="s">
        <v>38</v>
      </c>
      <c r="D16" s="61" t="s">
        <v>43</v>
      </c>
      <c r="E16" s="9">
        <v>4</v>
      </c>
      <c r="F16" s="10">
        <v>4</v>
      </c>
      <c r="G16" s="97"/>
      <c r="H16" s="11">
        <v>4</v>
      </c>
      <c r="I16" s="97"/>
      <c r="J16" s="11"/>
      <c r="K16" s="12"/>
      <c r="L16" s="99"/>
      <c r="M16" s="248"/>
      <c r="N16" s="248"/>
    </row>
    <row r="17" spans="1:14" ht="16.8" customHeight="1" x14ac:dyDescent="0.4">
      <c r="A17" s="251"/>
      <c r="B17" s="230"/>
      <c r="C17" s="150" t="s">
        <v>138</v>
      </c>
      <c r="D17" s="61" t="s">
        <v>141</v>
      </c>
      <c r="E17" s="9">
        <v>4</v>
      </c>
      <c r="F17" s="10">
        <v>4</v>
      </c>
      <c r="G17" s="149"/>
      <c r="H17" s="11"/>
      <c r="I17" s="149">
        <v>4</v>
      </c>
      <c r="J17" s="11"/>
      <c r="K17" s="12"/>
      <c r="L17" s="151"/>
      <c r="M17" s="248"/>
      <c r="N17" s="248"/>
    </row>
    <row r="18" spans="1:14" ht="16.8" customHeight="1" x14ac:dyDescent="0.4">
      <c r="A18" s="251"/>
      <c r="B18" s="215"/>
      <c r="C18" s="98" t="s">
        <v>9</v>
      </c>
      <c r="D18" s="61" t="s">
        <v>34</v>
      </c>
      <c r="E18" s="9">
        <v>4</v>
      </c>
      <c r="F18" s="10">
        <v>4</v>
      </c>
      <c r="G18" s="97"/>
      <c r="H18" s="11"/>
      <c r="I18" s="97"/>
      <c r="J18" s="11">
        <v>4</v>
      </c>
      <c r="K18" s="12"/>
      <c r="L18" s="99"/>
      <c r="M18" s="249"/>
      <c r="N18" s="249"/>
    </row>
    <row r="19" spans="1:14" ht="16.8" customHeight="1" x14ac:dyDescent="0.4">
      <c r="A19" s="251"/>
      <c r="B19" s="214" t="s">
        <v>20</v>
      </c>
      <c r="C19" s="98" t="s">
        <v>38</v>
      </c>
      <c r="D19" s="8" t="s">
        <v>44</v>
      </c>
      <c r="E19" s="9">
        <v>3</v>
      </c>
      <c r="F19" s="10">
        <v>3</v>
      </c>
      <c r="G19" s="97">
        <v>3</v>
      </c>
      <c r="H19" s="11"/>
      <c r="I19" s="97"/>
      <c r="J19" s="11"/>
      <c r="K19" s="12"/>
      <c r="L19" s="99"/>
      <c r="M19" s="247">
        <v>6</v>
      </c>
      <c r="N19" s="244">
        <v>6</v>
      </c>
    </row>
    <row r="20" spans="1:14" ht="16.8" customHeight="1" x14ac:dyDescent="0.4">
      <c r="A20" s="251"/>
      <c r="B20" s="230"/>
      <c r="C20" s="98" t="s">
        <v>38</v>
      </c>
      <c r="D20" s="8" t="s">
        <v>45</v>
      </c>
      <c r="E20" s="9">
        <v>3</v>
      </c>
      <c r="F20" s="10">
        <v>3</v>
      </c>
      <c r="G20" s="97"/>
      <c r="H20" s="11">
        <v>3</v>
      </c>
      <c r="I20" s="97"/>
      <c r="J20" s="11"/>
      <c r="K20" s="12"/>
      <c r="L20" s="99"/>
      <c r="M20" s="249"/>
      <c r="N20" s="246"/>
    </row>
    <row r="21" spans="1:14" ht="16.8" customHeight="1" x14ac:dyDescent="0.4">
      <c r="A21" s="251"/>
      <c r="B21" s="230"/>
      <c r="C21" s="98" t="s">
        <v>38</v>
      </c>
      <c r="D21" s="8" t="s">
        <v>46</v>
      </c>
      <c r="E21" s="9">
        <v>4</v>
      </c>
      <c r="F21" s="10">
        <v>4</v>
      </c>
      <c r="G21" s="97">
        <v>4</v>
      </c>
      <c r="H21" s="11"/>
      <c r="I21" s="97"/>
      <c r="J21" s="11"/>
      <c r="K21" s="12"/>
      <c r="L21" s="99"/>
      <c r="M21" s="247">
        <v>8</v>
      </c>
      <c r="N21" s="244">
        <v>8</v>
      </c>
    </row>
    <row r="22" spans="1:14" ht="16.8" customHeight="1" x14ac:dyDescent="0.4">
      <c r="A22" s="251"/>
      <c r="B22" s="215"/>
      <c r="C22" s="98" t="s">
        <v>38</v>
      </c>
      <c r="D22" s="8" t="s">
        <v>47</v>
      </c>
      <c r="E22" s="9">
        <v>4</v>
      </c>
      <c r="F22" s="10">
        <v>4</v>
      </c>
      <c r="G22" s="97"/>
      <c r="H22" s="11">
        <v>4</v>
      </c>
      <c r="I22" s="97"/>
      <c r="J22" s="11"/>
      <c r="K22" s="12"/>
      <c r="L22" s="99"/>
      <c r="M22" s="249"/>
      <c r="N22" s="246"/>
    </row>
    <row r="23" spans="1:14" ht="16.8" customHeight="1" x14ac:dyDescent="0.4">
      <c r="A23" s="251"/>
      <c r="B23" s="214" t="s">
        <v>12</v>
      </c>
      <c r="C23" s="98" t="s">
        <v>38</v>
      </c>
      <c r="D23" s="8" t="s">
        <v>48</v>
      </c>
      <c r="E23" s="9">
        <v>4</v>
      </c>
      <c r="F23" s="10">
        <v>4</v>
      </c>
      <c r="G23" s="97">
        <v>4</v>
      </c>
      <c r="H23" s="11"/>
      <c r="I23" s="97"/>
      <c r="J23" s="11"/>
      <c r="K23" s="12"/>
      <c r="L23" s="99"/>
      <c r="M23" s="247">
        <v>10</v>
      </c>
      <c r="N23" s="244">
        <v>10</v>
      </c>
    </row>
    <row r="24" spans="1:14" ht="16.8" customHeight="1" x14ac:dyDescent="0.4">
      <c r="A24" s="251"/>
      <c r="B24" s="230"/>
      <c r="C24" s="98" t="s">
        <v>38</v>
      </c>
      <c r="D24" s="8" t="s">
        <v>49</v>
      </c>
      <c r="E24" s="9">
        <v>4</v>
      </c>
      <c r="F24" s="10">
        <v>4</v>
      </c>
      <c r="G24" s="97"/>
      <c r="H24" s="11">
        <v>4</v>
      </c>
      <c r="I24" s="97"/>
      <c r="J24" s="11"/>
      <c r="K24" s="12"/>
      <c r="L24" s="99"/>
      <c r="M24" s="248"/>
      <c r="N24" s="245"/>
    </row>
    <row r="25" spans="1:14" ht="16.8" customHeight="1" x14ac:dyDescent="0.4">
      <c r="A25" s="251"/>
      <c r="B25" s="230"/>
      <c r="C25" s="98" t="s">
        <v>38</v>
      </c>
      <c r="D25" s="8" t="s">
        <v>50</v>
      </c>
      <c r="E25" s="9">
        <v>1</v>
      </c>
      <c r="F25" s="10">
        <v>1</v>
      </c>
      <c r="G25" s="97">
        <v>1</v>
      </c>
      <c r="H25" s="11"/>
      <c r="I25" s="97"/>
      <c r="J25" s="11"/>
      <c r="K25" s="12"/>
      <c r="L25" s="99"/>
      <c r="M25" s="248"/>
      <c r="N25" s="245"/>
    </row>
    <row r="26" spans="1:14" ht="16.8" customHeight="1" x14ac:dyDescent="0.4">
      <c r="A26" s="251"/>
      <c r="B26" s="215"/>
      <c r="C26" s="98" t="s">
        <v>38</v>
      </c>
      <c r="D26" s="8" t="s">
        <v>51</v>
      </c>
      <c r="E26" s="9">
        <v>1</v>
      </c>
      <c r="F26" s="10">
        <v>1</v>
      </c>
      <c r="G26" s="97"/>
      <c r="H26" s="11">
        <v>1</v>
      </c>
      <c r="I26" s="97"/>
      <c r="J26" s="11"/>
      <c r="K26" s="12"/>
      <c r="L26" s="99"/>
      <c r="M26" s="249"/>
      <c r="N26" s="246"/>
    </row>
    <row r="27" spans="1:14" ht="16.8" customHeight="1" x14ac:dyDescent="0.4">
      <c r="A27" s="251"/>
      <c r="B27" s="214" t="s">
        <v>13</v>
      </c>
      <c r="C27" s="98" t="s">
        <v>25</v>
      </c>
      <c r="D27" s="8" t="s">
        <v>52</v>
      </c>
      <c r="E27" s="9">
        <v>3</v>
      </c>
      <c r="F27" s="10">
        <v>2</v>
      </c>
      <c r="G27" s="13">
        <v>2</v>
      </c>
      <c r="H27" s="14"/>
      <c r="I27" s="13"/>
      <c r="J27" s="14"/>
      <c r="K27" s="15"/>
      <c r="L27" s="16"/>
      <c r="M27" s="216">
        <v>10</v>
      </c>
      <c r="N27" s="244">
        <v>10</v>
      </c>
    </row>
    <row r="28" spans="1:14" ht="16.8" customHeight="1" x14ac:dyDescent="0.4">
      <c r="A28" s="251"/>
      <c r="B28" s="230"/>
      <c r="C28" s="98" t="s">
        <v>25</v>
      </c>
      <c r="D28" s="8" t="s">
        <v>53</v>
      </c>
      <c r="E28" s="9">
        <v>3</v>
      </c>
      <c r="F28" s="10">
        <v>2</v>
      </c>
      <c r="G28" s="13"/>
      <c r="H28" s="14">
        <v>2</v>
      </c>
      <c r="I28" s="13"/>
      <c r="J28" s="14"/>
      <c r="K28" s="15"/>
      <c r="L28" s="16"/>
      <c r="M28" s="210"/>
      <c r="N28" s="245"/>
    </row>
    <row r="29" spans="1:14" ht="16.8" customHeight="1" x14ac:dyDescent="0.4">
      <c r="A29" s="251"/>
      <c r="B29" s="230"/>
      <c r="C29" s="98" t="s">
        <v>58</v>
      </c>
      <c r="D29" s="8" t="s">
        <v>59</v>
      </c>
      <c r="E29" s="9">
        <v>3</v>
      </c>
      <c r="F29" s="10">
        <v>2</v>
      </c>
      <c r="G29" s="13"/>
      <c r="H29" s="14"/>
      <c r="I29" s="13">
        <v>2</v>
      </c>
      <c r="J29" s="14"/>
      <c r="K29" s="15"/>
      <c r="L29" s="16"/>
      <c r="M29" s="210"/>
      <c r="N29" s="245"/>
    </row>
    <row r="30" spans="1:14" ht="16.8" customHeight="1" x14ac:dyDescent="0.4">
      <c r="A30" s="251"/>
      <c r="B30" s="230"/>
      <c r="C30" s="98" t="s">
        <v>58</v>
      </c>
      <c r="D30" s="8" t="s">
        <v>60</v>
      </c>
      <c r="E30" s="9">
        <v>3</v>
      </c>
      <c r="F30" s="10">
        <v>2</v>
      </c>
      <c r="G30" s="13"/>
      <c r="H30" s="14"/>
      <c r="I30" s="13"/>
      <c r="J30" s="14">
        <v>2</v>
      </c>
      <c r="K30" s="15"/>
      <c r="L30" s="16"/>
      <c r="M30" s="210"/>
      <c r="N30" s="245"/>
    </row>
    <row r="31" spans="1:14" ht="16.8" customHeight="1" x14ac:dyDescent="0.4">
      <c r="A31" s="251"/>
      <c r="B31" s="230"/>
      <c r="C31" s="98" t="s">
        <v>23</v>
      </c>
      <c r="D31" s="8" t="s">
        <v>61</v>
      </c>
      <c r="E31" s="9">
        <v>2</v>
      </c>
      <c r="F31" s="10">
        <v>1</v>
      </c>
      <c r="G31" s="13"/>
      <c r="H31" s="14"/>
      <c r="I31" s="13"/>
      <c r="J31" s="14"/>
      <c r="K31" s="15">
        <v>1</v>
      </c>
      <c r="L31" s="16"/>
      <c r="M31" s="210"/>
      <c r="N31" s="245"/>
    </row>
    <row r="32" spans="1:14" ht="16.8" customHeight="1" x14ac:dyDescent="0.4">
      <c r="A32" s="251"/>
      <c r="B32" s="230"/>
      <c r="C32" s="98" t="s">
        <v>14</v>
      </c>
      <c r="D32" s="8" t="s">
        <v>62</v>
      </c>
      <c r="E32" s="9">
        <v>2</v>
      </c>
      <c r="F32" s="10">
        <v>1</v>
      </c>
      <c r="G32" s="13"/>
      <c r="H32" s="14"/>
      <c r="I32" s="13"/>
      <c r="J32" s="14"/>
      <c r="K32" s="15"/>
      <c r="L32" s="16">
        <v>1</v>
      </c>
      <c r="M32" s="210"/>
      <c r="N32" s="245"/>
    </row>
    <row r="33" spans="1:14" ht="16.8" customHeight="1" x14ac:dyDescent="0.4">
      <c r="A33" s="251"/>
      <c r="B33" s="214" t="s">
        <v>15</v>
      </c>
      <c r="C33" s="98" t="s">
        <v>9</v>
      </c>
      <c r="D33" s="8" t="s">
        <v>16</v>
      </c>
      <c r="E33" s="9">
        <v>3</v>
      </c>
      <c r="F33" s="10">
        <v>2</v>
      </c>
      <c r="G33" s="234" t="s">
        <v>54</v>
      </c>
      <c r="H33" s="235"/>
      <c r="I33" s="13"/>
      <c r="J33" s="14"/>
      <c r="K33" s="15"/>
      <c r="L33" s="16"/>
      <c r="M33" s="252">
        <v>4</v>
      </c>
      <c r="N33" s="244">
        <v>10</v>
      </c>
    </row>
    <row r="34" spans="1:14" ht="16.8" customHeight="1" x14ac:dyDescent="0.4">
      <c r="A34" s="251"/>
      <c r="B34" s="230"/>
      <c r="C34" s="98" t="s">
        <v>9</v>
      </c>
      <c r="D34" s="8" t="s">
        <v>17</v>
      </c>
      <c r="E34" s="9">
        <v>3</v>
      </c>
      <c r="F34" s="10">
        <v>2</v>
      </c>
      <c r="G34" s="17">
        <v>2</v>
      </c>
      <c r="H34" s="231">
        <v>4</v>
      </c>
      <c r="I34" s="13"/>
      <c r="J34" s="14"/>
      <c r="K34" s="15"/>
      <c r="L34" s="16"/>
      <c r="M34" s="253"/>
      <c r="N34" s="245"/>
    </row>
    <row r="35" spans="1:14" ht="16.8" customHeight="1" x14ac:dyDescent="0.4">
      <c r="A35" s="251"/>
      <c r="B35" s="97" t="s">
        <v>31</v>
      </c>
      <c r="C35" s="88" t="s">
        <v>9</v>
      </c>
      <c r="D35" s="18" t="s">
        <v>31</v>
      </c>
      <c r="E35" s="111">
        <v>4</v>
      </c>
      <c r="F35" s="19">
        <v>4</v>
      </c>
      <c r="G35" s="107">
        <v>2</v>
      </c>
      <c r="H35" s="232"/>
      <c r="I35" s="86"/>
      <c r="J35" s="92"/>
      <c r="K35" s="20"/>
      <c r="L35" s="21"/>
      <c r="M35" s="216">
        <v>6</v>
      </c>
      <c r="N35" s="247">
        <v>16</v>
      </c>
    </row>
    <row r="36" spans="1:14" ht="16.8" customHeight="1" x14ac:dyDescent="0.4">
      <c r="A36" s="251"/>
      <c r="B36" s="214" t="s">
        <v>18</v>
      </c>
      <c r="C36" s="88" t="s">
        <v>23</v>
      </c>
      <c r="D36" s="57" t="s">
        <v>93</v>
      </c>
      <c r="E36" s="91">
        <v>2</v>
      </c>
      <c r="F36" s="58">
        <v>1</v>
      </c>
      <c r="G36" s="123">
        <v>1</v>
      </c>
      <c r="H36" s="124"/>
      <c r="I36" s="86"/>
      <c r="J36" s="92"/>
      <c r="K36" s="20"/>
      <c r="L36" s="21"/>
      <c r="M36" s="210"/>
      <c r="N36" s="248"/>
    </row>
    <row r="37" spans="1:14" ht="16.8" customHeight="1" thickBot="1" x14ac:dyDescent="0.45">
      <c r="A37" s="251"/>
      <c r="B37" s="233"/>
      <c r="C37" s="114" t="s">
        <v>23</v>
      </c>
      <c r="D37" s="57" t="s">
        <v>94</v>
      </c>
      <c r="E37" s="91">
        <v>2</v>
      </c>
      <c r="F37" s="58">
        <v>1</v>
      </c>
      <c r="G37" s="125"/>
      <c r="H37" s="124">
        <v>1</v>
      </c>
      <c r="I37" s="86"/>
      <c r="J37" s="92"/>
      <c r="K37" s="20"/>
      <c r="L37" s="21"/>
      <c r="M37" s="210"/>
      <c r="N37" s="248"/>
    </row>
    <row r="38" spans="1:14" ht="19.8" customHeight="1" thickTop="1" x14ac:dyDescent="0.4">
      <c r="A38" s="206" t="s">
        <v>19</v>
      </c>
      <c r="B38" s="22" t="s">
        <v>128</v>
      </c>
      <c r="C38" s="23" t="s">
        <v>23</v>
      </c>
      <c r="D38" s="24" t="s">
        <v>145</v>
      </c>
      <c r="E38" s="25">
        <v>4</v>
      </c>
      <c r="F38" s="26">
        <v>4</v>
      </c>
      <c r="G38" s="27"/>
      <c r="H38" s="28"/>
      <c r="I38" s="29" t="s">
        <v>119</v>
      </c>
      <c r="J38" s="30"/>
      <c r="K38" s="31"/>
      <c r="L38" s="32"/>
      <c r="M38" s="209">
        <v>12</v>
      </c>
      <c r="N38" s="33"/>
    </row>
    <row r="39" spans="1:14" ht="19.8" customHeight="1" x14ac:dyDescent="0.4">
      <c r="A39" s="207"/>
      <c r="B39" s="214" t="s">
        <v>20</v>
      </c>
      <c r="C39" s="98" t="s">
        <v>9</v>
      </c>
      <c r="D39" s="8" t="s">
        <v>64</v>
      </c>
      <c r="E39" s="9">
        <v>4</v>
      </c>
      <c r="F39" s="10">
        <v>4</v>
      </c>
      <c r="G39" s="13"/>
      <c r="H39" s="14"/>
      <c r="I39" s="212" t="s">
        <v>146</v>
      </c>
      <c r="J39" s="34"/>
      <c r="K39" s="15"/>
      <c r="L39" s="16"/>
      <c r="M39" s="210"/>
      <c r="N39" s="35"/>
    </row>
    <row r="40" spans="1:14" ht="19.8" customHeight="1" x14ac:dyDescent="0.4">
      <c r="A40" s="207"/>
      <c r="B40" s="215"/>
      <c r="C40" s="98" t="s">
        <v>14</v>
      </c>
      <c r="D40" s="8" t="s">
        <v>65</v>
      </c>
      <c r="E40" s="9">
        <v>4</v>
      </c>
      <c r="F40" s="10">
        <v>4</v>
      </c>
      <c r="G40" s="13"/>
      <c r="H40" s="14"/>
      <c r="I40" s="212"/>
      <c r="J40" s="34"/>
      <c r="K40" s="15"/>
      <c r="L40" s="16"/>
      <c r="M40" s="210"/>
      <c r="N40" s="35"/>
    </row>
    <row r="41" spans="1:14" ht="19.8" customHeight="1" x14ac:dyDescent="0.4">
      <c r="A41" s="207"/>
      <c r="B41" s="97" t="s">
        <v>12</v>
      </c>
      <c r="C41" s="98" t="s">
        <v>9</v>
      </c>
      <c r="D41" s="8" t="s">
        <v>91</v>
      </c>
      <c r="E41" s="9">
        <v>4</v>
      </c>
      <c r="F41" s="10">
        <v>4</v>
      </c>
      <c r="G41" s="13"/>
      <c r="H41" s="14"/>
      <c r="I41" s="213"/>
      <c r="J41" s="34"/>
      <c r="K41" s="15"/>
      <c r="L41" s="16"/>
      <c r="M41" s="211"/>
      <c r="N41" s="35"/>
    </row>
    <row r="42" spans="1:14" ht="19.8" hidden="1" customHeight="1" x14ac:dyDescent="0.4">
      <c r="A42" s="207"/>
      <c r="B42" s="105" t="s">
        <v>15</v>
      </c>
      <c r="C42" s="113" t="s">
        <v>14</v>
      </c>
      <c r="D42" s="36" t="s">
        <v>66</v>
      </c>
      <c r="E42" s="109">
        <v>3</v>
      </c>
      <c r="F42" s="37">
        <v>4</v>
      </c>
      <c r="G42" s="13"/>
      <c r="H42" s="14"/>
      <c r="I42" s="38" t="s">
        <v>21</v>
      </c>
      <c r="J42" s="39" t="s">
        <v>21</v>
      </c>
      <c r="K42" s="15"/>
      <c r="L42" s="16"/>
      <c r="M42" s="115">
        <v>4</v>
      </c>
      <c r="N42" s="35"/>
    </row>
    <row r="43" spans="1:14" ht="19.8" hidden="1" customHeight="1" x14ac:dyDescent="0.4">
      <c r="A43" s="207"/>
      <c r="B43" s="97" t="s">
        <v>22</v>
      </c>
      <c r="C43" s="98" t="s">
        <v>9</v>
      </c>
      <c r="D43" s="8" t="s">
        <v>67</v>
      </c>
      <c r="E43" s="9">
        <v>4</v>
      </c>
      <c r="F43" s="10">
        <v>4</v>
      </c>
      <c r="G43" s="110"/>
      <c r="H43" s="106"/>
      <c r="I43" s="40">
        <v>4</v>
      </c>
      <c r="J43" s="41">
        <v>4</v>
      </c>
      <c r="K43" s="42"/>
      <c r="L43" s="43"/>
      <c r="M43" s="103">
        <v>4</v>
      </c>
      <c r="N43" s="108"/>
    </row>
    <row r="44" spans="1:14" ht="19.8" customHeight="1" x14ac:dyDescent="0.4">
      <c r="A44" s="207"/>
      <c r="B44" s="214" t="s">
        <v>147</v>
      </c>
      <c r="C44" s="98" t="s">
        <v>25</v>
      </c>
      <c r="D44" s="8" t="s">
        <v>142</v>
      </c>
      <c r="E44" s="9">
        <v>4</v>
      </c>
      <c r="F44" s="10">
        <v>4</v>
      </c>
      <c r="G44" s="13"/>
      <c r="H44" s="14"/>
      <c r="I44" s="44"/>
      <c r="J44" s="34" t="s">
        <v>36</v>
      </c>
      <c r="K44" s="15"/>
      <c r="L44" s="16"/>
      <c r="M44" s="216">
        <v>8</v>
      </c>
      <c r="N44" s="35"/>
    </row>
    <row r="45" spans="1:14" ht="19.8" customHeight="1" x14ac:dyDescent="0.4">
      <c r="A45" s="207"/>
      <c r="B45" s="215"/>
      <c r="C45" s="98" t="s">
        <v>23</v>
      </c>
      <c r="D45" s="8" t="s">
        <v>143</v>
      </c>
      <c r="E45" s="9">
        <v>4</v>
      </c>
      <c r="F45" s="10">
        <v>4</v>
      </c>
      <c r="G45" s="13"/>
      <c r="H45" s="14"/>
      <c r="I45" s="44"/>
      <c r="J45" s="217" t="s">
        <v>149</v>
      </c>
      <c r="K45" s="15"/>
      <c r="L45" s="16"/>
      <c r="M45" s="210"/>
      <c r="N45" s="35"/>
    </row>
    <row r="46" spans="1:14" ht="31.2" customHeight="1" thickBot="1" x14ac:dyDescent="0.45">
      <c r="A46" s="207"/>
      <c r="B46" s="97" t="s">
        <v>148</v>
      </c>
      <c r="C46" s="98" t="s">
        <v>23</v>
      </c>
      <c r="D46" s="8" t="s">
        <v>144</v>
      </c>
      <c r="E46" s="9">
        <v>4</v>
      </c>
      <c r="F46" s="10">
        <v>4</v>
      </c>
      <c r="G46" s="13"/>
      <c r="H46" s="14"/>
      <c r="I46" s="44"/>
      <c r="J46" s="218"/>
      <c r="K46" s="15"/>
      <c r="L46" s="16"/>
      <c r="M46" s="210"/>
      <c r="N46" s="35"/>
    </row>
    <row r="47" spans="1:14" ht="19.2" customHeight="1" x14ac:dyDescent="0.4">
      <c r="A47" s="207"/>
      <c r="B47" s="187" t="s">
        <v>8</v>
      </c>
      <c r="C47" s="95" t="s">
        <v>77</v>
      </c>
      <c r="D47" s="48" t="s">
        <v>152</v>
      </c>
      <c r="E47" s="49">
        <v>4</v>
      </c>
      <c r="F47" s="50">
        <v>4</v>
      </c>
      <c r="G47" s="51"/>
      <c r="H47" s="52"/>
      <c r="I47" s="53"/>
      <c r="J47" s="54"/>
      <c r="K47" s="55" t="s">
        <v>92</v>
      </c>
      <c r="L47" s="52"/>
      <c r="M47" s="227">
        <v>20</v>
      </c>
      <c r="N47" s="56"/>
    </row>
    <row r="48" spans="1:14" ht="19.2" customHeight="1" x14ac:dyDescent="0.4">
      <c r="A48" s="207"/>
      <c r="B48" s="105" t="s">
        <v>10</v>
      </c>
      <c r="C48" s="98" t="s">
        <v>14</v>
      </c>
      <c r="D48" s="61" t="s">
        <v>100</v>
      </c>
      <c r="E48" s="91">
        <v>4</v>
      </c>
      <c r="F48" s="58">
        <v>4</v>
      </c>
      <c r="G48" s="13"/>
      <c r="H48" s="14"/>
      <c r="I48" s="44"/>
      <c r="J48" s="34"/>
      <c r="K48" s="228" t="s">
        <v>153</v>
      </c>
      <c r="L48" s="14"/>
      <c r="M48" s="210"/>
      <c r="N48" s="35"/>
    </row>
    <row r="49" spans="1:14" ht="19.2" customHeight="1" x14ac:dyDescent="0.4">
      <c r="A49" s="207"/>
      <c r="B49" s="97" t="s">
        <v>11</v>
      </c>
      <c r="C49" s="98" t="s">
        <v>9</v>
      </c>
      <c r="D49" s="61" t="s">
        <v>74</v>
      </c>
      <c r="E49" s="91">
        <v>4</v>
      </c>
      <c r="F49" s="58">
        <v>4</v>
      </c>
      <c r="G49" s="13"/>
      <c r="H49" s="14"/>
      <c r="I49" s="44"/>
      <c r="J49" s="34"/>
      <c r="K49" s="228"/>
      <c r="L49" s="14"/>
      <c r="M49" s="210"/>
      <c r="N49" s="35"/>
    </row>
    <row r="50" spans="1:14" ht="21" customHeight="1" x14ac:dyDescent="0.4">
      <c r="A50" s="207"/>
      <c r="B50" s="214" t="s">
        <v>20</v>
      </c>
      <c r="C50" s="98" t="s">
        <v>14</v>
      </c>
      <c r="D50" s="62" t="s">
        <v>99</v>
      </c>
      <c r="E50" s="91">
        <v>4</v>
      </c>
      <c r="F50" s="58">
        <v>4</v>
      </c>
      <c r="G50" s="13"/>
      <c r="H50" s="14"/>
      <c r="I50" s="44"/>
      <c r="J50" s="34"/>
      <c r="K50" s="228"/>
      <c r="L50" s="14"/>
      <c r="M50" s="210"/>
      <c r="N50" s="35"/>
    </row>
    <row r="51" spans="1:14" ht="32.4" customHeight="1" x14ac:dyDescent="0.4">
      <c r="A51" s="207"/>
      <c r="B51" s="215"/>
      <c r="C51" s="98" t="s">
        <v>58</v>
      </c>
      <c r="D51" s="62" t="s">
        <v>98</v>
      </c>
      <c r="E51" s="91">
        <v>4</v>
      </c>
      <c r="F51" s="58">
        <v>4</v>
      </c>
      <c r="G51" s="13"/>
      <c r="H51" s="14"/>
      <c r="I51" s="44"/>
      <c r="J51" s="34"/>
      <c r="K51" s="228"/>
      <c r="L51" s="14"/>
      <c r="M51" s="210"/>
      <c r="N51" s="35"/>
    </row>
    <row r="52" spans="1:14" ht="32.4" customHeight="1" x14ac:dyDescent="0.4">
      <c r="A52" s="207"/>
      <c r="B52" s="97" t="s">
        <v>12</v>
      </c>
      <c r="C52" s="98" t="s">
        <v>23</v>
      </c>
      <c r="D52" s="62" t="s">
        <v>75</v>
      </c>
      <c r="E52" s="63">
        <v>4</v>
      </c>
      <c r="F52" s="64">
        <v>4</v>
      </c>
      <c r="G52" s="13"/>
      <c r="H52" s="14"/>
      <c r="I52" s="44"/>
      <c r="J52" s="34"/>
      <c r="K52" s="228"/>
      <c r="L52" s="14"/>
      <c r="M52" s="210"/>
      <c r="N52" s="35"/>
    </row>
    <row r="53" spans="1:14" ht="19.8" customHeight="1" x14ac:dyDescent="0.4">
      <c r="A53" s="207"/>
      <c r="B53" s="97" t="s">
        <v>76</v>
      </c>
      <c r="C53" s="65" t="s">
        <v>77</v>
      </c>
      <c r="D53" s="61" t="s">
        <v>78</v>
      </c>
      <c r="E53" s="90">
        <v>3</v>
      </c>
      <c r="F53" s="66">
        <v>2</v>
      </c>
      <c r="G53" s="13"/>
      <c r="H53" s="14"/>
      <c r="I53" s="13"/>
      <c r="J53" s="14"/>
      <c r="K53" s="67" t="s">
        <v>21</v>
      </c>
      <c r="L53" s="68" t="s">
        <v>21</v>
      </c>
      <c r="M53" s="102">
        <v>2</v>
      </c>
      <c r="N53" s="35"/>
    </row>
    <row r="54" spans="1:14" ht="19.8" customHeight="1" x14ac:dyDescent="0.4">
      <c r="A54" s="207"/>
      <c r="B54" s="241" t="s">
        <v>18</v>
      </c>
      <c r="C54" s="65" t="s">
        <v>9</v>
      </c>
      <c r="D54" s="61" t="s">
        <v>79</v>
      </c>
      <c r="E54" s="90">
        <v>3</v>
      </c>
      <c r="F54" s="66">
        <v>2</v>
      </c>
      <c r="G54" s="13"/>
      <c r="H54" s="14"/>
      <c r="I54" s="13"/>
      <c r="J54" s="14"/>
      <c r="K54" s="203">
        <v>2</v>
      </c>
      <c r="L54" s="236">
        <v>2</v>
      </c>
      <c r="M54" s="216">
        <v>2</v>
      </c>
      <c r="N54" s="35"/>
    </row>
    <row r="55" spans="1:14" ht="19.8" customHeight="1" x14ac:dyDescent="0.4">
      <c r="A55" s="207"/>
      <c r="B55" s="242"/>
      <c r="C55" s="65" t="s">
        <v>14</v>
      </c>
      <c r="D55" s="61" t="s">
        <v>80</v>
      </c>
      <c r="E55" s="90">
        <v>3</v>
      </c>
      <c r="F55" s="66">
        <v>2</v>
      </c>
      <c r="G55" s="13"/>
      <c r="H55" s="14"/>
      <c r="I55" s="13"/>
      <c r="J55" s="14"/>
      <c r="K55" s="204"/>
      <c r="L55" s="237"/>
      <c r="M55" s="210"/>
      <c r="N55" s="35"/>
    </row>
    <row r="56" spans="1:14" ht="29.4" customHeight="1" x14ac:dyDescent="0.4">
      <c r="A56" s="207"/>
      <c r="B56" s="243"/>
      <c r="C56" s="88" t="s">
        <v>14</v>
      </c>
      <c r="D56" s="69" t="s">
        <v>154</v>
      </c>
      <c r="E56" s="70">
        <v>3</v>
      </c>
      <c r="F56" s="90">
        <v>2</v>
      </c>
      <c r="G56" s="86"/>
      <c r="H56" s="92"/>
      <c r="I56" s="13"/>
      <c r="J56" s="92"/>
      <c r="K56" s="205"/>
      <c r="L56" s="238"/>
      <c r="M56" s="211"/>
      <c r="N56" s="35"/>
    </row>
    <row r="57" spans="1:14" ht="20.399999999999999" customHeight="1" x14ac:dyDescent="0.4">
      <c r="A57" s="207"/>
      <c r="B57" s="214" t="s">
        <v>8</v>
      </c>
      <c r="C57" s="98" t="s">
        <v>14</v>
      </c>
      <c r="D57" s="8" t="s">
        <v>81</v>
      </c>
      <c r="E57" s="9">
        <v>4</v>
      </c>
      <c r="F57" s="10">
        <v>3</v>
      </c>
      <c r="G57" s="13"/>
      <c r="H57" s="14"/>
      <c r="I57" s="44"/>
      <c r="J57" s="34"/>
      <c r="K57" s="71"/>
      <c r="L57" s="92" t="s">
        <v>63</v>
      </c>
      <c r="M57" s="216">
        <v>18</v>
      </c>
      <c r="N57" s="35"/>
    </row>
    <row r="58" spans="1:14" ht="20.399999999999999" customHeight="1" x14ac:dyDescent="0.4">
      <c r="A58" s="207"/>
      <c r="B58" s="215"/>
      <c r="C58" s="114" t="s">
        <v>58</v>
      </c>
      <c r="D58" s="18" t="s">
        <v>82</v>
      </c>
      <c r="E58" s="111">
        <v>4</v>
      </c>
      <c r="F58" s="19">
        <v>3</v>
      </c>
      <c r="G58" s="86"/>
      <c r="H58" s="92"/>
      <c r="I58" s="59"/>
      <c r="J58" s="60"/>
      <c r="K58" s="71"/>
      <c r="L58" s="239" t="s">
        <v>83</v>
      </c>
      <c r="M58" s="210"/>
      <c r="N58" s="112"/>
    </row>
    <row r="59" spans="1:14" ht="20.399999999999999" customHeight="1" x14ac:dyDescent="0.4">
      <c r="A59" s="207"/>
      <c r="B59" s="214" t="s">
        <v>10</v>
      </c>
      <c r="C59" s="114" t="s">
        <v>103</v>
      </c>
      <c r="D59" s="57" t="s">
        <v>150</v>
      </c>
      <c r="E59" s="121">
        <v>4</v>
      </c>
      <c r="F59" s="19">
        <v>3</v>
      </c>
      <c r="G59" s="86"/>
      <c r="H59" s="92"/>
      <c r="I59" s="59"/>
      <c r="J59" s="60"/>
      <c r="K59" s="71"/>
      <c r="L59" s="240"/>
      <c r="M59" s="210"/>
      <c r="N59" s="122"/>
    </row>
    <row r="60" spans="1:14" ht="20.399999999999999" customHeight="1" x14ac:dyDescent="0.4">
      <c r="A60" s="207"/>
      <c r="B60" s="215"/>
      <c r="C60" s="98" t="s">
        <v>58</v>
      </c>
      <c r="D60" s="61" t="s">
        <v>102</v>
      </c>
      <c r="E60" s="111">
        <v>4</v>
      </c>
      <c r="F60" s="19">
        <v>3</v>
      </c>
      <c r="G60" s="13"/>
      <c r="H60" s="14"/>
      <c r="I60" s="44"/>
      <c r="J60" s="34"/>
      <c r="K60" s="72"/>
      <c r="L60" s="240"/>
      <c r="M60" s="210"/>
      <c r="N60" s="35"/>
    </row>
    <row r="61" spans="1:14" ht="20.399999999999999" customHeight="1" x14ac:dyDescent="0.4">
      <c r="A61" s="207"/>
      <c r="B61" s="97" t="s">
        <v>11</v>
      </c>
      <c r="C61" s="98" t="s">
        <v>14</v>
      </c>
      <c r="D61" s="61" t="s">
        <v>151</v>
      </c>
      <c r="E61" s="111">
        <v>4</v>
      </c>
      <c r="F61" s="19">
        <v>3</v>
      </c>
      <c r="G61" s="13"/>
      <c r="H61" s="14"/>
      <c r="I61" s="44"/>
      <c r="J61" s="34"/>
      <c r="K61" s="72"/>
      <c r="L61" s="240"/>
      <c r="M61" s="210"/>
      <c r="N61" s="35"/>
    </row>
    <row r="62" spans="1:14" ht="20.399999999999999" customHeight="1" x14ac:dyDescent="0.4">
      <c r="A62" s="207"/>
      <c r="B62" s="97" t="s">
        <v>20</v>
      </c>
      <c r="C62" s="98" t="s">
        <v>58</v>
      </c>
      <c r="D62" s="8" t="s">
        <v>84</v>
      </c>
      <c r="E62" s="111">
        <v>4</v>
      </c>
      <c r="F62" s="19">
        <v>3</v>
      </c>
      <c r="G62" s="13"/>
      <c r="H62" s="14"/>
      <c r="I62" s="13"/>
      <c r="J62" s="14"/>
      <c r="K62" s="72"/>
      <c r="L62" s="240"/>
      <c r="M62" s="210"/>
      <c r="N62" s="35"/>
    </row>
    <row r="63" spans="1:14" ht="20.399999999999999" customHeight="1" x14ac:dyDescent="0.4">
      <c r="A63" s="207"/>
      <c r="B63" s="97" t="s">
        <v>12</v>
      </c>
      <c r="C63" s="98" t="s">
        <v>77</v>
      </c>
      <c r="D63" s="8" t="s">
        <v>85</v>
      </c>
      <c r="E63" s="9">
        <v>4</v>
      </c>
      <c r="F63" s="10">
        <v>3</v>
      </c>
      <c r="G63" s="13"/>
      <c r="H63" s="14"/>
      <c r="I63" s="13"/>
      <c r="J63" s="14"/>
      <c r="K63" s="72"/>
      <c r="L63" s="240"/>
      <c r="M63" s="210"/>
      <c r="N63" s="35"/>
    </row>
    <row r="64" spans="1:14" ht="20.399999999999999" customHeight="1" x14ac:dyDescent="0.4">
      <c r="A64" s="207"/>
      <c r="B64" s="214" t="s">
        <v>18</v>
      </c>
      <c r="C64" s="65" t="s">
        <v>14</v>
      </c>
      <c r="D64" s="73" t="s">
        <v>86</v>
      </c>
      <c r="E64" s="63">
        <v>3</v>
      </c>
      <c r="F64" s="63">
        <v>2</v>
      </c>
      <c r="G64" s="13"/>
      <c r="H64" s="14"/>
      <c r="I64" s="13"/>
      <c r="J64" s="14"/>
      <c r="K64" s="72"/>
      <c r="L64" s="14" t="s">
        <v>36</v>
      </c>
      <c r="M64" s="216">
        <v>4</v>
      </c>
      <c r="N64" s="35"/>
    </row>
    <row r="65" spans="1:14" ht="31.8" customHeight="1" thickBot="1" x14ac:dyDescent="0.45">
      <c r="A65" s="207"/>
      <c r="B65" s="230"/>
      <c r="C65" s="87" t="s">
        <v>58</v>
      </c>
      <c r="D65" s="89" t="s">
        <v>87</v>
      </c>
      <c r="E65" s="90">
        <v>3</v>
      </c>
      <c r="F65" s="90">
        <v>2</v>
      </c>
      <c r="G65" s="110"/>
      <c r="H65" s="106"/>
      <c r="I65" s="110"/>
      <c r="J65" s="106"/>
      <c r="K65" s="74"/>
      <c r="L65" s="106" t="s">
        <v>88</v>
      </c>
      <c r="M65" s="210"/>
      <c r="N65" s="108"/>
    </row>
    <row r="66" spans="1:14" ht="17.399999999999999" customHeight="1" x14ac:dyDescent="0.4">
      <c r="A66" s="207"/>
      <c r="B66" s="219" t="s">
        <v>12</v>
      </c>
      <c r="C66" s="75" t="s">
        <v>14</v>
      </c>
      <c r="D66" s="48" t="s">
        <v>96</v>
      </c>
      <c r="E66" s="49">
        <v>4</v>
      </c>
      <c r="F66" s="49">
        <v>3</v>
      </c>
      <c r="G66" s="51"/>
      <c r="H66" s="221" t="s">
        <v>101</v>
      </c>
      <c r="I66" s="222"/>
      <c r="J66" s="222"/>
      <c r="K66" s="222"/>
      <c r="L66" s="223"/>
      <c r="M66" s="76"/>
      <c r="N66" s="56"/>
    </row>
    <row r="67" spans="1:14" ht="17.399999999999999" customHeight="1" thickBot="1" x14ac:dyDescent="0.45">
      <c r="A67" s="208"/>
      <c r="B67" s="220"/>
      <c r="C67" s="88" t="s">
        <v>58</v>
      </c>
      <c r="D67" s="57" t="s">
        <v>97</v>
      </c>
      <c r="E67" s="93">
        <v>4</v>
      </c>
      <c r="F67" s="93">
        <v>3</v>
      </c>
      <c r="G67" s="86"/>
      <c r="H67" s="224"/>
      <c r="I67" s="225"/>
      <c r="J67" s="225"/>
      <c r="K67" s="225"/>
      <c r="L67" s="226"/>
      <c r="M67" s="104"/>
      <c r="N67" s="112"/>
    </row>
    <row r="68" spans="1:14" ht="17.399999999999999" customHeight="1" x14ac:dyDescent="0.4">
      <c r="A68" s="191" t="s">
        <v>28</v>
      </c>
      <c r="B68" s="192"/>
      <c r="C68" s="192"/>
      <c r="D68" s="192"/>
      <c r="E68" s="192"/>
      <c r="F68" s="193"/>
      <c r="G68" s="94">
        <f>SUM(G5:G37)</f>
        <v>31</v>
      </c>
      <c r="H68" s="6">
        <f>SUM(H5:H37)</f>
        <v>31</v>
      </c>
      <c r="I68" s="77">
        <f>SUM(I5:I37)+M38+I43</f>
        <v>30</v>
      </c>
      <c r="J68" s="78">
        <f>SUM(J5:J37)+J43+M44</f>
        <v>30</v>
      </c>
      <c r="K68" s="77">
        <f>SUM(K5:K37)+M47+K54</f>
        <v>27</v>
      </c>
      <c r="L68" s="78">
        <f>SUM(L5:L37)+L54+M57+M64</f>
        <v>25</v>
      </c>
      <c r="M68" s="49">
        <f>SUM(G68:L68)</f>
        <v>174</v>
      </c>
      <c r="N68" s="56"/>
    </row>
    <row r="69" spans="1:14" ht="17.399999999999999" customHeight="1" x14ac:dyDescent="0.4">
      <c r="A69" s="194" t="s">
        <v>24</v>
      </c>
      <c r="B69" s="195"/>
      <c r="C69" s="195"/>
      <c r="D69" s="195"/>
      <c r="E69" s="195"/>
      <c r="F69" s="196"/>
      <c r="G69" s="85">
        <v>2</v>
      </c>
      <c r="H69" s="118">
        <v>2</v>
      </c>
      <c r="I69" s="85">
        <v>3</v>
      </c>
      <c r="J69" s="118">
        <v>3</v>
      </c>
      <c r="K69" s="189">
        <v>4</v>
      </c>
      <c r="L69" s="190">
        <v>4</v>
      </c>
      <c r="M69" s="63">
        <f>SUM(G69:L69)</f>
        <v>18</v>
      </c>
      <c r="N69" s="35"/>
    </row>
    <row r="70" spans="1:14" ht="17.399999999999999" customHeight="1" thickBot="1" x14ac:dyDescent="0.45">
      <c r="A70" s="197" t="s">
        <v>29</v>
      </c>
      <c r="B70" s="198"/>
      <c r="C70" s="198"/>
      <c r="D70" s="198"/>
      <c r="E70" s="198"/>
      <c r="F70" s="199"/>
      <c r="G70" s="100">
        <f t="shared" ref="G70:L70" si="0">SUM(G68:G69)</f>
        <v>33</v>
      </c>
      <c r="H70" s="79">
        <f t="shared" si="0"/>
        <v>33</v>
      </c>
      <c r="I70" s="100">
        <f t="shared" si="0"/>
        <v>33</v>
      </c>
      <c r="J70" s="79">
        <f t="shared" si="0"/>
        <v>33</v>
      </c>
      <c r="K70" s="80">
        <f t="shared" si="0"/>
        <v>31</v>
      </c>
      <c r="L70" s="101">
        <f t="shared" si="0"/>
        <v>29</v>
      </c>
      <c r="M70" s="81">
        <f>SUM(M68:M69)</f>
        <v>192</v>
      </c>
      <c r="N70" s="82"/>
    </row>
    <row r="71" spans="1:14" ht="12" customHeight="1" x14ac:dyDescent="0.4"/>
    <row r="72" spans="1:14" ht="28.8" customHeight="1" x14ac:dyDescent="0.4">
      <c r="A72" s="200" t="s">
        <v>89</v>
      </c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2"/>
    </row>
    <row r="73" spans="1:14" ht="40.200000000000003" customHeight="1" x14ac:dyDescent="0.4">
      <c r="A73" s="229" t="s">
        <v>90</v>
      </c>
      <c r="B73" s="229"/>
      <c r="C73" s="229"/>
      <c r="D73" s="229"/>
      <c r="E73" s="229"/>
      <c r="F73" s="229"/>
      <c r="G73" s="229"/>
      <c r="H73" s="229"/>
      <c r="I73" s="229"/>
      <c r="J73" s="229"/>
      <c r="K73" s="229"/>
      <c r="L73" s="229"/>
      <c r="M73" s="229"/>
      <c r="N73" s="229"/>
    </row>
  </sheetData>
  <mergeCells count="68"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A5:A37"/>
    <mergeCell ref="B19:B22"/>
    <mergeCell ref="M19:M20"/>
    <mergeCell ref="N19:N20"/>
    <mergeCell ref="M21:M22"/>
    <mergeCell ref="N21:N22"/>
    <mergeCell ref="M33:M34"/>
    <mergeCell ref="N33:N34"/>
    <mergeCell ref="M35:M37"/>
    <mergeCell ref="N35:N37"/>
    <mergeCell ref="M5:M9"/>
    <mergeCell ref="N5:N9"/>
    <mergeCell ref="M10:M14"/>
    <mergeCell ref="N10:N14"/>
    <mergeCell ref="M15:M18"/>
    <mergeCell ref="N15:N18"/>
    <mergeCell ref="B54:B56"/>
    <mergeCell ref="B59:B60"/>
    <mergeCell ref="N23:N26"/>
    <mergeCell ref="B27:B32"/>
    <mergeCell ref="M27:M32"/>
    <mergeCell ref="N27:N32"/>
    <mergeCell ref="M23:M26"/>
    <mergeCell ref="B44:B45"/>
    <mergeCell ref="A73:N73"/>
    <mergeCell ref="B64:B65"/>
    <mergeCell ref="M64:M65"/>
    <mergeCell ref="B5:B9"/>
    <mergeCell ref="B10:B14"/>
    <mergeCell ref="B15:B18"/>
    <mergeCell ref="H34:H35"/>
    <mergeCell ref="B36:B37"/>
    <mergeCell ref="B33:B34"/>
    <mergeCell ref="G33:H33"/>
    <mergeCell ref="L54:L56"/>
    <mergeCell ref="M54:M56"/>
    <mergeCell ref="B57:B58"/>
    <mergeCell ref="M57:M63"/>
    <mergeCell ref="L58:L63"/>
    <mergeCell ref="B23:B26"/>
    <mergeCell ref="A68:F68"/>
    <mergeCell ref="A69:F69"/>
    <mergeCell ref="A70:F70"/>
    <mergeCell ref="A72:N72"/>
    <mergeCell ref="K54:K56"/>
    <mergeCell ref="A38:A67"/>
    <mergeCell ref="M38:M41"/>
    <mergeCell ref="I39:I41"/>
    <mergeCell ref="B39:B40"/>
    <mergeCell ref="M44:M46"/>
    <mergeCell ref="J45:J46"/>
    <mergeCell ref="B66:B67"/>
    <mergeCell ref="H66:L67"/>
    <mergeCell ref="M47:M52"/>
    <mergeCell ref="K48:K52"/>
    <mergeCell ref="B50:B51"/>
  </mergeCells>
  <phoneticPr fontId="2" type="noConversion"/>
  <pageMargins left="0.7" right="0.7" top="0.75" bottom="0.75" header="0.3" footer="0.3"/>
  <pageSetup paperSize="9" scale="5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17314-E39C-4642-B547-8E8C9116D504}">
  <sheetPr>
    <pageSetUpPr fitToPage="1"/>
  </sheetPr>
  <dimension ref="A1:N72"/>
  <sheetViews>
    <sheetView tabSelected="1" workbookViewId="0">
      <selection sqref="A1:N1"/>
    </sheetView>
  </sheetViews>
  <sheetFormatPr defaultColWidth="9" defaultRowHeight="13.8" x14ac:dyDescent="0.4"/>
  <cols>
    <col min="1" max="1" width="4.69921875" style="83" customWidth="1"/>
    <col min="2" max="2" width="13.3984375" style="84" customWidth="1"/>
    <col min="3" max="3" width="7" style="83" customWidth="1"/>
    <col min="4" max="4" width="40.69921875" style="84" customWidth="1"/>
    <col min="5" max="8" width="5.796875" style="83" customWidth="1"/>
    <col min="9" max="10" width="5.796875" style="84" customWidth="1"/>
    <col min="11" max="12" width="5.796875" style="83" customWidth="1"/>
    <col min="13" max="13" width="5.8984375" style="84" customWidth="1"/>
    <col min="14" max="14" width="5.796875" style="84" customWidth="1"/>
    <col min="15" max="16384" width="9" style="1"/>
  </cols>
  <sheetData>
    <row r="1" spans="1:14" ht="39.6" customHeight="1" x14ac:dyDescent="0.4">
      <c r="A1" s="255" t="s">
        <v>157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</row>
    <row r="2" spans="1:14" ht="19.2" customHeight="1" thickBot="1" x14ac:dyDescent="0.45">
      <c r="A2" s="256" t="s">
        <v>30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</row>
    <row r="3" spans="1:14" ht="16.8" customHeight="1" thickBot="1" x14ac:dyDescent="0.45">
      <c r="A3" s="257" t="s">
        <v>0</v>
      </c>
      <c r="B3" s="258" t="s">
        <v>1</v>
      </c>
      <c r="C3" s="258" t="s">
        <v>2</v>
      </c>
      <c r="D3" s="258"/>
      <c r="E3" s="259" t="s">
        <v>26</v>
      </c>
      <c r="F3" s="259" t="s">
        <v>37</v>
      </c>
      <c r="G3" s="260" t="s">
        <v>3</v>
      </c>
      <c r="H3" s="260"/>
      <c r="I3" s="261" t="s">
        <v>4</v>
      </c>
      <c r="J3" s="261"/>
      <c r="K3" s="262" t="s">
        <v>55</v>
      </c>
      <c r="L3" s="262"/>
      <c r="M3" s="258" t="s">
        <v>27</v>
      </c>
      <c r="N3" s="258" t="s">
        <v>56</v>
      </c>
    </row>
    <row r="4" spans="1:14" ht="16.8" customHeight="1" thickBot="1" x14ac:dyDescent="0.45">
      <c r="A4" s="257"/>
      <c r="B4" s="258"/>
      <c r="C4" s="258"/>
      <c r="D4" s="258"/>
      <c r="E4" s="259"/>
      <c r="F4" s="259"/>
      <c r="G4" s="2" t="s">
        <v>5</v>
      </c>
      <c r="H4" s="2" t="s">
        <v>6</v>
      </c>
      <c r="I4" s="2" t="s">
        <v>5</v>
      </c>
      <c r="J4" s="2" t="s">
        <v>6</v>
      </c>
      <c r="K4" s="2" t="s">
        <v>5</v>
      </c>
      <c r="L4" s="2" t="s">
        <v>6</v>
      </c>
      <c r="M4" s="258"/>
      <c r="N4" s="258"/>
    </row>
    <row r="5" spans="1:14" ht="16.8" customHeight="1" x14ac:dyDescent="0.4">
      <c r="A5" s="250" t="s">
        <v>7</v>
      </c>
      <c r="B5" s="219" t="s">
        <v>8</v>
      </c>
      <c r="C5" s="142" t="s">
        <v>38</v>
      </c>
      <c r="D5" s="3" t="s">
        <v>39</v>
      </c>
      <c r="E5" s="4">
        <v>4</v>
      </c>
      <c r="F5" s="5">
        <v>4</v>
      </c>
      <c r="G5" s="141">
        <v>4</v>
      </c>
      <c r="H5" s="6"/>
      <c r="I5" s="141"/>
      <c r="J5" s="6"/>
      <c r="K5" s="7"/>
      <c r="L5" s="143"/>
      <c r="M5" s="254">
        <v>8</v>
      </c>
      <c r="N5" s="254">
        <v>8</v>
      </c>
    </row>
    <row r="6" spans="1:14" ht="16.8" customHeight="1" x14ac:dyDescent="0.4">
      <c r="A6" s="251"/>
      <c r="B6" s="230"/>
      <c r="C6" s="145" t="s">
        <v>38</v>
      </c>
      <c r="D6" s="8" t="s">
        <v>40</v>
      </c>
      <c r="E6" s="9">
        <v>4</v>
      </c>
      <c r="F6" s="10">
        <v>4</v>
      </c>
      <c r="G6" s="144"/>
      <c r="H6" s="11">
        <v>4</v>
      </c>
      <c r="I6" s="144"/>
      <c r="J6" s="11"/>
      <c r="K6" s="12"/>
      <c r="L6" s="146"/>
      <c r="M6" s="248"/>
      <c r="N6" s="248"/>
    </row>
    <row r="7" spans="1:14" ht="16.8" customHeight="1" x14ac:dyDescent="0.4">
      <c r="A7" s="251"/>
      <c r="B7" s="214" t="s">
        <v>10</v>
      </c>
      <c r="C7" s="145" t="s">
        <v>38</v>
      </c>
      <c r="D7" s="8" t="s">
        <v>41</v>
      </c>
      <c r="E7" s="9">
        <v>4</v>
      </c>
      <c r="F7" s="10">
        <v>4</v>
      </c>
      <c r="G7" s="144">
        <v>4</v>
      </c>
      <c r="H7" s="11"/>
      <c r="I7" s="144"/>
      <c r="J7" s="11"/>
      <c r="K7" s="12"/>
      <c r="L7" s="146"/>
      <c r="M7" s="247">
        <v>8</v>
      </c>
      <c r="N7" s="247">
        <v>8</v>
      </c>
    </row>
    <row r="8" spans="1:14" ht="16.8" customHeight="1" x14ac:dyDescent="0.4">
      <c r="A8" s="251"/>
      <c r="B8" s="230"/>
      <c r="C8" s="145" t="s">
        <v>38</v>
      </c>
      <c r="D8" s="8" t="s">
        <v>57</v>
      </c>
      <c r="E8" s="9">
        <v>4</v>
      </c>
      <c r="F8" s="10">
        <v>4</v>
      </c>
      <c r="G8" s="144"/>
      <c r="H8" s="11">
        <v>4</v>
      </c>
      <c r="I8" s="144"/>
      <c r="J8" s="11"/>
      <c r="K8" s="12"/>
      <c r="L8" s="146"/>
      <c r="M8" s="248"/>
      <c r="N8" s="248"/>
    </row>
    <row r="9" spans="1:14" ht="16.8" customHeight="1" x14ac:dyDescent="0.4">
      <c r="A9" s="251"/>
      <c r="B9" s="214" t="s">
        <v>11</v>
      </c>
      <c r="C9" s="145" t="s">
        <v>38</v>
      </c>
      <c r="D9" s="8" t="s">
        <v>42</v>
      </c>
      <c r="E9" s="9">
        <v>4</v>
      </c>
      <c r="F9" s="10">
        <v>4</v>
      </c>
      <c r="G9" s="144">
        <v>4</v>
      </c>
      <c r="H9" s="11"/>
      <c r="I9" s="144"/>
      <c r="J9" s="11"/>
      <c r="K9" s="12"/>
      <c r="L9" s="146"/>
      <c r="M9" s="247">
        <v>8</v>
      </c>
      <c r="N9" s="247">
        <v>8</v>
      </c>
    </row>
    <row r="10" spans="1:14" ht="16.8" customHeight="1" x14ac:dyDescent="0.4">
      <c r="A10" s="251"/>
      <c r="B10" s="230"/>
      <c r="C10" s="145" t="s">
        <v>38</v>
      </c>
      <c r="D10" s="8" t="s">
        <v>43</v>
      </c>
      <c r="E10" s="9">
        <v>4</v>
      </c>
      <c r="F10" s="10">
        <v>4</v>
      </c>
      <c r="G10" s="144"/>
      <c r="H10" s="11">
        <v>4</v>
      </c>
      <c r="I10" s="144"/>
      <c r="J10" s="11"/>
      <c r="K10" s="12"/>
      <c r="L10" s="146"/>
      <c r="M10" s="248"/>
      <c r="N10" s="248"/>
    </row>
    <row r="11" spans="1:14" ht="16.8" customHeight="1" x14ac:dyDescent="0.4">
      <c r="A11" s="251"/>
      <c r="B11" s="214" t="s">
        <v>20</v>
      </c>
      <c r="C11" s="145" t="s">
        <v>38</v>
      </c>
      <c r="D11" s="8" t="s">
        <v>44</v>
      </c>
      <c r="E11" s="9">
        <v>3</v>
      </c>
      <c r="F11" s="10">
        <v>3</v>
      </c>
      <c r="G11" s="144">
        <v>3</v>
      </c>
      <c r="H11" s="11"/>
      <c r="I11" s="144"/>
      <c r="J11" s="11"/>
      <c r="K11" s="12"/>
      <c r="L11" s="146"/>
      <c r="M11" s="247">
        <v>6</v>
      </c>
      <c r="N11" s="244">
        <v>6</v>
      </c>
    </row>
    <row r="12" spans="1:14" ht="16.8" customHeight="1" x14ac:dyDescent="0.4">
      <c r="A12" s="251"/>
      <c r="B12" s="230"/>
      <c r="C12" s="145" t="s">
        <v>38</v>
      </c>
      <c r="D12" s="8" t="s">
        <v>45</v>
      </c>
      <c r="E12" s="9">
        <v>3</v>
      </c>
      <c r="F12" s="10">
        <v>3</v>
      </c>
      <c r="G12" s="144"/>
      <c r="H12" s="11">
        <v>3</v>
      </c>
      <c r="I12" s="144"/>
      <c r="J12" s="11"/>
      <c r="K12" s="12"/>
      <c r="L12" s="146"/>
      <c r="M12" s="249"/>
      <c r="N12" s="246"/>
    </row>
    <row r="13" spans="1:14" ht="16.8" customHeight="1" x14ac:dyDescent="0.4">
      <c r="A13" s="251"/>
      <c r="B13" s="230"/>
      <c r="C13" s="145" t="s">
        <v>38</v>
      </c>
      <c r="D13" s="8" t="s">
        <v>46</v>
      </c>
      <c r="E13" s="9">
        <v>4</v>
      </c>
      <c r="F13" s="10">
        <v>4</v>
      </c>
      <c r="G13" s="144">
        <v>4</v>
      </c>
      <c r="H13" s="11"/>
      <c r="I13" s="144"/>
      <c r="J13" s="11"/>
      <c r="K13" s="12"/>
      <c r="L13" s="146"/>
      <c r="M13" s="247">
        <v>8</v>
      </c>
      <c r="N13" s="244">
        <v>8</v>
      </c>
    </row>
    <row r="14" spans="1:14" ht="16.8" customHeight="1" x14ac:dyDescent="0.4">
      <c r="A14" s="251"/>
      <c r="B14" s="215"/>
      <c r="C14" s="145" t="s">
        <v>38</v>
      </c>
      <c r="D14" s="8" t="s">
        <v>47</v>
      </c>
      <c r="E14" s="9">
        <v>4</v>
      </c>
      <c r="F14" s="10">
        <v>4</v>
      </c>
      <c r="G14" s="144"/>
      <c r="H14" s="11">
        <v>4</v>
      </c>
      <c r="I14" s="144"/>
      <c r="J14" s="11"/>
      <c r="K14" s="12"/>
      <c r="L14" s="146"/>
      <c r="M14" s="249"/>
      <c r="N14" s="246"/>
    </row>
    <row r="15" spans="1:14" ht="16.8" customHeight="1" x14ac:dyDescent="0.4">
      <c r="A15" s="251"/>
      <c r="B15" s="214" t="s">
        <v>12</v>
      </c>
      <c r="C15" s="145" t="s">
        <v>38</v>
      </c>
      <c r="D15" s="8" t="s">
        <v>48</v>
      </c>
      <c r="E15" s="9">
        <v>4</v>
      </c>
      <c r="F15" s="10">
        <v>4</v>
      </c>
      <c r="G15" s="144">
        <v>4</v>
      </c>
      <c r="H15" s="11"/>
      <c r="I15" s="144"/>
      <c r="J15" s="11"/>
      <c r="K15" s="12"/>
      <c r="L15" s="146"/>
      <c r="M15" s="247">
        <v>10</v>
      </c>
      <c r="N15" s="244">
        <v>10</v>
      </c>
    </row>
    <row r="16" spans="1:14" ht="16.8" customHeight="1" x14ac:dyDescent="0.4">
      <c r="A16" s="251"/>
      <c r="B16" s="230"/>
      <c r="C16" s="145" t="s">
        <v>38</v>
      </c>
      <c r="D16" s="8" t="s">
        <v>49</v>
      </c>
      <c r="E16" s="9">
        <v>4</v>
      </c>
      <c r="F16" s="10">
        <v>4</v>
      </c>
      <c r="G16" s="144"/>
      <c r="H16" s="11">
        <v>4</v>
      </c>
      <c r="I16" s="144"/>
      <c r="J16" s="11"/>
      <c r="K16" s="12"/>
      <c r="L16" s="146"/>
      <c r="M16" s="248"/>
      <c r="N16" s="245"/>
    </row>
    <row r="17" spans="1:14" ht="16.8" customHeight="1" x14ac:dyDescent="0.4">
      <c r="A17" s="251"/>
      <c r="B17" s="230"/>
      <c r="C17" s="145" t="s">
        <v>38</v>
      </c>
      <c r="D17" s="8" t="s">
        <v>50</v>
      </c>
      <c r="E17" s="9">
        <v>1</v>
      </c>
      <c r="F17" s="10">
        <v>1</v>
      </c>
      <c r="G17" s="144">
        <v>1</v>
      </c>
      <c r="H17" s="11"/>
      <c r="I17" s="144"/>
      <c r="J17" s="11"/>
      <c r="K17" s="12"/>
      <c r="L17" s="146"/>
      <c r="M17" s="248"/>
      <c r="N17" s="245"/>
    </row>
    <row r="18" spans="1:14" ht="16.8" customHeight="1" x14ac:dyDescent="0.4">
      <c r="A18" s="251"/>
      <c r="B18" s="215"/>
      <c r="C18" s="145" t="s">
        <v>38</v>
      </c>
      <c r="D18" s="8" t="s">
        <v>51</v>
      </c>
      <c r="E18" s="9">
        <v>1</v>
      </c>
      <c r="F18" s="10">
        <v>1</v>
      </c>
      <c r="G18" s="144"/>
      <c r="H18" s="11">
        <v>1</v>
      </c>
      <c r="I18" s="144"/>
      <c r="J18" s="11"/>
      <c r="K18" s="12"/>
      <c r="L18" s="146"/>
      <c r="M18" s="249"/>
      <c r="N18" s="246"/>
    </row>
    <row r="19" spans="1:14" ht="16.8" customHeight="1" x14ac:dyDescent="0.4">
      <c r="A19" s="251"/>
      <c r="B19" s="214" t="s">
        <v>13</v>
      </c>
      <c r="C19" s="145" t="s">
        <v>25</v>
      </c>
      <c r="D19" s="8" t="s">
        <v>52</v>
      </c>
      <c r="E19" s="9">
        <v>3</v>
      </c>
      <c r="F19" s="10">
        <v>2</v>
      </c>
      <c r="G19" s="13">
        <v>2</v>
      </c>
      <c r="H19" s="14"/>
      <c r="I19" s="13"/>
      <c r="J19" s="14"/>
      <c r="K19" s="15"/>
      <c r="L19" s="16"/>
      <c r="M19" s="216">
        <v>10</v>
      </c>
      <c r="N19" s="244">
        <v>10</v>
      </c>
    </row>
    <row r="20" spans="1:14" ht="16.8" customHeight="1" x14ac:dyDescent="0.4">
      <c r="A20" s="251"/>
      <c r="B20" s="230"/>
      <c r="C20" s="145" t="s">
        <v>25</v>
      </c>
      <c r="D20" s="8" t="s">
        <v>53</v>
      </c>
      <c r="E20" s="9">
        <v>3</v>
      </c>
      <c r="F20" s="10">
        <v>2</v>
      </c>
      <c r="G20" s="13"/>
      <c r="H20" s="14">
        <v>2</v>
      </c>
      <c r="I20" s="13"/>
      <c r="J20" s="14"/>
      <c r="K20" s="15"/>
      <c r="L20" s="16"/>
      <c r="M20" s="210"/>
      <c r="N20" s="245"/>
    </row>
    <row r="21" spans="1:14" ht="16.8" customHeight="1" x14ac:dyDescent="0.4">
      <c r="A21" s="251"/>
      <c r="B21" s="230"/>
      <c r="C21" s="145" t="s">
        <v>58</v>
      </c>
      <c r="D21" s="8" t="s">
        <v>59</v>
      </c>
      <c r="E21" s="9">
        <v>3</v>
      </c>
      <c r="F21" s="10">
        <v>2</v>
      </c>
      <c r="G21" s="13"/>
      <c r="H21" s="14"/>
      <c r="I21" s="13">
        <v>2</v>
      </c>
      <c r="J21" s="14"/>
      <c r="K21" s="15"/>
      <c r="L21" s="16"/>
      <c r="M21" s="210"/>
      <c r="N21" s="245"/>
    </row>
    <row r="22" spans="1:14" ht="16.8" customHeight="1" x14ac:dyDescent="0.4">
      <c r="A22" s="251"/>
      <c r="B22" s="230"/>
      <c r="C22" s="145" t="s">
        <v>58</v>
      </c>
      <c r="D22" s="8" t="s">
        <v>60</v>
      </c>
      <c r="E22" s="9">
        <v>3</v>
      </c>
      <c r="F22" s="10">
        <v>2</v>
      </c>
      <c r="G22" s="13"/>
      <c r="H22" s="14"/>
      <c r="I22" s="13"/>
      <c r="J22" s="14">
        <v>2</v>
      </c>
      <c r="K22" s="15"/>
      <c r="L22" s="16"/>
      <c r="M22" s="210"/>
      <c r="N22" s="245"/>
    </row>
    <row r="23" spans="1:14" ht="16.8" customHeight="1" x14ac:dyDescent="0.4">
      <c r="A23" s="251"/>
      <c r="B23" s="214" t="s">
        <v>15</v>
      </c>
      <c r="C23" s="145" t="s">
        <v>9</v>
      </c>
      <c r="D23" s="8" t="s">
        <v>16</v>
      </c>
      <c r="E23" s="9">
        <v>3</v>
      </c>
      <c r="F23" s="10">
        <v>2</v>
      </c>
      <c r="G23" s="234" t="s">
        <v>54</v>
      </c>
      <c r="H23" s="235"/>
      <c r="I23" s="13"/>
      <c r="J23" s="14"/>
      <c r="K23" s="15"/>
      <c r="L23" s="16"/>
      <c r="M23" s="252">
        <v>4</v>
      </c>
      <c r="N23" s="244">
        <v>10</v>
      </c>
    </row>
    <row r="24" spans="1:14" ht="16.8" customHeight="1" x14ac:dyDescent="0.4">
      <c r="A24" s="251"/>
      <c r="B24" s="230"/>
      <c r="C24" s="145" t="s">
        <v>9</v>
      </c>
      <c r="D24" s="8" t="s">
        <v>17</v>
      </c>
      <c r="E24" s="9">
        <v>3</v>
      </c>
      <c r="F24" s="10">
        <v>2</v>
      </c>
      <c r="G24" s="17">
        <v>2</v>
      </c>
      <c r="H24" s="231">
        <v>4</v>
      </c>
      <c r="I24" s="13"/>
      <c r="J24" s="14"/>
      <c r="K24" s="15"/>
      <c r="L24" s="16"/>
      <c r="M24" s="253"/>
      <c r="N24" s="245"/>
    </row>
    <row r="25" spans="1:14" ht="16.8" customHeight="1" x14ac:dyDescent="0.4">
      <c r="A25" s="251"/>
      <c r="B25" s="144" t="s">
        <v>31</v>
      </c>
      <c r="C25" s="88" t="s">
        <v>9</v>
      </c>
      <c r="D25" s="18" t="s">
        <v>31</v>
      </c>
      <c r="E25" s="130">
        <v>4</v>
      </c>
      <c r="F25" s="19">
        <v>4</v>
      </c>
      <c r="G25" s="138">
        <v>2</v>
      </c>
      <c r="H25" s="232"/>
      <c r="I25" s="86"/>
      <c r="J25" s="92"/>
      <c r="K25" s="20"/>
      <c r="L25" s="21"/>
      <c r="M25" s="216">
        <v>6</v>
      </c>
      <c r="N25" s="247">
        <v>16</v>
      </c>
    </row>
    <row r="26" spans="1:14" ht="16.8" customHeight="1" x14ac:dyDescent="0.4">
      <c r="A26" s="251"/>
      <c r="B26" s="214" t="s">
        <v>18</v>
      </c>
      <c r="C26" s="88" t="s">
        <v>23</v>
      </c>
      <c r="D26" s="18" t="s">
        <v>93</v>
      </c>
      <c r="E26" s="130">
        <v>2</v>
      </c>
      <c r="F26" s="19">
        <v>1</v>
      </c>
      <c r="G26" s="123">
        <v>1</v>
      </c>
      <c r="H26" s="124"/>
      <c r="I26" s="86"/>
      <c r="J26" s="92"/>
      <c r="K26" s="20"/>
      <c r="L26" s="21"/>
      <c r="M26" s="210"/>
      <c r="N26" s="248"/>
    </row>
    <row r="27" spans="1:14" ht="16.8" customHeight="1" thickBot="1" x14ac:dyDescent="0.45">
      <c r="A27" s="251"/>
      <c r="B27" s="230"/>
      <c r="C27" s="152" t="s">
        <v>23</v>
      </c>
      <c r="D27" s="153" t="s">
        <v>94</v>
      </c>
      <c r="E27" s="135">
        <v>2</v>
      </c>
      <c r="F27" s="154">
        <v>1</v>
      </c>
      <c r="G27" s="137"/>
      <c r="H27" s="140">
        <v>1</v>
      </c>
      <c r="I27" s="137"/>
      <c r="J27" s="140"/>
      <c r="K27" s="155"/>
      <c r="L27" s="156"/>
      <c r="M27" s="210"/>
      <c r="N27" s="248"/>
    </row>
    <row r="28" spans="1:14" ht="16.8" customHeight="1" x14ac:dyDescent="0.4">
      <c r="A28" s="126"/>
      <c r="B28" s="141" t="s">
        <v>13</v>
      </c>
      <c r="C28" s="157" t="s">
        <v>14</v>
      </c>
      <c r="D28" s="3" t="s">
        <v>104</v>
      </c>
      <c r="E28" s="4">
        <v>5</v>
      </c>
      <c r="F28" s="5">
        <v>4</v>
      </c>
      <c r="G28" s="51"/>
      <c r="H28" s="52"/>
      <c r="I28" s="51"/>
      <c r="J28" s="52"/>
      <c r="K28" s="158">
        <v>2</v>
      </c>
      <c r="L28" s="159">
        <v>2</v>
      </c>
      <c r="M28" s="76">
        <v>4</v>
      </c>
      <c r="N28" s="160"/>
    </row>
    <row r="29" spans="1:14" ht="16.8" customHeight="1" x14ac:dyDescent="0.4">
      <c r="A29" s="126"/>
      <c r="B29" s="214" t="s">
        <v>15</v>
      </c>
      <c r="C29" s="161" t="s">
        <v>14</v>
      </c>
      <c r="D29" s="18" t="s">
        <v>105</v>
      </c>
      <c r="E29" s="130">
        <v>5</v>
      </c>
      <c r="F29" s="19">
        <v>2</v>
      </c>
      <c r="G29" s="86"/>
      <c r="H29" s="92"/>
      <c r="I29" s="13"/>
      <c r="J29" s="14"/>
      <c r="K29" s="263" t="s">
        <v>106</v>
      </c>
      <c r="L29" s="264"/>
      <c r="M29" s="265">
        <v>4</v>
      </c>
      <c r="N29" s="133"/>
    </row>
    <row r="30" spans="1:14" ht="16.8" customHeight="1" x14ac:dyDescent="0.4">
      <c r="A30" s="126"/>
      <c r="B30" s="215"/>
      <c r="C30" s="161" t="s">
        <v>14</v>
      </c>
      <c r="D30" s="18" t="s">
        <v>107</v>
      </c>
      <c r="E30" s="130">
        <v>5</v>
      </c>
      <c r="F30" s="19">
        <v>2</v>
      </c>
      <c r="G30" s="86"/>
      <c r="H30" s="92"/>
      <c r="I30" s="13"/>
      <c r="J30" s="14"/>
      <c r="K30" s="162">
        <v>2</v>
      </c>
      <c r="L30" s="163">
        <v>2</v>
      </c>
      <c r="M30" s="265"/>
      <c r="N30" s="133"/>
    </row>
    <row r="31" spans="1:14" ht="16.8" customHeight="1" thickBot="1" x14ac:dyDescent="0.45">
      <c r="A31" s="126"/>
      <c r="B31" s="164" t="s">
        <v>18</v>
      </c>
      <c r="C31" s="165" t="s">
        <v>9</v>
      </c>
      <c r="D31" s="166" t="s">
        <v>108</v>
      </c>
      <c r="E31" s="167">
        <v>5</v>
      </c>
      <c r="F31" s="168">
        <v>2</v>
      </c>
      <c r="G31" s="169"/>
      <c r="H31" s="170"/>
      <c r="I31" s="171"/>
      <c r="J31" s="172"/>
      <c r="K31" s="173">
        <v>1</v>
      </c>
      <c r="L31" s="174">
        <v>1</v>
      </c>
      <c r="M31" s="175">
        <v>2</v>
      </c>
      <c r="N31" s="176"/>
    </row>
    <row r="32" spans="1:14" ht="19.8" customHeight="1" thickTop="1" x14ac:dyDescent="0.4">
      <c r="A32" s="206" t="s">
        <v>19</v>
      </c>
      <c r="B32" s="22" t="s">
        <v>8</v>
      </c>
      <c r="C32" s="23" t="s">
        <v>9</v>
      </c>
      <c r="D32" s="24" t="s">
        <v>32</v>
      </c>
      <c r="E32" s="25">
        <v>4</v>
      </c>
      <c r="F32" s="26">
        <v>4</v>
      </c>
      <c r="G32" s="27"/>
      <c r="H32" s="28"/>
      <c r="I32" s="29" t="s">
        <v>63</v>
      </c>
      <c r="J32" s="30"/>
      <c r="K32" s="31"/>
      <c r="L32" s="32"/>
      <c r="M32" s="209">
        <v>24</v>
      </c>
      <c r="N32" s="33"/>
    </row>
    <row r="33" spans="1:14" ht="19.8" customHeight="1" x14ac:dyDescent="0.4">
      <c r="A33" s="207"/>
      <c r="B33" s="127" t="s">
        <v>10</v>
      </c>
      <c r="C33" s="145" t="s">
        <v>9</v>
      </c>
      <c r="D33" s="8" t="s">
        <v>109</v>
      </c>
      <c r="E33" s="9">
        <v>4</v>
      </c>
      <c r="F33" s="10">
        <v>4</v>
      </c>
      <c r="G33" s="13"/>
      <c r="H33" s="14"/>
      <c r="I33" s="266" t="s">
        <v>110</v>
      </c>
      <c r="J33" s="34"/>
      <c r="K33" s="15"/>
      <c r="L33" s="16"/>
      <c r="M33" s="210"/>
      <c r="N33" s="35"/>
    </row>
    <row r="34" spans="1:14" ht="19.8" customHeight="1" x14ac:dyDescent="0.4">
      <c r="A34" s="207"/>
      <c r="B34" s="127" t="s">
        <v>11</v>
      </c>
      <c r="C34" s="145" t="s">
        <v>9</v>
      </c>
      <c r="D34" s="8" t="s">
        <v>33</v>
      </c>
      <c r="E34" s="9">
        <v>4</v>
      </c>
      <c r="F34" s="10">
        <v>4</v>
      </c>
      <c r="G34" s="13"/>
      <c r="H34" s="14"/>
      <c r="I34" s="212"/>
      <c r="J34" s="34"/>
      <c r="K34" s="15"/>
      <c r="L34" s="16"/>
      <c r="M34" s="210"/>
      <c r="N34" s="35"/>
    </row>
    <row r="35" spans="1:14" ht="19.8" customHeight="1" x14ac:dyDescent="0.4">
      <c r="A35" s="207"/>
      <c r="B35" s="214" t="s">
        <v>20</v>
      </c>
      <c r="C35" s="145" t="s">
        <v>9</v>
      </c>
      <c r="D35" s="8" t="s">
        <v>64</v>
      </c>
      <c r="E35" s="9">
        <v>4</v>
      </c>
      <c r="F35" s="10">
        <v>4</v>
      </c>
      <c r="G35" s="13"/>
      <c r="H35" s="14"/>
      <c r="I35" s="212"/>
      <c r="J35" s="34"/>
      <c r="K35" s="15"/>
      <c r="L35" s="16"/>
      <c r="M35" s="210"/>
      <c r="N35" s="35"/>
    </row>
    <row r="36" spans="1:14" ht="19.8" customHeight="1" x14ac:dyDescent="0.4">
      <c r="A36" s="207"/>
      <c r="B36" s="215"/>
      <c r="C36" s="145" t="s">
        <v>14</v>
      </c>
      <c r="D36" s="8" t="s">
        <v>65</v>
      </c>
      <c r="E36" s="9">
        <v>4</v>
      </c>
      <c r="F36" s="10">
        <v>4</v>
      </c>
      <c r="G36" s="13"/>
      <c r="H36" s="14"/>
      <c r="I36" s="212"/>
      <c r="J36" s="34"/>
      <c r="K36" s="15"/>
      <c r="L36" s="16"/>
      <c r="M36" s="210"/>
      <c r="N36" s="35"/>
    </row>
    <row r="37" spans="1:14" ht="19.8" customHeight="1" x14ac:dyDescent="0.4">
      <c r="A37" s="207"/>
      <c r="B37" s="144" t="s">
        <v>12</v>
      </c>
      <c r="C37" s="145" t="s">
        <v>9</v>
      </c>
      <c r="D37" s="8" t="s">
        <v>91</v>
      </c>
      <c r="E37" s="9">
        <v>4</v>
      </c>
      <c r="F37" s="10">
        <v>4</v>
      </c>
      <c r="G37" s="13"/>
      <c r="H37" s="14"/>
      <c r="I37" s="213"/>
      <c r="J37" s="34"/>
      <c r="K37" s="15"/>
      <c r="L37" s="16"/>
      <c r="M37" s="211"/>
      <c r="N37" s="35"/>
    </row>
    <row r="38" spans="1:14" ht="19.8" customHeight="1" x14ac:dyDescent="0.4">
      <c r="A38" s="207"/>
      <c r="B38" s="127" t="s">
        <v>15</v>
      </c>
      <c r="C38" s="113" t="s">
        <v>14</v>
      </c>
      <c r="D38" s="36" t="s">
        <v>66</v>
      </c>
      <c r="E38" s="129">
        <v>3</v>
      </c>
      <c r="F38" s="37">
        <v>4</v>
      </c>
      <c r="G38" s="13"/>
      <c r="H38" s="14"/>
      <c r="I38" s="38" t="s">
        <v>21</v>
      </c>
      <c r="J38" s="39" t="s">
        <v>21</v>
      </c>
      <c r="K38" s="15"/>
      <c r="L38" s="16"/>
      <c r="M38" s="115">
        <v>4</v>
      </c>
      <c r="N38" s="35"/>
    </row>
    <row r="39" spans="1:14" ht="19.8" customHeight="1" x14ac:dyDescent="0.4">
      <c r="A39" s="207"/>
      <c r="B39" s="144" t="s">
        <v>22</v>
      </c>
      <c r="C39" s="145" t="s">
        <v>9</v>
      </c>
      <c r="D39" s="8" t="s">
        <v>67</v>
      </c>
      <c r="E39" s="9">
        <v>4</v>
      </c>
      <c r="F39" s="10">
        <v>4</v>
      </c>
      <c r="G39" s="110"/>
      <c r="H39" s="139"/>
      <c r="I39" s="40">
        <v>4</v>
      </c>
      <c r="J39" s="41">
        <v>4</v>
      </c>
      <c r="K39" s="42"/>
      <c r="L39" s="43"/>
      <c r="M39" s="134">
        <v>4</v>
      </c>
      <c r="N39" s="131"/>
    </row>
    <row r="40" spans="1:14" ht="19.8" customHeight="1" x14ac:dyDescent="0.4">
      <c r="A40" s="207"/>
      <c r="B40" s="144" t="s">
        <v>8</v>
      </c>
      <c r="C40" s="145" t="s">
        <v>9</v>
      </c>
      <c r="D40" s="8" t="s">
        <v>68</v>
      </c>
      <c r="E40" s="9">
        <v>4</v>
      </c>
      <c r="F40" s="10">
        <v>4</v>
      </c>
      <c r="G40" s="13"/>
      <c r="H40" s="14"/>
      <c r="I40" s="44"/>
      <c r="J40" s="34" t="s">
        <v>63</v>
      </c>
      <c r="K40" s="15"/>
      <c r="L40" s="16"/>
      <c r="M40" s="216">
        <v>24</v>
      </c>
      <c r="N40" s="35"/>
    </row>
    <row r="41" spans="1:14" ht="19.8" customHeight="1" x14ac:dyDescent="0.4">
      <c r="A41" s="207"/>
      <c r="B41" s="214" t="s">
        <v>10</v>
      </c>
      <c r="C41" s="145" t="s">
        <v>9</v>
      </c>
      <c r="D41" s="8" t="s">
        <v>69</v>
      </c>
      <c r="E41" s="9">
        <v>4</v>
      </c>
      <c r="F41" s="10">
        <v>4</v>
      </c>
      <c r="G41" s="13"/>
      <c r="H41" s="14"/>
      <c r="I41" s="44"/>
      <c r="J41" s="217" t="s">
        <v>110</v>
      </c>
      <c r="K41" s="15"/>
      <c r="L41" s="16"/>
      <c r="M41" s="210"/>
      <c r="N41" s="35"/>
    </row>
    <row r="42" spans="1:14" ht="19.8" customHeight="1" x14ac:dyDescent="0.4">
      <c r="A42" s="207"/>
      <c r="B42" s="215"/>
      <c r="C42" s="145" t="s">
        <v>14</v>
      </c>
      <c r="D42" s="8" t="s">
        <v>35</v>
      </c>
      <c r="E42" s="9">
        <v>4</v>
      </c>
      <c r="F42" s="10">
        <v>4</v>
      </c>
      <c r="G42" s="13"/>
      <c r="H42" s="14"/>
      <c r="I42" s="44"/>
      <c r="J42" s="218"/>
      <c r="K42" s="15"/>
      <c r="L42" s="16"/>
      <c r="M42" s="210"/>
      <c r="N42" s="35"/>
    </row>
    <row r="43" spans="1:14" ht="19.8" customHeight="1" x14ac:dyDescent="0.4">
      <c r="A43" s="207"/>
      <c r="B43" s="144" t="s">
        <v>11</v>
      </c>
      <c r="C43" s="145" t="s">
        <v>9</v>
      </c>
      <c r="D43" s="8" t="s">
        <v>34</v>
      </c>
      <c r="E43" s="9">
        <v>4</v>
      </c>
      <c r="F43" s="10">
        <v>4</v>
      </c>
      <c r="G43" s="13"/>
      <c r="H43" s="14"/>
      <c r="I43" s="44"/>
      <c r="J43" s="218"/>
      <c r="K43" s="15"/>
      <c r="L43" s="16"/>
      <c r="M43" s="210"/>
      <c r="N43" s="35"/>
    </row>
    <row r="44" spans="1:14" ht="19.8" customHeight="1" x14ac:dyDescent="0.4">
      <c r="A44" s="207"/>
      <c r="B44" s="214" t="s">
        <v>20</v>
      </c>
      <c r="C44" s="145" t="s">
        <v>9</v>
      </c>
      <c r="D44" s="8" t="s">
        <v>70</v>
      </c>
      <c r="E44" s="9">
        <v>4</v>
      </c>
      <c r="F44" s="10">
        <v>4</v>
      </c>
      <c r="G44" s="13"/>
      <c r="H44" s="14"/>
      <c r="I44" s="44"/>
      <c r="J44" s="218"/>
      <c r="K44" s="15"/>
      <c r="L44" s="16"/>
      <c r="M44" s="210"/>
      <c r="N44" s="35"/>
    </row>
    <row r="45" spans="1:14" ht="17.399999999999999" customHeight="1" x14ac:dyDescent="0.4">
      <c r="A45" s="207"/>
      <c r="B45" s="215"/>
      <c r="C45" s="145" t="s">
        <v>14</v>
      </c>
      <c r="D45" s="45" t="s">
        <v>71</v>
      </c>
      <c r="E45" s="9">
        <v>4</v>
      </c>
      <c r="F45" s="10">
        <v>4</v>
      </c>
      <c r="G45" s="13"/>
      <c r="H45" s="14"/>
      <c r="I45" s="44"/>
      <c r="J45" s="218"/>
      <c r="K45" s="15"/>
      <c r="L45" s="16"/>
      <c r="M45" s="210"/>
      <c r="N45" s="35"/>
    </row>
    <row r="46" spans="1:14" ht="27.6" customHeight="1" thickBot="1" x14ac:dyDescent="0.45">
      <c r="A46" s="207"/>
      <c r="B46" s="144" t="s">
        <v>12</v>
      </c>
      <c r="C46" s="46" t="s">
        <v>23</v>
      </c>
      <c r="D46" s="47" t="s">
        <v>72</v>
      </c>
      <c r="E46" s="9">
        <v>4</v>
      </c>
      <c r="F46" s="10">
        <v>4</v>
      </c>
      <c r="G46" s="13"/>
      <c r="H46" s="14"/>
      <c r="I46" s="44"/>
      <c r="J46" s="218"/>
      <c r="K46" s="15"/>
      <c r="L46" s="16"/>
      <c r="M46" s="211"/>
      <c r="N46" s="35"/>
    </row>
    <row r="47" spans="1:14" ht="19.2" customHeight="1" x14ac:dyDescent="0.4">
      <c r="A47" s="207"/>
      <c r="B47" s="219" t="s">
        <v>8</v>
      </c>
      <c r="C47" s="142" t="s">
        <v>25</v>
      </c>
      <c r="D47" s="48" t="s">
        <v>111</v>
      </c>
      <c r="E47" s="49">
        <v>5</v>
      </c>
      <c r="F47" s="50">
        <v>6</v>
      </c>
      <c r="G47" s="51"/>
      <c r="H47" s="52"/>
      <c r="I47" s="53"/>
      <c r="J47" s="54"/>
      <c r="K47" s="268" t="s">
        <v>112</v>
      </c>
      <c r="L47" s="269"/>
      <c r="M47" s="227">
        <v>24</v>
      </c>
      <c r="N47" s="56"/>
    </row>
    <row r="48" spans="1:14" ht="19.2" customHeight="1" x14ac:dyDescent="0.4">
      <c r="A48" s="207"/>
      <c r="B48" s="215"/>
      <c r="C48" s="161" t="s">
        <v>23</v>
      </c>
      <c r="D48" s="57" t="s">
        <v>113</v>
      </c>
      <c r="E48" s="91">
        <v>5</v>
      </c>
      <c r="F48" s="58">
        <v>6</v>
      </c>
      <c r="G48" s="86"/>
      <c r="H48" s="92"/>
      <c r="I48" s="59"/>
      <c r="J48" s="60"/>
      <c r="K48" s="270" t="s">
        <v>114</v>
      </c>
      <c r="L48" s="239" t="s">
        <v>114</v>
      </c>
      <c r="M48" s="210"/>
      <c r="N48" s="132"/>
    </row>
    <row r="49" spans="1:14" ht="19.2" customHeight="1" x14ac:dyDescent="0.4">
      <c r="A49" s="207"/>
      <c r="B49" s="127" t="s">
        <v>10</v>
      </c>
      <c r="C49" s="177" t="s">
        <v>23</v>
      </c>
      <c r="D49" s="61" t="s">
        <v>115</v>
      </c>
      <c r="E49" s="91">
        <v>5</v>
      </c>
      <c r="F49" s="58">
        <v>6</v>
      </c>
      <c r="G49" s="13"/>
      <c r="H49" s="14"/>
      <c r="I49" s="44"/>
      <c r="J49" s="34"/>
      <c r="K49" s="271"/>
      <c r="L49" s="240"/>
      <c r="M49" s="210"/>
      <c r="N49" s="35"/>
    </row>
    <row r="50" spans="1:14" ht="19.2" customHeight="1" x14ac:dyDescent="0.4">
      <c r="A50" s="207"/>
      <c r="B50" s="214" t="s">
        <v>11</v>
      </c>
      <c r="C50" s="177" t="s">
        <v>25</v>
      </c>
      <c r="D50" s="61" t="s">
        <v>116</v>
      </c>
      <c r="E50" s="91">
        <v>5</v>
      </c>
      <c r="F50" s="58">
        <v>6</v>
      </c>
      <c r="G50" s="13"/>
      <c r="H50" s="14"/>
      <c r="I50" s="44"/>
      <c r="J50" s="34"/>
      <c r="K50" s="271"/>
      <c r="L50" s="240"/>
      <c r="M50" s="210"/>
      <c r="N50" s="35"/>
    </row>
    <row r="51" spans="1:14" ht="21" customHeight="1" x14ac:dyDescent="0.4">
      <c r="A51" s="207"/>
      <c r="B51" s="230"/>
      <c r="C51" s="177" t="s">
        <v>23</v>
      </c>
      <c r="D51" s="62" t="s">
        <v>117</v>
      </c>
      <c r="E51" s="91">
        <v>5</v>
      </c>
      <c r="F51" s="58">
        <v>6</v>
      </c>
      <c r="G51" s="13"/>
      <c r="H51" s="14"/>
      <c r="I51" s="44"/>
      <c r="J51" s="34"/>
      <c r="K51" s="271"/>
      <c r="L51" s="272"/>
      <c r="M51" s="210"/>
      <c r="N51" s="35"/>
    </row>
    <row r="52" spans="1:14" ht="29.4" customHeight="1" x14ac:dyDescent="0.4">
      <c r="A52" s="207"/>
      <c r="B52" s="241" t="s">
        <v>20</v>
      </c>
      <c r="C52" s="178" t="s">
        <v>25</v>
      </c>
      <c r="D52" s="62" t="s">
        <v>118</v>
      </c>
      <c r="E52" s="91">
        <v>5</v>
      </c>
      <c r="F52" s="58">
        <v>6</v>
      </c>
      <c r="G52" s="13"/>
      <c r="H52" s="14"/>
      <c r="I52" s="44"/>
      <c r="J52" s="34"/>
      <c r="K52" s="273" t="s">
        <v>119</v>
      </c>
      <c r="L52" s="274"/>
      <c r="M52" s="216">
        <v>18</v>
      </c>
      <c r="N52" s="35"/>
    </row>
    <row r="53" spans="1:14" ht="32.4" customHeight="1" x14ac:dyDescent="0.4">
      <c r="A53" s="207"/>
      <c r="B53" s="243"/>
      <c r="C53" s="178" t="s">
        <v>23</v>
      </c>
      <c r="D53" s="62" t="s">
        <v>120</v>
      </c>
      <c r="E53" s="63">
        <v>5</v>
      </c>
      <c r="F53" s="64">
        <v>6</v>
      </c>
      <c r="G53" s="13"/>
      <c r="H53" s="14"/>
      <c r="I53" s="44"/>
      <c r="J53" s="34"/>
      <c r="K53" s="271" t="s">
        <v>121</v>
      </c>
      <c r="L53" s="239" t="s">
        <v>121</v>
      </c>
      <c r="M53" s="210"/>
      <c r="N53" s="35"/>
    </row>
    <row r="54" spans="1:14" ht="32.4" customHeight="1" x14ac:dyDescent="0.4">
      <c r="A54" s="207"/>
      <c r="B54" s="144" t="s">
        <v>12</v>
      </c>
      <c r="C54" s="178" t="s">
        <v>23</v>
      </c>
      <c r="D54" s="61" t="s">
        <v>122</v>
      </c>
      <c r="E54" s="90">
        <v>5</v>
      </c>
      <c r="F54" s="66">
        <v>6</v>
      </c>
      <c r="G54" s="13"/>
      <c r="H54" s="14"/>
      <c r="I54" s="13"/>
      <c r="J54" s="14"/>
      <c r="K54" s="275"/>
      <c r="L54" s="272"/>
      <c r="M54" s="211"/>
      <c r="N54" s="35"/>
    </row>
    <row r="55" spans="1:14" ht="19.8" customHeight="1" x14ac:dyDescent="0.4">
      <c r="A55" s="207"/>
      <c r="B55" s="241" t="s">
        <v>18</v>
      </c>
      <c r="C55" s="178" t="s">
        <v>25</v>
      </c>
      <c r="D55" s="61" t="s">
        <v>123</v>
      </c>
      <c r="E55" s="90">
        <v>5</v>
      </c>
      <c r="F55" s="66">
        <v>2</v>
      </c>
      <c r="G55" s="13"/>
      <c r="H55" s="14"/>
      <c r="I55" s="13"/>
      <c r="J55" s="14"/>
      <c r="K55" s="110" t="s">
        <v>21</v>
      </c>
      <c r="L55" s="179"/>
      <c r="M55" s="216">
        <v>2</v>
      </c>
      <c r="N55" s="35"/>
    </row>
    <row r="56" spans="1:14" ht="31.2" customHeight="1" x14ac:dyDescent="0.4">
      <c r="A56" s="207"/>
      <c r="B56" s="243"/>
      <c r="C56" s="178" t="s">
        <v>23</v>
      </c>
      <c r="D56" s="61" t="s">
        <v>124</v>
      </c>
      <c r="E56" s="90">
        <v>5</v>
      </c>
      <c r="F56" s="66">
        <v>2</v>
      </c>
      <c r="G56" s="13"/>
      <c r="H56" s="14"/>
      <c r="I56" s="13"/>
      <c r="J56" s="14"/>
      <c r="K56" s="267">
        <v>2</v>
      </c>
      <c r="L56" s="179"/>
      <c r="M56" s="210"/>
      <c r="N56" s="35"/>
    </row>
    <row r="57" spans="1:14" ht="22.8" customHeight="1" x14ac:dyDescent="0.4">
      <c r="A57" s="207"/>
      <c r="B57" s="85" t="s">
        <v>22</v>
      </c>
      <c r="C57" s="180" t="s">
        <v>23</v>
      </c>
      <c r="D57" s="69" t="s">
        <v>125</v>
      </c>
      <c r="E57" s="70">
        <v>5</v>
      </c>
      <c r="F57" s="90">
        <v>2</v>
      </c>
      <c r="G57" s="86"/>
      <c r="H57" s="92"/>
      <c r="I57" s="13"/>
      <c r="J57" s="92"/>
      <c r="K57" s="228"/>
      <c r="L57" s="179"/>
      <c r="M57" s="210"/>
      <c r="N57" s="35"/>
    </row>
    <row r="58" spans="1:14" ht="20.399999999999999" customHeight="1" thickBot="1" x14ac:dyDescent="0.45">
      <c r="A58" s="207"/>
      <c r="B58" s="181" t="s">
        <v>126</v>
      </c>
      <c r="C58" s="178" t="s">
        <v>23</v>
      </c>
      <c r="D58" s="61" t="s">
        <v>127</v>
      </c>
      <c r="E58" s="9">
        <v>5</v>
      </c>
      <c r="F58" s="10">
        <v>2</v>
      </c>
      <c r="G58" s="13"/>
      <c r="H58" s="14"/>
      <c r="I58" s="44"/>
      <c r="J58" s="34"/>
      <c r="K58" s="228"/>
      <c r="L58" s="14"/>
      <c r="M58" s="210"/>
      <c r="N58" s="35"/>
    </row>
    <row r="59" spans="1:14" ht="31.2" customHeight="1" x14ac:dyDescent="0.4">
      <c r="A59" s="207"/>
      <c r="B59" s="219" t="s">
        <v>12</v>
      </c>
      <c r="C59" s="75" t="s">
        <v>14</v>
      </c>
      <c r="D59" s="48" t="s">
        <v>96</v>
      </c>
      <c r="E59" s="49">
        <v>4</v>
      </c>
      <c r="F59" s="49">
        <v>3</v>
      </c>
      <c r="G59" s="51"/>
      <c r="H59" s="221" t="s">
        <v>155</v>
      </c>
      <c r="I59" s="222"/>
      <c r="J59" s="222"/>
      <c r="K59" s="222"/>
      <c r="L59" s="223"/>
      <c r="M59" s="76"/>
      <c r="N59" s="56"/>
    </row>
    <row r="60" spans="1:14" ht="31.2" customHeight="1" thickBot="1" x14ac:dyDescent="0.45">
      <c r="A60" s="207"/>
      <c r="B60" s="220"/>
      <c r="C60" s="182" t="s">
        <v>58</v>
      </c>
      <c r="D60" s="183" t="s">
        <v>97</v>
      </c>
      <c r="E60" s="93">
        <v>4</v>
      </c>
      <c r="F60" s="93">
        <v>3</v>
      </c>
      <c r="G60" s="184"/>
      <c r="H60" s="276"/>
      <c r="I60" s="277"/>
      <c r="J60" s="277"/>
      <c r="K60" s="277"/>
      <c r="L60" s="278"/>
      <c r="M60" s="185"/>
      <c r="N60" s="186"/>
    </row>
    <row r="61" spans="1:14" ht="22.8" customHeight="1" x14ac:dyDescent="0.4">
      <c r="A61" s="207"/>
      <c r="B61" s="128" t="s">
        <v>128</v>
      </c>
      <c r="C61" s="88" t="s">
        <v>23</v>
      </c>
      <c r="D61" s="57" t="s">
        <v>129</v>
      </c>
      <c r="E61" s="91">
        <v>5</v>
      </c>
      <c r="F61" s="91">
        <v>2</v>
      </c>
      <c r="G61" s="86"/>
      <c r="H61" s="221" t="s">
        <v>130</v>
      </c>
      <c r="I61" s="222"/>
      <c r="J61" s="222"/>
      <c r="K61" s="222"/>
      <c r="L61" s="223"/>
      <c r="M61" s="136"/>
      <c r="N61" s="132"/>
    </row>
    <row r="62" spans="1:14" ht="22.8" customHeight="1" x14ac:dyDescent="0.4">
      <c r="A62" s="207"/>
      <c r="B62" s="144" t="s">
        <v>131</v>
      </c>
      <c r="C62" s="88" t="s">
        <v>23</v>
      </c>
      <c r="D62" s="57" t="s">
        <v>132</v>
      </c>
      <c r="E62" s="63">
        <v>5</v>
      </c>
      <c r="F62" s="63">
        <v>2</v>
      </c>
      <c r="G62" s="86"/>
      <c r="H62" s="224"/>
      <c r="I62" s="225"/>
      <c r="J62" s="225"/>
      <c r="K62" s="225"/>
      <c r="L62" s="226"/>
      <c r="M62" s="136"/>
      <c r="N62" s="132"/>
    </row>
    <row r="63" spans="1:14" ht="29.4" customHeight="1" x14ac:dyDescent="0.4">
      <c r="A63" s="207"/>
      <c r="B63" s="144" t="s">
        <v>133</v>
      </c>
      <c r="C63" s="88" t="s">
        <v>23</v>
      </c>
      <c r="D63" s="188" t="s">
        <v>134</v>
      </c>
      <c r="E63" s="63">
        <v>5</v>
      </c>
      <c r="F63" s="63">
        <v>2</v>
      </c>
      <c r="G63" s="86"/>
      <c r="H63" s="224"/>
      <c r="I63" s="225"/>
      <c r="J63" s="225"/>
      <c r="K63" s="225"/>
      <c r="L63" s="226"/>
      <c r="M63" s="136"/>
      <c r="N63" s="132"/>
    </row>
    <row r="64" spans="1:14" ht="22.8" customHeight="1" x14ac:dyDescent="0.4">
      <c r="A64" s="207"/>
      <c r="B64" s="144" t="s">
        <v>76</v>
      </c>
      <c r="C64" s="88" t="s">
        <v>23</v>
      </c>
      <c r="D64" s="57" t="s">
        <v>135</v>
      </c>
      <c r="E64" s="63">
        <v>5</v>
      </c>
      <c r="F64" s="63">
        <v>2</v>
      </c>
      <c r="G64" s="86"/>
      <c r="H64" s="224"/>
      <c r="I64" s="225"/>
      <c r="J64" s="225"/>
      <c r="K64" s="225"/>
      <c r="L64" s="226"/>
      <c r="M64" s="136"/>
      <c r="N64" s="132"/>
    </row>
    <row r="65" spans="1:14" ht="22.8" customHeight="1" x14ac:dyDescent="0.4">
      <c r="A65" s="207"/>
      <c r="B65" s="144" t="s">
        <v>126</v>
      </c>
      <c r="C65" s="88" t="s">
        <v>23</v>
      </c>
      <c r="D65" s="57" t="s">
        <v>136</v>
      </c>
      <c r="E65" s="63">
        <v>5</v>
      </c>
      <c r="F65" s="63">
        <v>2</v>
      </c>
      <c r="G65" s="86"/>
      <c r="H65" s="224"/>
      <c r="I65" s="225"/>
      <c r="J65" s="225"/>
      <c r="K65" s="225"/>
      <c r="L65" s="226"/>
      <c r="M65" s="136"/>
      <c r="N65" s="132"/>
    </row>
    <row r="66" spans="1:14" ht="22.8" customHeight="1" thickBot="1" x14ac:dyDescent="0.45">
      <c r="A66" s="207"/>
      <c r="B66" s="144" t="s">
        <v>18</v>
      </c>
      <c r="C66" s="88" t="s">
        <v>25</v>
      </c>
      <c r="D66" s="57" t="s">
        <v>137</v>
      </c>
      <c r="E66" s="63">
        <v>5</v>
      </c>
      <c r="F66" s="63">
        <v>2</v>
      </c>
      <c r="G66" s="86"/>
      <c r="H66" s="224"/>
      <c r="I66" s="225"/>
      <c r="J66" s="225"/>
      <c r="K66" s="225"/>
      <c r="L66" s="226"/>
      <c r="M66" s="136"/>
      <c r="N66" s="132"/>
    </row>
    <row r="67" spans="1:14" ht="17.399999999999999" customHeight="1" x14ac:dyDescent="0.4">
      <c r="A67" s="191" t="s">
        <v>28</v>
      </c>
      <c r="B67" s="192"/>
      <c r="C67" s="192"/>
      <c r="D67" s="192"/>
      <c r="E67" s="192"/>
      <c r="F67" s="193"/>
      <c r="G67" s="141">
        <f>SUM(G5:G27)</f>
        <v>31</v>
      </c>
      <c r="H67" s="6">
        <f>SUM(H5:H27)</f>
        <v>31</v>
      </c>
      <c r="I67" s="77">
        <f>SUM(I5:I27)+M32+I39</f>
        <v>30</v>
      </c>
      <c r="J67" s="78">
        <f>SUM(J5:J31)+J39+M40</f>
        <v>30</v>
      </c>
      <c r="K67" s="77">
        <f>(M28+M29+M31+M47+M52)/2+M55</f>
        <v>28</v>
      </c>
      <c r="L67" s="78">
        <f>(M28+M29+M31+M47+M52)/2</f>
        <v>26</v>
      </c>
      <c r="M67" s="49">
        <f>SUM(G67:L67)</f>
        <v>176</v>
      </c>
      <c r="N67" s="56"/>
    </row>
    <row r="68" spans="1:14" ht="17.399999999999999" customHeight="1" x14ac:dyDescent="0.4">
      <c r="A68" s="194" t="s">
        <v>24</v>
      </c>
      <c r="B68" s="195"/>
      <c r="C68" s="195"/>
      <c r="D68" s="195"/>
      <c r="E68" s="195"/>
      <c r="F68" s="196"/>
      <c r="G68" s="116">
        <v>2</v>
      </c>
      <c r="H68" s="117">
        <v>2</v>
      </c>
      <c r="I68" s="85">
        <v>3</v>
      </c>
      <c r="J68" s="118">
        <v>3</v>
      </c>
      <c r="K68" s="119">
        <v>3</v>
      </c>
      <c r="L68" s="120">
        <v>3</v>
      </c>
      <c r="M68" s="63">
        <f>SUM(G68:L68)</f>
        <v>16</v>
      </c>
      <c r="N68" s="35"/>
    </row>
    <row r="69" spans="1:14" ht="17.399999999999999" customHeight="1" thickBot="1" x14ac:dyDescent="0.45">
      <c r="A69" s="197" t="s">
        <v>29</v>
      </c>
      <c r="B69" s="198"/>
      <c r="C69" s="198"/>
      <c r="D69" s="198"/>
      <c r="E69" s="198"/>
      <c r="F69" s="199"/>
      <c r="G69" s="147">
        <f t="shared" ref="G69:L69" si="0">SUM(G67:G68)</f>
        <v>33</v>
      </c>
      <c r="H69" s="79">
        <f t="shared" si="0"/>
        <v>33</v>
      </c>
      <c r="I69" s="147">
        <f t="shared" si="0"/>
        <v>33</v>
      </c>
      <c r="J69" s="79">
        <f t="shared" si="0"/>
        <v>33</v>
      </c>
      <c r="K69" s="80">
        <f t="shared" si="0"/>
        <v>31</v>
      </c>
      <c r="L69" s="148">
        <f t="shared" si="0"/>
        <v>29</v>
      </c>
      <c r="M69" s="81">
        <f>SUM(M67:M68)</f>
        <v>192</v>
      </c>
      <c r="N69" s="82"/>
    </row>
    <row r="70" spans="1:14" ht="12" customHeight="1" x14ac:dyDescent="0.4"/>
    <row r="71" spans="1:14" ht="28.8" customHeight="1" x14ac:dyDescent="0.4">
      <c r="A71" s="200" t="s">
        <v>89</v>
      </c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2"/>
    </row>
    <row r="72" spans="1:14" ht="40.200000000000003" customHeight="1" x14ac:dyDescent="0.4">
      <c r="A72" s="229" t="s">
        <v>90</v>
      </c>
      <c r="B72" s="229"/>
      <c r="C72" s="229"/>
      <c r="D72" s="229"/>
      <c r="E72" s="229"/>
      <c r="F72" s="229"/>
      <c r="G72" s="229"/>
      <c r="H72" s="229"/>
      <c r="I72" s="229"/>
      <c r="J72" s="229"/>
      <c r="K72" s="229"/>
      <c r="L72" s="229"/>
      <c r="M72" s="229"/>
      <c r="N72" s="229"/>
    </row>
  </sheetData>
  <mergeCells count="74">
    <mergeCell ref="A71:N71"/>
    <mergeCell ref="A72:N72"/>
    <mergeCell ref="B59:B60"/>
    <mergeCell ref="H59:L60"/>
    <mergeCell ref="H61:L66"/>
    <mergeCell ref="A67:F67"/>
    <mergeCell ref="A68:F68"/>
    <mergeCell ref="A69:F69"/>
    <mergeCell ref="M47:M51"/>
    <mergeCell ref="K48:K51"/>
    <mergeCell ref="L48:L51"/>
    <mergeCell ref="B50:B51"/>
    <mergeCell ref="B52:B53"/>
    <mergeCell ref="K52:L52"/>
    <mergeCell ref="M52:M54"/>
    <mergeCell ref="K53:K54"/>
    <mergeCell ref="L53:L54"/>
    <mergeCell ref="B29:B30"/>
    <mergeCell ref="K29:L29"/>
    <mergeCell ref="M29:M30"/>
    <mergeCell ref="A32:A66"/>
    <mergeCell ref="M32:M37"/>
    <mergeCell ref="I33:I37"/>
    <mergeCell ref="B35:B36"/>
    <mergeCell ref="M40:M46"/>
    <mergeCell ref="B41:B42"/>
    <mergeCell ref="J41:J46"/>
    <mergeCell ref="B55:B56"/>
    <mergeCell ref="M55:M58"/>
    <mergeCell ref="K56:K58"/>
    <mergeCell ref="B44:B45"/>
    <mergeCell ref="B47:B48"/>
    <mergeCell ref="K47:L47"/>
    <mergeCell ref="B23:B24"/>
    <mergeCell ref="G23:H23"/>
    <mergeCell ref="M23:M24"/>
    <mergeCell ref="N23:N24"/>
    <mergeCell ref="H24:H25"/>
    <mergeCell ref="M25:M27"/>
    <mergeCell ref="N25:N27"/>
    <mergeCell ref="B26:B27"/>
    <mergeCell ref="M15:M18"/>
    <mergeCell ref="N15:N18"/>
    <mergeCell ref="B19:B22"/>
    <mergeCell ref="M19:M22"/>
    <mergeCell ref="N19:N22"/>
    <mergeCell ref="A5:A27"/>
    <mergeCell ref="B5:B6"/>
    <mergeCell ref="M5:M6"/>
    <mergeCell ref="N5:N6"/>
    <mergeCell ref="B7:B8"/>
    <mergeCell ref="M7:M8"/>
    <mergeCell ref="N7:N8"/>
    <mergeCell ref="B9:B10"/>
    <mergeCell ref="M9:M10"/>
    <mergeCell ref="N9:N10"/>
    <mergeCell ref="B11:B14"/>
    <mergeCell ref="M11:M12"/>
    <mergeCell ref="N11:N12"/>
    <mergeCell ref="M13:M14"/>
    <mergeCell ref="N13:N14"/>
    <mergeCell ref="B15:B18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</mergeCells>
  <phoneticPr fontId="2" type="noConversion"/>
  <pageMargins left="0.7" right="0.7" top="0.75" bottom="0.75" header="0.3" footer="0.3"/>
  <pageSetup paperSize="9" scale="5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2026학년도 신입생 3개년</vt:lpstr>
      <vt:lpstr>2026학년도 전학년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2025-12-22T23:50:40Z</cp:lastPrinted>
  <dcterms:created xsi:type="dcterms:W3CDTF">2022-04-18T03:36:49Z</dcterms:created>
  <dcterms:modified xsi:type="dcterms:W3CDTF">2026-02-07T11:35:48Z</dcterms:modified>
</cp:coreProperties>
</file>