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2025 교육과정부 기획\교육과정편제\교육청 탑재(260205)\"/>
    </mc:Choice>
  </mc:AlternateContent>
  <xr:revisionPtr revIDLastSave="0" documentId="13_ncr:1_{46C57136-CC74-4A67-958B-77E8E929D6CC}" xr6:coauthVersionLast="47" xr6:coauthVersionMax="47" xr10:uidLastSave="{00000000-0000-0000-0000-000000000000}"/>
  <bookViews>
    <workbookView xWindow="-108" yWindow="-108" windowWidth="23256" windowHeight="12456" xr2:uid="{741D0B24-EFA6-4A4E-B032-E548FF298D37}"/>
  </bookViews>
  <sheets>
    <sheet name="2026신입생" sheetId="21" r:id="rId1"/>
    <sheet name="2026신입생 컨설팅1안" sheetId="16" state="hidden" r:id="rId2"/>
    <sheet name="삼산고_2026신입생 1-2안" sheetId="10" state="hidden" r:id="rId3"/>
    <sheet name="삼산고_2026신입생 2안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0" i="21" l="1"/>
  <c r="K80" i="21"/>
  <c r="J80" i="21"/>
  <c r="I80" i="21"/>
  <c r="H80" i="21"/>
  <c r="G80" i="21"/>
  <c r="M79" i="21"/>
  <c r="N78" i="21"/>
  <c r="M78" i="21"/>
  <c r="N31" i="21"/>
  <c r="M80" i="21" l="1"/>
  <c r="K78" i="16" l="1"/>
  <c r="J78" i="16"/>
  <c r="N78" i="16"/>
  <c r="M78" i="16"/>
  <c r="L78" i="16"/>
  <c r="O77" i="16"/>
  <c r="P76" i="16"/>
  <c r="P31" i="16"/>
  <c r="O76" i="16" l="1"/>
  <c r="I78" i="16"/>
  <c r="O78" i="16" s="1"/>
  <c r="M79" i="11" l="1"/>
  <c r="L79" i="11"/>
  <c r="K79" i="11"/>
  <c r="J79" i="11"/>
  <c r="I79" i="11"/>
  <c r="H79" i="11"/>
  <c r="N78" i="11"/>
  <c r="O77" i="11"/>
  <c r="N77" i="11"/>
  <c r="O30" i="11"/>
  <c r="N80" i="10"/>
  <c r="M80" i="10"/>
  <c r="L80" i="10"/>
  <c r="K80" i="10"/>
  <c r="J80" i="10"/>
  <c r="I80" i="10"/>
  <c r="O79" i="10"/>
  <c r="P78" i="10"/>
  <c r="O78" i="10"/>
  <c r="P31" i="10"/>
  <c r="N79" i="11" l="1"/>
  <c r="O80" i="10"/>
</calcChain>
</file>

<file path=xl/sharedStrings.xml><?xml version="1.0" encoding="utf-8"?>
<sst xmlns="http://schemas.openxmlformats.org/spreadsheetml/2006/main" count="878" uniqueCount="143">
  <si>
    <t>세부과목</t>
  </si>
  <si>
    <t>2학년</t>
  </si>
  <si>
    <t>3학년</t>
  </si>
  <si>
    <t>1학기</t>
  </si>
  <si>
    <t>2학기</t>
  </si>
  <si>
    <t>국어</t>
  </si>
  <si>
    <t>일반</t>
  </si>
  <si>
    <t>진로</t>
  </si>
  <si>
    <t>수학</t>
  </si>
  <si>
    <t>영어</t>
  </si>
  <si>
    <t>사회</t>
  </si>
  <si>
    <t>체육</t>
  </si>
  <si>
    <t>미술</t>
  </si>
  <si>
    <t>진로</t>
    <phoneticPr fontId="1" type="noConversion"/>
  </si>
  <si>
    <t>창의적 체험활동</t>
  </si>
  <si>
    <t>국어</t>
    <phoneticPr fontId="1" type="noConversion"/>
  </si>
  <si>
    <t>일반</t>
    <phoneticPr fontId="1" type="noConversion"/>
  </si>
  <si>
    <t>수학</t>
    <phoneticPr fontId="1" type="noConversion"/>
  </si>
  <si>
    <t>영어</t>
    <phoneticPr fontId="1" type="noConversion"/>
  </si>
  <si>
    <t>과학</t>
    <phoneticPr fontId="1" type="noConversion"/>
  </si>
  <si>
    <t>사회</t>
    <phoneticPr fontId="1" type="noConversion"/>
  </si>
  <si>
    <t>택2</t>
    <phoneticPr fontId="1" type="noConversion"/>
  </si>
  <si>
    <t>삼산고등학교</t>
    <phoneticPr fontId="1" type="noConversion"/>
  </si>
  <si>
    <t>기준
학점</t>
    <phoneticPr fontId="1" type="noConversion"/>
  </si>
  <si>
    <t>필수
이수
학점</t>
    <phoneticPr fontId="1" type="noConversion"/>
  </si>
  <si>
    <t>구분</t>
    <phoneticPr fontId="1" type="noConversion"/>
  </si>
  <si>
    <t>교과
(군)</t>
    <phoneticPr fontId="1" type="noConversion"/>
  </si>
  <si>
    <t>1학년</t>
    <phoneticPr fontId="1" type="noConversion"/>
  </si>
  <si>
    <t>학
교
지
정
교
육
과
정</t>
    <phoneticPr fontId="1" type="noConversion"/>
  </si>
  <si>
    <t>공통</t>
    <phoneticPr fontId="1" type="noConversion"/>
  </si>
  <si>
    <t>문학</t>
    <phoneticPr fontId="1" type="noConversion"/>
  </si>
  <si>
    <t>영어Ⅰ</t>
    <phoneticPr fontId="1" type="noConversion"/>
  </si>
  <si>
    <t>영어Ⅱ</t>
    <phoneticPr fontId="1" type="noConversion"/>
  </si>
  <si>
    <t>음악</t>
    <phoneticPr fontId="1" type="noConversion"/>
  </si>
  <si>
    <t>교양</t>
    <phoneticPr fontId="1" type="noConversion"/>
  </si>
  <si>
    <t>정보</t>
    <phoneticPr fontId="1" type="noConversion"/>
  </si>
  <si>
    <t>영미 문학 읽기</t>
    <phoneticPr fontId="1" type="noConversion"/>
  </si>
  <si>
    <t>예술</t>
    <phoneticPr fontId="1" type="noConversion"/>
  </si>
  <si>
    <t>학
생
선
택
교
육
과
정</t>
    <phoneticPr fontId="1" type="noConversion"/>
  </si>
  <si>
    <t>이수학점 소계</t>
    <phoneticPr fontId="1" type="noConversion"/>
  </si>
  <si>
    <t>학기별 총 이수 학점</t>
    <phoneticPr fontId="1" type="noConversion"/>
  </si>
  <si>
    <t>이수 
학점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</si>
  <si>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</si>
  <si>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</si>
  <si>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</si>
  <si>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</si>
  <si>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공통영어1</t>
    <phoneticPr fontId="1" type="noConversion"/>
  </si>
  <si>
    <t>공통영어2</t>
    <phoneticPr fontId="1" type="noConversion"/>
  </si>
  <si>
    <t>통합사회1</t>
    <phoneticPr fontId="1" type="noConversion"/>
  </si>
  <si>
    <t>통합사회2</t>
    <phoneticPr fontId="1" type="noConversion"/>
  </si>
  <si>
    <t>한국사1</t>
    <phoneticPr fontId="1" type="noConversion"/>
  </si>
  <si>
    <t>한국사2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</si>
  <si>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</si>
  <si>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</si>
  <si>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</si>
  <si>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</si>
  <si>
    <t>체육1</t>
    <phoneticPr fontId="1" type="noConversion"/>
  </si>
  <si>
    <t>체육2</t>
    <phoneticPr fontId="1" type="noConversion"/>
  </si>
  <si>
    <t>스포츠 문화</t>
    <phoneticPr fontId="1" type="noConversion"/>
  </si>
  <si>
    <t>스포츠 과학</t>
    <phoneticPr fontId="1" type="noConversion"/>
  </si>
  <si>
    <t>융합</t>
    <phoneticPr fontId="1" type="noConversion"/>
  </si>
  <si>
    <t>스포츠 생활1</t>
    <phoneticPr fontId="1" type="noConversion"/>
  </si>
  <si>
    <t>스포츠 생활2</t>
    <phoneticPr fontId="1" type="noConversion"/>
  </si>
  <si>
    <t>진로와 직업</t>
    <phoneticPr fontId="1" type="noConversion"/>
  </si>
  <si>
    <t>생태와 환경</t>
    <phoneticPr fontId="1" type="noConversion"/>
  </si>
  <si>
    <t>택6</t>
    <phoneticPr fontId="1" type="noConversion"/>
  </si>
  <si>
    <t>문학과 영상</t>
    <phoneticPr fontId="1" type="noConversion"/>
  </si>
  <si>
    <t>4
4
4
4
4
4</t>
    <phoneticPr fontId="1" type="noConversion"/>
  </si>
  <si>
    <t>미적분Ⅰ</t>
    <phoneticPr fontId="1" type="noConversion"/>
  </si>
  <si>
    <t>기하</t>
    <phoneticPr fontId="1" type="noConversion"/>
  </si>
  <si>
    <t>세계 문화와 영어</t>
    <phoneticPr fontId="1" type="noConversion"/>
  </si>
  <si>
    <t>사 회</t>
  </si>
  <si>
    <t>세계시민과 지리, 세계사, 사회와 문화</t>
    <phoneticPr fontId="1" type="noConversion"/>
  </si>
  <si>
    <t>윤리와 사상</t>
    <phoneticPr fontId="1" type="noConversion"/>
  </si>
  <si>
    <t>과 학</t>
  </si>
  <si>
    <t>제2외국어/한문</t>
    <phoneticPr fontId="1" type="noConversion"/>
  </si>
  <si>
    <t>일본어, 중국어, 한문</t>
    <phoneticPr fontId="1" type="noConversion"/>
  </si>
  <si>
    <t>화법과 언어</t>
    <phoneticPr fontId="1" type="noConversion"/>
  </si>
  <si>
    <t>주제 탐구 독서</t>
    <phoneticPr fontId="1" type="noConversion"/>
  </si>
  <si>
    <t>대수</t>
    <phoneticPr fontId="1" type="noConversion"/>
  </si>
  <si>
    <t>미적분Ⅱ</t>
    <phoneticPr fontId="1" type="noConversion"/>
  </si>
  <si>
    <t>영어 독해와 작문</t>
    <phoneticPr fontId="1" type="noConversion"/>
  </si>
  <si>
    <t>한국지리 탐구, 동아시아 역사 기행, 법과 사회</t>
    <phoneticPr fontId="1" type="noConversion"/>
  </si>
  <si>
    <t>윤리문제 탐구</t>
    <phoneticPr fontId="1" type="noConversion"/>
  </si>
  <si>
    <t>인공지능 기초</t>
    <phoneticPr fontId="1" type="noConversion"/>
  </si>
  <si>
    <t>일본어 회화, 중국어 회화, 한문 고전 읽기</t>
    <phoneticPr fontId="1" type="noConversion"/>
  </si>
  <si>
    <t>독서와 작문</t>
  </si>
  <si>
    <t>독서 토론과 글쓰기</t>
  </si>
  <si>
    <t>확률과 통계</t>
    <phoneticPr fontId="1" type="noConversion"/>
  </si>
  <si>
    <t>심화 영어 독해와 작문</t>
    <phoneticPr fontId="1" type="noConversion"/>
  </si>
  <si>
    <t>현대사회와 윤리</t>
    <phoneticPr fontId="1" type="noConversion"/>
  </si>
  <si>
    <t>정치</t>
    <phoneticPr fontId="1" type="noConversion"/>
  </si>
  <si>
    <t>여행지리, 사회문제 탐구, 역사로 탐구하는 현대 세계</t>
    <phoneticPr fontId="1" type="noConversion"/>
  </si>
  <si>
    <t>데이터 과학</t>
    <phoneticPr fontId="1" type="noConversion"/>
  </si>
  <si>
    <t>일본 문화, 중국 문화, 언어생활과 한자</t>
    <phoneticPr fontId="1" type="noConversion"/>
  </si>
  <si>
    <t>심화영어</t>
    <phoneticPr fontId="1" type="noConversion"/>
  </si>
  <si>
    <t>미디어 영어</t>
    <phoneticPr fontId="1" type="noConversion"/>
  </si>
  <si>
    <t>도시의 미래 탐구, 인문학과 윤리</t>
    <phoneticPr fontId="1" type="noConversion"/>
  </si>
  <si>
    <t>금융과 경제생활</t>
    <phoneticPr fontId="1" type="noConversion"/>
  </si>
  <si>
    <t>소프트웨어와 생활</t>
    <phoneticPr fontId="1" type="noConversion"/>
  </si>
  <si>
    <t>심화 일본어, 심화 중국어</t>
    <phoneticPr fontId="1" type="noConversion"/>
  </si>
  <si>
    <t>언어생활과 한자</t>
    <phoneticPr fontId="1" type="noConversion"/>
  </si>
  <si>
    <t>운영학점</t>
    <phoneticPr fontId="1" type="noConversion"/>
  </si>
  <si>
    <t>음악 감상과 비평</t>
  </si>
  <si>
    <r>
      <t>2026학년도 신입생 3개년 교육과정 편제표</t>
    </r>
    <r>
      <rPr>
        <b/>
        <sz val="12"/>
        <color theme="1"/>
        <rFont val="맑은 고딕"/>
        <family val="3"/>
        <charset val="129"/>
        <scheme val="major"/>
      </rPr>
      <t xml:space="preserve"> (컨설팅 1안)       </t>
    </r>
    <phoneticPr fontId="1" type="noConversion"/>
  </si>
  <si>
    <t>물리학, 화학, 생명과학, 지구과학</t>
    <phoneticPr fontId="1" type="noConversion"/>
  </si>
  <si>
    <t>역학과 에너지, 물질과 에너지, 세포와 물질대사, 지구시스템과학</t>
    <phoneticPr fontId="1" type="noConversion"/>
  </si>
  <si>
    <t>전자기와 양자, 화학 반응의 세계, 생물의 유전, 행성우주과학</t>
    <phoneticPr fontId="1" type="noConversion"/>
  </si>
  <si>
    <t>경제수학, 인공지능 수학</t>
    <phoneticPr fontId="1" type="noConversion"/>
  </si>
  <si>
    <t>과학의 역사와 문화, 융합과학 탐구, 기후변화와 환경생태</t>
    <phoneticPr fontId="1" type="noConversion"/>
  </si>
  <si>
    <t>매체 의사소통, 언어생활 탐구</t>
    <phoneticPr fontId="1" type="noConversion"/>
  </si>
  <si>
    <t>수학과 문화, 수학과제 탐구</t>
    <phoneticPr fontId="1" type="noConversion"/>
  </si>
  <si>
    <t>3
3</t>
    <phoneticPr fontId="1" type="noConversion"/>
  </si>
  <si>
    <t>미술</t>
    <phoneticPr fontId="1" type="noConversion"/>
  </si>
  <si>
    <t>택8</t>
    <phoneticPr fontId="1" type="noConversion"/>
  </si>
  <si>
    <t>음악과 미디어, 미술과 매체</t>
    <phoneticPr fontId="1" type="noConversion"/>
  </si>
  <si>
    <t>음악 감상과 비평, 미술 감상과 비평</t>
    <phoneticPr fontId="1" type="noConversion"/>
  </si>
  <si>
    <r>
      <t>2026학년도 신입생 3개년 교육과정 편제표</t>
    </r>
    <r>
      <rPr>
        <b/>
        <sz val="12"/>
        <color theme="1"/>
        <rFont val="맑은 고딕"/>
        <family val="3"/>
        <charset val="129"/>
        <scheme val="major"/>
      </rPr>
      <t xml:space="preserve"> (컨설팅 2안)       </t>
    </r>
    <phoneticPr fontId="1" type="noConversion"/>
  </si>
  <si>
    <t>2025학년도 신입생 편제표와 다른 부분(수학과)</t>
    <phoneticPr fontId="1" type="noConversion"/>
  </si>
  <si>
    <t>2025학년도 신입생 편제표와 다른 부분(과학과)</t>
    <phoneticPr fontId="1" type="noConversion"/>
  </si>
  <si>
    <t>음악 연주와 창작</t>
    <phoneticPr fontId="1" type="noConversion"/>
  </si>
  <si>
    <t>교차집중(↔)</t>
    <phoneticPr fontId="1" type="noConversion"/>
  </si>
  <si>
    <t>3, 3</t>
    <phoneticPr fontId="1" type="noConversion"/>
  </si>
  <si>
    <t>택7</t>
    <phoneticPr fontId="1" type="noConversion"/>
  </si>
  <si>
    <t>3
3
3
3
3
3
3</t>
    <phoneticPr fontId="1" type="noConversion"/>
  </si>
  <si>
    <t>매체 의사소통</t>
    <phoneticPr fontId="1" type="noConversion"/>
  </si>
  <si>
    <t>학
교
지
정
교
육
과
정</t>
    <phoneticPr fontId="1" type="noConversion"/>
  </si>
  <si>
    <t>2025학년도 신입생 편제표와 다른 부분(교양)</t>
    <phoneticPr fontId="1" type="noConversion"/>
  </si>
  <si>
    <t>2025학년도 신입생 편제표와 다른 부분(예술)</t>
    <phoneticPr fontId="1" type="noConversion"/>
  </si>
  <si>
    <t>2025학년도 신입생 편제표와 다른 부분(예술 포함 택8)</t>
    <phoneticPr fontId="1" type="noConversion"/>
  </si>
  <si>
    <t>2025학년도 신입생 편제표와 다른 부분(예술 포함 4학점 택6)</t>
    <phoneticPr fontId="1" type="noConversion"/>
  </si>
  <si>
    <t xml:space="preserve">택7 </t>
    <phoneticPr fontId="1" type="noConversion"/>
  </si>
  <si>
    <r>
      <t>2026학년도 신입생 3개년 교육과정 편제표</t>
    </r>
    <r>
      <rPr>
        <b/>
        <sz val="12"/>
        <color theme="1"/>
        <rFont val="맑은 고딕"/>
        <family val="3"/>
        <charset val="129"/>
        <scheme val="major"/>
      </rPr>
      <t xml:space="preserve">(컨설팅 1안)       </t>
    </r>
    <phoneticPr fontId="1" type="noConversion"/>
  </si>
  <si>
    <t>국제 관계의 이해</t>
    <phoneticPr fontId="1" type="noConversion"/>
  </si>
  <si>
    <t>공동교육과정(무학년/이수시기별 3학점)</t>
    <phoneticPr fontId="1" type="noConversion"/>
  </si>
  <si>
    <t xml:space="preserve">3
3
3
3
3
3
3
</t>
    <phoneticPr fontId="1" type="noConversion"/>
  </si>
  <si>
    <t>미술 감상과 비평</t>
    <phoneticPr fontId="1" type="noConversion"/>
  </si>
  <si>
    <t>경제수학</t>
    <phoneticPr fontId="1" type="noConversion"/>
  </si>
  <si>
    <t>기하, 인공지능 수학</t>
    <phoneticPr fontId="1" type="noConversion"/>
  </si>
  <si>
    <t>기후변화와 환경생태</t>
    <phoneticPr fontId="1" type="noConversion"/>
  </si>
  <si>
    <t>과학의 역사와 문화, 융합과학 탐구</t>
    <phoneticPr fontId="1" type="noConversion"/>
  </si>
  <si>
    <r>
      <t>2026학년도 신입생 3개년 교육과정편제표</t>
    </r>
    <r>
      <rPr>
        <b/>
        <sz val="12"/>
        <color theme="1"/>
        <rFont val="맑은 고딕"/>
        <family val="3"/>
        <charset val="129"/>
        <scheme val="major"/>
      </rPr>
      <t xml:space="preserve">          </t>
    </r>
    <phoneticPr fontId="1" type="noConversion"/>
  </si>
  <si>
    <t>순증
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</si>
</sst>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b/>
      <sz val="16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b/>
      <sz val="10"/>
      <color theme="1"/>
      <name val="나눔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FF0000"/>
      <name val="나눔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/>
  </cellStyleXfs>
  <cellXfs count="319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3" borderId="21" xfId="0" applyNumberFormat="1" applyFont="1" applyFill="1" applyBorder="1" applyAlignment="1">
      <alignment horizontal="center" vertical="center" shrinkToFit="1"/>
    </xf>
    <xf numFmtId="176" fontId="3" fillId="3" borderId="22" xfId="0" applyNumberFormat="1" applyFont="1" applyFill="1" applyBorder="1" applyAlignment="1">
      <alignment horizontal="center" vertical="center" shrinkToFit="1"/>
    </xf>
    <xf numFmtId="176" fontId="3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5" xfId="0" applyNumberFormat="1" applyFont="1" applyBorder="1" applyAlignment="1">
      <alignment horizontal="center" vertical="center" wrapText="1"/>
    </xf>
    <xf numFmtId="176" fontId="3" fillId="0" borderId="15" xfId="0" applyNumberFormat="1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176" fontId="3" fillId="0" borderId="18" xfId="0" applyNumberFormat="1" applyFont="1" applyBorder="1" applyAlignment="1">
      <alignment horizontal="center" vertical="center" wrapText="1"/>
    </xf>
    <xf numFmtId="176" fontId="3" fillId="2" borderId="17" xfId="0" applyNumberFormat="1" applyFont="1" applyFill="1" applyBorder="1" applyAlignment="1">
      <alignment horizontal="center" vertical="center" wrapText="1"/>
    </xf>
    <xf numFmtId="176" fontId="3" fillId="2" borderId="18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76" fontId="3" fillId="2" borderId="17" xfId="0" applyNumberFormat="1" applyFont="1" applyFill="1" applyBorder="1" applyAlignment="1">
      <alignment horizontal="center" vertical="center" wrapText="1" shrinkToFit="1"/>
    </xf>
    <xf numFmtId="176" fontId="3" fillId="2" borderId="18" xfId="0" applyNumberFormat="1" applyFont="1" applyFill="1" applyBorder="1" applyAlignment="1">
      <alignment horizontal="center" vertical="center" wrapText="1" shrinkToFit="1"/>
    </xf>
    <xf numFmtId="176" fontId="3" fillId="0" borderId="7" xfId="0" applyNumberFormat="1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176" fontId="3" fillId="2" borderId="21" xfId="0" applyNumberFormat="1" applyFont="1" applyFill="1" applyBorder="1" applyAlignment="1">
      <alignment horizontal="center" vertical="center" wrapText="1"/>
    </xf>
    <xf numFmtId="176" fontId="3" fillId="2" borderId="22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center" vertical="center" wrapText="1"/>
    </xf>
    <xf numFmtId="176" fontId="12" fillId="0" borderId="17" xfId="0" applyNumberFormat="1" applyFont="1" applyBorder="1" applyAlignment="1">
      <alignment horizontal="center" vertical="center" wrapText="1"/>
    </xf>
    <xf numFmtId="176" fontId="12" fillId="0" borderId="18" xfId="0" applyNumberFormat="1" applyFont="1" applyBorder="1" applyAlignment="1">
      <alignment horizontal="center" vertical="center" wrapText="1"/>
    </xf>
    <xf numFmtId="176" fontId="3" fillId="2" borderId="24" xfId="0" applyNumberFormat="1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176" fontId="3" fillId="2" borderId="15" xfId="0" applyNumberFormat="1" applyFont="1" applyFill="1" applyBorder="1" applyAlignment="1">
      <alignment horizontal="center" vertical="center" wrapText="1"/>
    </xf>
    <xf numFmtId="177" fontId="12" fillId="5" borderId="1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76" fontId="3" fillId="6" borderId="18" xfId="0" applyNumberFormat="1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176" fontId="3" fillId="0" borderId="3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76" fontId="13" fillId="9" borderId="18" xfId="0" applyNumberFormat="1" applyFont="1" applyFill="1" applyBorder="1" applyAlignment="1">
      <alignment horizontal="center" vertical="center" wrapText="1"/>
    </xf>
    <xf numFmtId="176" fontId="3" fillId="0" borderId="28" xfId="0" applyNumberFormat="1" applyFont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 wrapText="1"/>
    </xf>
    <xf numFmtId="176" fontId="3" fillId="0" borderId="32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176" fontId="10" fillId="0" borderId="2" xfId="0" applyNumberFormat="1" applyFont="1" applyBorder="1" applyAlignment="1">
      <alignment horizontal="left" vertical="center" wrapText="1"/>
    </xf>
    <xf numFmtId="176" fontId="10" fillId="0" borderId="15" xfId="0" applyNumberFormat="1" applyFont="1" applyBorder="1" applyAlignment="1">
      <alignment horizontal="left" vertical="center" wrapText="1"/>
    </xf>
    <xf numFmtId="176" fontId="10" fillId="0" borderId="15" xfId="0" applyNumberFormat="1" applyFont="1" applyBorder="1" applyAlignment="1">
      <alignment horizontal="left" vertical="center" shrinkToFit="1"/>
    </xf>
    <xf numFmtId="176" fontId="11" fillId="0" borderId="15" xfId="0" applyNumberFormat="1" applyFont="1" applyBorder="1" applyAlignment="1">
      <alignment horizontal="left" vertical="center" shrinkToFit="1"/>
    </xf>
    <xf numFmtId="176" fontId="10" fillId="0" borderId="7" xfId="0" applyNumberFormat="1" applyFont="1" applyBorder="1" applyAlignment="1">
      <alignment horizontal="left" vertical="center" shrinkToFit="1"/>
    </xf>
    <xf numFmtId="176" fontId="11" fillId="0" borderId="2" xfId="0" applyNumberFormat="1" applyFont="1" applyBorder="1" applyAlignment="1">
      <alignment horizontal="left" vertical="center" wrapText="1" shrinkToFit="1"/>
    </xf>
    <xf numFmtId="176" fontId="11" fillId="0" borderId="11" xfId="0" applyNumberFormat="1" applyFont="1" applyBorder="1" applyAlignment="1">
      <alignment horizontal="left" vertical="center" wrapText="1" shrinkToFit="1"/>
    </xf>
    <xf numFmtId="176" fontId="11" fillId="0" borderId="15" xfId="0" applyNumberFormat="1" applyFont="1" applyBorder="1" applyAlignment="1">
      <alignment horizontal="left" vertical="center" wrapText="1" shrinkToFit="1"/>
    </xf>
    <xf numFmtId="176" fontId="11" fillId="0" borderId="15" xfId="0" applyNumberFormat="1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176" fontId="3" fillId="2" borderId="13" xfId="0" applyNumberFormat="1" applyFont="1" applyFill="1" applyBorder="1" applyAlignment="1">
      <alignment horizontal="center" vertical="center" wrapText="1"/>
    </xf>
    <xf numFmtId="176" fontId="3" fillId="2" borderId="14" xfId="0" applyNumberFormat="1" applyFont="1" applyFill="1" applyBorder="1" applyAlignment="1">
      <alignment horizontal="center" vertical="center" wrapText="1"/>
    </xf>
    <xf numFmtId="176" fontId="3" fillId="4" borderId="21" xfId="0" applyNumberFormat="1" applyFont="1" applyFill="1" applyBorder="1" applyAlignment="1">
      <alignment horizontal="center" vertical="center" wrapText="1"/>
    </xf>
    <xf numFmtId="176" fontId="3" fillId="4" borderId="19" xfId="0" applyNumberFormat="1" applyFont="1" applyFill="1" applyBorder="1" applyAlignment="1">
      <alignment horizontal="center" vertical="center" wrapText="1"/>
    </xf>
    <xf numFmtId="176" fontId="3" fillId="6" borderId="22" xfId="0" applyNumberFormat="1" applyFont="1" applyFill="1" applyBorder="1" applyAlignment="1">
      <alignment horizontal="center" vertical="center" wrapText="1"/>
    </xf>
    <xf numFmtId="176" fontId="3" fillId="6" borderId="20" xfId="0" applyNumberFormat="1" applyFont="1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176" fontId="13" fillId="9" borderId="20" xfId="0" applyNumberFormat="1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left" vertical="center" wrapText="1"/>
    </xf>
    <xf numFmtId="0" fontId="12" fillId="10" borderId="15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11" fillId="10" borderId="3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center" vertical="center" wrapText="1"/>
    </xf>
    <xf numFmtId="176" fontId="3" fillId="0" borderId="21" xfId="0" applyNumberFormat="1" applyFont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center" vertical="center" wrapText="1"/>
    </xf>
    <xf numFmtId="176" fontId="3" fillId="6" borderId="20" xfId="0" applyNumberFormat="1" applyFont="1" applyFill="1" applyBorder="1" applyAlignment="1">
      <alignment vertical="center" wrapText="1"/>
    </xf>
    <xf numFmtId="176" fontId="3" fillId="4" borderId="13" xfId="0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left" wrapText="1"/>
    </xf>
    <xf numFmtId="176" fontId="3" fillId="0" borderId="24" xfId="0" applyNumberFormat="1" applyFont="1" applyBorder="1" applyAlignment="1">
      <alignment horizontal="center" vertical="center" shrinkToFit="1"/>
    </xf>
    <xf numFmtId="176" fontId="3" fillId="0" borderId="16" xfId="0" applyNumberFormat="1" applyFont="1" applyBorder="1" applyAlignment="1">
      <alignment horizontal="center" vertical="center" wrapText="1"/>
    </xf>
    <xf numFmtId="176" fontId="10" fillId="10" borderId="11" xfId="0" applyNumberFormat="1" applyFont="1" applyFill="1" applyBorder="1" applyAlignment="1">
      <alignment horizontal="center" vertical="center" wrapText="1"/>
    </xf>
    <xf numFmtId="176" fontId="11" fillId="10" borderId="11" xfId="0" applyNumberFormat="1" applyFont="1" applyFill="1" applyBorder="1" applyAlignment="1">
      <alignment horizontal="left" vertical="center" wrapText="1" shrinkToFit="1"/>
    </xf>
    <xf numFmtId="176" fontId="10" fillId="10" borderId="15" xfId="0" applyNumberFormat="1" applyFont="1" applyFill="1" applyBorder="1" applyAlignment="1">
      <alignment horizontal="center" vertical="center" wrapText="1"/>
    </xf>
    <xf numFmtId="176" fontId="11" fillId="10" borderId="15" xfId="0" applyNumberFormat="1" applyFont="1" applyFill="1" applyBorder="1" applyAlignment="1">
      <alignment horizontal="left" vertical="center" wrapText="1" shrinkToFit="1"/>
    </xf>
    <xf numFmtId="0" fontId="11" fillId="10" borderId="15" xfId="0" applyFont="1" applyFill="1" applyBorder="1" applyAlignment="1">
      <alignment horizontal="center" vertical="center" wrapText="1"/>
    </xf>
    <xf numFmtId="176" fontId="3" fillId="10" borderId="24" xfId="0" applyNumberFormat="1" applyFont="1" applyFill="1" applyBorder="1" applyAlignment="1">
      <alignment horizontal="center" vertical="center" shrinkToFit="1"/>
    </xf>
    <xf numFmtId="0" fontId="2" fillId="10" borderId="0" xfId="0" applyFont="1" applyFill="1">
      <alignment vertical="center"/>
    </xf>
    <xf numFmtId="176" fontId="3" fillId="11" borderId="24" xfId="0" applyNumberFormat="1" applyFont="1" applyFill="1" applyBorder="1" applyAlignment="1">
      <alignment horizontal="center" vertical="center" wrapText="1"/>
    </xf>
    <xf numFmtId="176" fontId="3" fillId="11" borderId="15" xfId="0" applyNumberFormat="1" applyFont="1" applyFill="1" applyBorder="1" applyAlignment="1">
      <alignment horizontal="center" vertical="center" wrapText="1"/>
    </xf>
    <xf numFmtId="176" fontId="11" fillId="11" borderId="15" xfId="0" applyNumberFormat="1" applyFont="1" applyFill="1" applyBorder="1" applyAlignment="1">
      <alignment horizontal="left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left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left" vertical="center" wrapText="1"/>
    </xf>
    <xf numFmtId="0" fontId="2" fillId="11" borderId="0" xfId="0" applyFont="1" applyFill="1">
      <alignment vertical="center"/>
    </xf>
    <xf numFmtId="176" fontId="3" fillId="12" borderId="24" xfId="0" applyNumberFormat="1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left" vertical="center" wrapText="1"/>
    </xf>
    <xf numFmtId="176" fontId="3" fillId="12" borderId="11" xfId="0" applyNumberFormat="1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11" fillId="12" borderId="31" xfId="0" applyFont="1" applyFill="1" applyBorder="1" applyAlignment="1">
      <alignment horizontal="left" vertical="center" wrapText="1"/>
    </xf>
    <xf numFmtId="0" fontId="2" fillId="12" borderId="0" xfId="0" applyFont="1" applyFill="1">
      <alignment vertical="center"/>
    </xf>
    <xf numFmtId="176" fontId="3" fillId="13" borderId="9" xfId="0" applyNumberFormat="1" applyFont="1" applyFill="1" applyBorder="1" applyAlignment="1">
      <alignment horizontal="center" vertical="center" wrapText="1"/>
    </xf>
    <xf numFmtId="176" fontId="3" fillId="13" borderId="10" xfId="0" applyNumberFormat="1" applyFont="1" applyFill="1" applyBorder="1" applyAlignment="1">
      <alignment horizontal="center" vertical="center" wrapText="1"/>
    </xf>
    <xf numFmtId="176" fontId="3" fillId="0" borderId="49" xfId="0" applyNumberFormat="1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176" fontId="3" fillId="2" borderId="16" xfId="0" applyNumberFormat="1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3" fillId="8" borderId="58" xfId="0" applyFont="1" applyFill="1" applyBorder="1" applyAlignment="1">
      <alignment horizontal="center" vertical="center" wrapText="1"/>
    </xf>
    <xf numFmtId="0" fontId="0" fillId="8" borderId="59" xfId="0" applyFill="1" applyBorder="1" applyAlignment="1">
      <alignment horizontal="center" vertical="center" wrapText="1"/>
    </xf>
    <xf numFmtId="0" fontId="0" fillId="8" borderId="60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176" fontId="13" fillId="9" borderId="58" xfId="0" applyNumberFormat="1" applyFont="1" applyFill="1" applyBorder="1" applyAlignment="1">
      <alignment horizontal="center" vertical="center" wrapText="1"/>
    </xf>
    <xf numFmtId="176" fontId="13" fillId="9" borderId="60" xfId="0" applyNumberFormat="1" applyFont="1" applyFill="1" applyBorder="1" applyAlignment="1">
      <alignment horizontal="center" vertical="center" wrapText="1"/>
    </xf>
    <xf numFmtId="176" fontId="13" fillId="9" borderId="61" xfId="0" applyNumberFormat="1" applyFont="1" applyFill="1" applyBorder="1" applyAlignment="1">
      <alignment horizontal="center" vertical="center" wrapText="1"/>
    </xf>
    <xf numFmtId="0" fontId="15" fillId="0" borderId="57" xfId="0" applyFont="1" applyBorder="1">
      <alignment vertical="center"/>
    </xf>
    <xf numFmtId="176" fontId="3" fillId="12" borderId="15" xfId="0" applyNumberFormat="1" applyFont="1" applyFill="1" applyBorder="1" applyAlignment="1">
      <alignment horizontal="center" vertical="center" wrapText="1"/>
    </xf>
    <xf numFmtId="176" fontId="10" fillId="12" borderId="15" xfId="0" applyNumberFormat="1" applyFont="1" applyFill="1" applyBorder="1" applyAlignment="1">
      <alignment horizontal="left" vertical="center" shrinkToFit="1"/>
    </xf>
    <xf numFmtId="176" fontId="3" fillId="12" borderId="17" xfId="0" applyNumberFormat="1" applyFont="1" applyFill="1" applyBorder="1" applyAlignment="1">
      <alignment horizontal="center" vertical="center" wrapText="1"/>
    </xf>
    <xf numFmtId="176" fontId="3" fillId="12" borderId="18" xfId="0" applyNumberFormat="1" applyFont="1" applyFill="1" applyBorder="1" applyAlignment="1">
      <alignment horizontal="center" vertical="center" wrapText="1" shrinkToFit="1"/>
    </xf>
    <xf numFmtId="176" fontId="3" fillId="14" borderId="24" xfId="0" applyNumberFormat="1" applyFont="1" applyFill="1" applyBorder="1" applyAlignment="1">
      <alignment horizontal="center" vertical="center" wrapText="1"/>
    </xf>
    <xf numFmtId="176" fontId="3" fillId="14" borderId="15" xfId="0" applyNumberFormat="1" applyFont="1" applyFill="1" applyBorder="1" applyAlignment="1">
      <alignment horizontal="center" vertical="center" wrapText="1"/>
    </xf>
    <xf numFmtId="176" fontId="10" fillId="14" borderId="15" xfId="0" applyNumberFormat="1" applyFont="1" applyFill="1" applyBorder="1" applyAlignment="1">
      <alignment horizontal="left" vertical="center" shrinkToFit="1"/>
    </xf>
    <xf numFmtId="176" fontId="3" fillId="14" borderId="17" xfId="0" applyNumberFormat="1" applyFont="1" applyFill="1" applyBorder="1" applyAlignment="1">
      <alignment horizontal="center" vertical="center" wrapText="1"/>
    </xf>
    <xf numFmtId="0" fontId="2" fillId="14" borderId="0" xfId="0" applyFont="1" applyFill="1">
      <alignment vertical="center"/>
    </xf>
    <xf numFmtId="176" fontId="3" fillId="0" borderId="12" xfId="0" applyNumberFormat="1" applyFont="1" applyBorder="1" applyAlignment="1">
      <alignment horizontal="center" vertical="center" wrapText="1"/>
    </xf>
    <xf numFmtId="176" fontId="3" fillId="6" borderId="16" xfId="0" applyNumberFormat="1" applyFont="1" applyFill="1" applyBorder="1" applyAlignment="1">
      <alignment horizontal="center" vertical="center" wrapText="1"/>
    </xf>
    <xf numFmtId="176" fontId="3" fillId="6" borderId="23" xfId="0" applyNumberFormat="1" applyFont="1" applyFill="1" applyBorder="1" applyAlignment="1">
      <alignment horizontal="center" vertical="center" wrapText="1"/>
    </xf>
    <xf numFmtId="176" fontId="3" fillId="6" borderId="48" xfId="0" applyNumberFormat="1" applyFont="1" applyFill="1" applyBorder="1" applyAlignment="1">
      <alignment horizontal="center" vertical="center" wrapText="1"/>
    </xf>
    <xf numFmtId="176" fontId="3" fillId="6" borderId="48" xfId="0" applyNumberFormat="1" applyFont="1" applyFill="1" applyBorder="1" applyAlignment="1">
      <alignment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176" fontId="13" fillId="9" borderId="22" xfId="0" applyNumberFormat="1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176" fontId="3" fillId="0" borderId="51" xfId="0" applyNumberFormat="1" applyFont="1" applyBorder="1" applyAlignment="1">
      <alignment horizontal="center" vertical="center" wrapText="1"/>
    </xf>
    <xf numFmtId="176" fontId="13" fillId="9" borderId="10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76" fontId="3" fillId="2" borderId="28" xfId="0" applyNumberFormat="1" applyFont="1" applyFill="1" applyBorder="1" applyAlignment="1">
      <alignment horizontal="center" vertical="center" wrapText="1"/>
    </xf>
    <xf numFmtId="176" fontId="3" fillId="2" borderId="13" xfId="0" applyNumberFormat="1" applyFont="1" applyFill="1" applyBorder="1" applyAlignment="1">
      <alignment horizontal="center" vertical="center" wrapText="1" shrinkToFit="1"/>
    </xf>
    <xf numFmtId="176" fontId="3" fillId="2" borderId="14" xfId="0" applyNumberFormat="1" applyFont="1" applyFill="1" applyBorder="1" applyAlignment="1">
      <alignment horizontal="center" vertical="center" wrapText="1" shrinkToFit="1"/>
    </xf>
    <xf numFmtId="176" fontId="3" fillId="3" borderId="36" xfId="0" applyNumberFormat="1" applyFont="1" applyFill="1" applyBorder="1" applyAlignment="1">
      <alignment horizontal="center" vertical="center" shrinkToFit="1"/>
    </xf>
    <xf numFmtId="176" fontId="10" fillId="2" borderId="15" xfId="0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76" fontId="10" fillId="0" borderId="15" xfId="0" applyNumberFormat="1" applyFont="1" applyBorder="1" applyAlignment="1">
      <alignment horizontal="center" vertical="center" wrapText="1"/>
    </xf>
    <xf numFmtId="176" fontId="12" fillId="0" borderId="11" xfId="0" applyNumberFormat="1" applyFont="1" applyBorder="1" applyAlignment="1">
      <alignment horizontal="left" vertical="center" wrapText="1" shrinkToFit="1"/>
    </xf>
    <xf numFmtId="0" fontId="0" fillId="0" borderId="39" xfId="0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176" fontId="3" fillId="0" borderId="10" xfId="0" applyNumberFormat="1" applyFont="1" applyFill="1" applyBorder="1" applyAlignment="1">
      <alignment horizontal="center" vertical="center" wrapText="1"/>
    </xf>
    <xf numFmtId="176" fontId="3" fillId="0" borderId="21" xfId="0" applyNumberFormat="1" applyFont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28" xfId="0" applyNumberFormat="1" applyFont="1" applyBorder="1" applyAlignment="1">
      <alignment horizontal="center" vertical="center" wrapText="1"/>
    </xf>
    <xf numFmtId="176" fontId="3" fillId="0" borderId="18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2" borderId="28" xfId="0" applyNumberFormat="1" applyFont="1" applyFill="1" applyBorder="1" applyAlignment="1">
      <alignment horizontal="center" vertical="center" wrapText="1"/>
    </xf>
    <xf numFmtId="176" fontId="3" fillId="2" borderId="36" xfId="0" applyNumberFormat="1" applyFont="1" applyFill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 wrapText="1"/>
    </xf>
    <xf numFmtId="176" fontId="10" fillId="0" borderId="24" xfId="0" applyNumberFormat="1" applyFont="1" applyBorder="1" applyAlignment="1">
      <alignment horizontal="center" vertical="center" wrapText="1"/>
    </xf>
    <xf numFmtId="176" fontId="10" fillId="0" borderId="11" xfId="0" applyNumberFormat="1" applyFont="1" applyBorder="1" applyAlignment="1">
      <alignment horizontal="center" vertical="center" wrapText="1"/>
    </xf>
    <xf numFmtId="176" fontId="10" fillId="2" borderId="24" xfId="0" applyNumberFormat="1" applyFont="1" applyFill="1" applyBorder="1" applyAlignment="1">
      <alignment horizontal="center" vertical="center" wrapText="1"/>
    </xf>
    <xf numFmtId="176" fontId="3" fillId="0" borderId="15" xfId="0" applyNumberFormat="1" applyFont="1" applyBorder="1" applyAlignment="1">
      <alignment horizontal="left" vertical="center" shrinkToFi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3" fillId="0" borderId="34" xfId="0" applyNumberFormat="1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11" fillId="0" borderId="37" xfId="0" applyFont="1" applyFill="1" applyBorder="1" applyAlignment="1">
      <alignment horizontal="left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76" fontId="10" fillId="2" borderId="24" xfId="0" applyNumberFormat="1" applyFont="1" applyFill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wrapText="1"/>
    </xf>
    <xf numFmtId="176" fontId="10" fillId="0" borderId="24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6" fontId="3" fillId="0" borderId="29" xfId="0" applyNumberFormat="1" applyFont="1" applyBorder="1" applyAlignment="1">
      <alignment horizontal="center" vertical="center" wrapText="1"/>
    </xf>
    <xf numFmtId="176" fontId="3" fillId="0" borderId="21" xfId="0" applyNumberFormat="1" applyFont="1" applyBorder="1" applyAlignment="1">
      <alignment horizontal="center" vertical="center" wrapText="1"/>
    </xf>
    <xf numFmtId="176" fontId="3" fillId="0" borderId="19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176" fontId="13" fillId="9" borderId="20" xfId="0" applyNumberFormat="1" applyFont="1" applyFill="1" applyBorder="1" applyAlignment="1">
      <alignment horizontal="center" vertical="center" wrapText="1"/>
    </xf>
    <xf numFmtId="176" fontId="13" fillId="9" borderId="10" xfId="0" applyNumberFormat="1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76" fontId="3" fillId="2" borderId="24" xfId="0" applyNumberFormat="1" applyFont="1" applyFill="1" applyBorder="1" applyAlignment="1">
      <alignment horizontal="center" vertical="center" wrapText="1"/>
    </xf>
    <xf numFmtId="176" fontId="3" fillId="2" borderId="3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76" fontId="3" fillId="0" borderId="42" xfId="0" applyNumberFormat="1" applyFont="1" applyFill="1" applyBorder="1" applyAlignment="1">
      <alignment horizontal="center" vertical="center" shrinkToFit="1"/>
    </xf>
    <xf numFmtId="176" fontId="3" fillId="0" borderId="38" xfId="0" applyNumberFormat="1" applyFont="1" applyFill="1" applyBorder="1" applyAlignment="1">
      <alignment horizontal="center" vertical="center" shrinkToFit="1"/>
    </xf>
    <xf numFmtId="176" fontId="3" fillId="0" borderId="44" xfId="0" applyNumberFormat="1" applyFont="1" applyFill="1" applyBorder="1" applyAlignment="1">
      <alignment horizontal="center" vertical="center" shrinkToFit="1"/>
    </xf>
    <xf numFmtId="176" fontId="3" fillId="0" borderId="52" xfId="0" applyNumberFormat="1" applyFont="1" applyFill="1" applyBorder="1" applyAlignment="1">
      <alignment horizontal="center" vertical="center" shrinkToFit="1"/>
    </xf>
    <xf numFmtId="176" fontId="3" fillId="0" borderId="37" xfId="0" applyNumberFormat="1" applyFont="1" applyFill="1" applyBorder="1" applyAlignment="1">
      <alignment horizontal="center" vertical="center" shrinkToFit="1"/>
    </xf>
    <xf numFmtId="176" fontId="3" fillId="0" borderId="53" xfId="0" applyNumberFormat="1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76" fontId="3" fillId="2" borderId="27" xfId="0" applyNumberFormat="1" applyFont="1" applyFill="1" applyBorder="1" applyAlignment="1">
      <alignment horizontal="center" vertical="center" wrapText="1"/>
    </xf>
    <xf numFmtId="176" fontId="3" fillId="2" borderId="11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10" fillId="2" borderId="24" xfId="0" applyNumberFormat="1" applyFont="1" applyFill="1" applyBorder="1" applyAlignment="1">
      <alignment horizontal="center" vertical="center" wrapText="1"/>
    </xf>
    <xf numFmtId="176" fontId="10" fillId="2" borderId="11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center" vertical="center" wrapText="1"/>
    </xf>
    <xf numFmtId="176" fontId="3" fillId="0" borderId="15" xfId="0" applyNumberFormat="1" applyFont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6" fontId="3" fillId="6" borderId="22" xfId="0" applyNumberFormat="1" applyFont="1" applyFill="1" applyBorder="1" applyAlignment="1">
      <alignment horizontal="center" vertical="center" wrapText="1"/>
    </xf>
    <xf numFmtId="176" fontId="3" fillId="6" borderId="20" xfId="0" applyNumberFormat="1" applyFont="1" applyFill="1" applyBorder="1" applyAlignment="1">
      <alignment horizontal="center" vertical="center" wrapText="1"/>
    </xf>
    <xf numFmtId="176" fontId="10" fillId="0" borderId="24" xfId="0" applyNumberFormat="1" applyFont="1" applyBorder="1" applyAlignment="1">
      <alignment horizontal="center" vertical="center" wrapText="1"/>
    </xf>
    <xf numFmtId="176" fontId="10" fillId="0" borderId="11" xfId="0" applyNumberFormat="1" applyFont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176" fontId="10" fillId="0" borderId="26" xfId="0" applyNumberFormat="1" applyFont="1" applyBorder="1" applyAlignment="1">
      <alignment horizontal="center" vertical="center" wrapText="1"/>
    </xf>
    <xf numFmtId="176" fontId="3" fillId="2" borderId="26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Border="1" applyAlignment="1">
      <alignment horizontal="center" vertical="center" wrapText="1"/>
    </xf>
    <xf numFmtId="176" fontId="3" fillId="0" borderId="20" xfId="0" applyNumberFormat="1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center" vertical="center" wrapText="1"/>
    </xf>
    <xf numFmtId="176" fontId="3" fillId="13" borderId="54" xfId="0" applyNumberFormat="1" applyFont="1" applyFill="1" applyBorder="1" applyAlignment="1">
      <alignment horizontal="center" vertical="center" wrapText="1"/>
    </xf>
    <xf numFmtId="0" fontId="3" fillId="13" borderId="45" xfId="0" applyFont="1" applyFill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6" fontId="3" fillId="4" borderId="21" xfId="0" applyNumberFormat="1" applyFont="1" applyFill="1" applyBorder="1" applyAlignment="1">
      <alignment horizontal="center" vertical="center" wrapText="1"/>
    </xf>
    <xf numFmtId="176" fontId="3" fillId="4" borderId="19" xfId="0" applyNumberFormat="1" applyFont="1" applyFill="1" applyBorder="1" applyAlignment="1">
      <alignment horizontal="center" vertical="center" wrapText="1"/>
    </xf>
    <xf numFmtId="176" fontId="10" fillId="2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2" borderId="15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176" fontId="3" fillId="3" borderId="24" xfId="0" applyNumberFormat="1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6" fontId="3" fillId="3" borderId="23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3" fillId="3" borderId="25" xfId="0" applyNumberFormat="1" applyFont="1" applyFill="1" applyBorder="1" applyAlignment="1">
      <alignment horizontal="center" vertical="center" wrapText="1"/>
    </xf>
    <xf numFmtId="176" fontId="3" fillId="3" borderId="35" xfId="0" applyNumberFormat="1" applyFont="1" applyFill="1" applyBorder="1" applyAlignment="1">
      <alignment horizontal="center" vertical="center" wrapText="1"/>
    </xf>
    <xf numFmtId="176" fontId="3" fillId="3" borderId="36" xfId="0" applyNumberFormat="1" applyFont="1" applyFill="1" applyBorder="1" applyAlignment="1">
      <alignment horizontal="center" vertical="center" wrapText="1"/>
    </xf>
    <xf numFmtId="176" fontId="9" fillId="3" borderId="25" xfId="0" applyNumberFormat="1" applyFont="1" applyFill="1" applyBorder="1" applyAlignment="1">
      <alignment horizontal="center" vertical="center" wrapText="1"/>
    </xf>
    <xf numFmtId="176" fontId="9" fillId="3" borderId="22" xfId="0" applyNumberFormat="1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right" vertical="center" wrapText="1"/>
    </xf>
    <xf numFmtId="0" fontId="3" fillId="3" borderId="50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176" fontId="3" fillId="2" borderId="35" xfId="0" applyNumberFormat="1" applyFont="1" applyFill="1" applyBorder="1" applyAlignment="1">
      <alignment horizontal="center" vertical="center" wrapText="1"/>
    </xf>
    <xf numFmtId="176" fontId="3" fillId="2" borderId="28" xfId="0" applyNumberFormat="1" applyFont="1" applyFill="1" applyBorder="1" applyAlignment="1">
      <alignment horizontal="center" vertical="center" wrapText="1"/>
    </xf>
    <xf numFmtId="176" fontId="3" fillId="2" borderId="36" xfId="0" applyNumberFormat="1" applyFont="1" applyFill="1" applyBorder="1" applyAlignment="1">
      <alignment horizontal="center" vertical="center" wrapText="1"/>
    </xf>
    <xf numFmtId="176" fontId="3" fillId="2" borderId="40" xfId="0" applyNumberFormat="1" applyFont="1" applyFill="1" applyBorder="1" applyAlignment="1">
      <alignment horizontal="center" vertical="center" wrapText="1"/>
    </xf>
    <xf numFmtId="176" fontId="3" fillId="2" borderId="33" xfId="0" applyNumberFormat="1" applyFont="1" applyFill="1" applyBorder="1" applyAlignment="1">
      <alignment horizontal="center" vertical="center" wrapText="1"/>
    </xf>
    <xf numFmtId="176" fontId="3" fillId="2" borderId="41" xfId="0" applyNumberFormat="1" applyFont="1" applyFill="1" applyBorder="1" applyAlignment="1">
      <alignment horizontal="center" vertical="center" wrapText="1"/>
    </xf>
    <xf numFmtId="176" fontId="3" fillId="0" borderId="40" xfId="0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76" fontId="3" fillId="10" borderId="24" xfId="0" applyNumberFormat="1" applyFont="1" applyFill="1" applyBorder="1" applyAlignment="1">
      <alignment horizontal="center" vertical="center" wrapText="1"/>
    </xf>
    <xf numFmtId="176" fontId="3" fillId="10" borderId="11" xfId="0" applyNumberFormat="1" applyFont="1" applyFill="1" applyBorder="1" applyAlignment="1">
      <alignment horizontal="center" vertical="center" wrapText="1"/>
    </xf>
    <xf numFmtId="176" fontId="3" fillId="0" borderId="24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76" fontId="3" fillId="10" borderId="26" xfId="0" applyNumberFormat="1" applyFont="1" applyFill="1" applyBorder="1" applyAlignment="1">
      <alignment horizontal="center" vertical="center" wrapText="1"/>
    </xf>
    <xf numFmtId="176" fontId="3" fillId="0" borderId="26" xfId="0" applyNumberFormat="1" applyFont="1" applyBorder="1" applyAlignment="1">
      <alignment horizontal="center" vertical="center" wrapText="1"/>
    </xf>
    <xf numFmtId="176" fontId="3" fillId="0" borderId="36" xfId="0" applyNumberFormat="1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176" fontId="3" fillId="0" borderId="28" xfId="0" applyNumberFormat="1" applyFont="1" applyBorder="1" applyAlignment="1">
      <alignment horizontal="center" vertical="center" wrapText="1"/>
    </xf>
    <xf numFmtId="176" fontId="3" fillId="0" borderId="32" xfId="0" applyNumberFormat="1" applyFont="1" applyBorder="1" applyAlignment="1">
      <alignment horizontal="center" vertical="center" wrapText="1"/>
    </xf>
    <xf numFmtId="176" fontId="3" fillId="11" borderId="24" xfId="0" applyNumberFormat="1" applyFont="1" applyFill="1" applyBorder="1" applyAlignment="1">
      <alignment horizontal="center" vertical="center" wrapText="1"/>
    </xf>
    <xf numFmtId="176" fontId="3" fillId="11" borderId="11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176" fontId="3" fillId="12" borderId="24" xfId="0" applyNumberFormat="1" applyFont="1" applyFill="1" applyBorder="1" applyAlignment="1">
      <alignment horizontal="center" vertical="center" wrapText="1"/>
    </xf>
    <xf numFmtId="176" fontId="3" fillId="12" borderId="26" xfId="0" applyNumberFormat="1" applyFont="1" applyFill="1" applyBorder="1" applyAlignment="1">
      <alignment horizontal="center" vertical="center" wrapText="1"/>
    </xf>
    <xf numFmtId="176" fontId="3" fillId="12" borderId="11" xfId="0" applyNumberFormat="1" applyFont="1" applyFill="1" applyBorder="1" applyAlignment="1">
      <alignment horizontal="center" vertical="center" wrapText="1"/>
    </xf>
    <xf numFmtId="176" fontId="3" fillId="0" borderId="27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55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73B05701-554B-4CC3-B75A-4F7E2DB58159}"/>
  </cellStyles>
  <dxfs count="0"/>
  <tableStyles count="0" defaultTableStyle="TableStyleMedium2" defaultPivotStyle="PivotStyleLight16"/>
  <colors>
    <mruColors>
      <color rgb="FFFFCCCC"/>
      <color rgb="FFFFFF99"/>
      <color rgb="FFD3D1FF"/>
      <color rgb="FFFFCCFF"/>
      <color rgb="FF0000FF"/>
      <color rgb="FF2084FC"/>
      <color rgb="FF9FFFD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AD54-8641-4D18-A264-1BC9C0E1B2D7}">
  <sheetPr>
    <tabColor theme="9" tint="0.59999389629810485"/>
    <pageSetUpPr fitToPage="1"/>
  </sheetPr>
  <dimension ref="A1:P84"/>
  <sheetViews>
    <sheetView tabSelected="1" zoomScale="85" zoomScaleNormal="85" workbookViewId="0">
      <pane xSplit="3" ySplit="4" topLeftCell="D56" activePane="bottomRight" state="frozen"/>
      <selection pane="topRight" activeCell="D1" sqref="D1"/>
      <selection pane="bottomLeft" activeCell="A5" sqref="A5"/>
      <selection pane="bottomRight" activeCell="T69" sqref="T69"/>
    </sheetView>
  </sheetViews>
  <sheetFormatPr defaultRowHeight="17.399999999999999" x14ac:dyDescent="0.4"/>
  <cols>
    <col min="1" max="1" width="6.09765625" customWidth="1"/>
    <col min="2" max="2" width="14.3984375" customWidth="1"/>
    <col min="3" max="3" width="9.3984375" customWidth="1"/>
    <col min="4" max="4" width="49.796875" customWidth="1"/>
    <col min="5" max="6" width="4.3984375" customWidth="1"/>
    <col min="7" max="12" width="5.19921875" customWidth="1"/>
    <col min="13" max="13" width="4.3984375" customWidth="1"/>
    <col min="14" max="14" width="4.69921875" customWidth="1"/>
  </cols>
  <sheetData>
    <row r="1" spans="1:16" ht="31.95" customHeight="1" x14ac:dyDescent="0.4">
      <c r="A1" s="261" t="s">
        <v>141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1"/>
      <c r="P1" s="1"/>
    </row>
    <row r="2" spans="1:16" ht="22.2" customHeight="1" thickBot="1" x14ac:dyDescent="0.45">
      <c r="A2" s="262" t="s">
        <v>22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1"/>
      <c r="P2" s="1"/>
    </row>
    <row r="3" spans="1:16" ht="19.95" customHeight="1" x14ac:dyDescent="0.4">
      <c r="A3" s="264" t="s">
        <v>25</v>
      </c>
      <c r="B3" s="266" t="s">
        <v>26</v>
      </c>
      <c r="C3" s="266" t="s">
        <v>0</v>
      </c>
      <c r="D3" s="266"/>
      <c r="E3" s="266" t="s">
        <v>23</v>
      </c>
      <c r="F3" s="268" t="s">
        <v>102</v>
      </c>
      <c r="G3" s="270" t="s">
        <v>27</v>
      </c>
      <c r="H3" s="271"/>
      <c r="I3" s="272" t="s">
        <v>1</v>
      </c>
      <c r="J3" s="271"/>
      <c r="K3" s="270" t="s">
        <v>2</v>
      </c>
      <c r="L3" s="271"/>
      <c r="M3" s="272" t="s">
        <v>41</v>
      </c>
      <c r="N3" s="274" t="s">
        <v>24</v>
      </c>
      <c r="O3" s="1"/>
      <c r="P3" s="1"/>
    </row>
    <row r="4" spans="1:16" ht="19.95" customHeight="1" thickBot="1" x14ac:dyDescent="0.45">
      <c r="A4" s="265"/>
      <c r="B4" s="267"/>
      <c r="C4" s="267"/>
      <c r="D4" s="267"/>
      <c r="E4" s="267"/>
      <c r="F4" s="269"/>
      <c r="G4" s="2" t="s">
        <v>3</v>
      </c>
      <c r="H4" s="3" t="s">
        <v>4</v>
      </c>
      <c r="I4" s="162" t="s">
        <v>3</v>
      </c>
      <c r="J4" s="3" t="s">
        <v>4</v>
      </c>
      <c r="K4" s="2" t="s">
        <v>3</v>
      </c>
      <c r="L4" s="3" t="s">
        <v>4</v>
      </c>
      <c r="M4" s="273"/>
      <c r="N4" s="275"/>
      <c r="O4" s="1"/>
      <c r="P4" s="1"/>
    </row>
    <row r="5" spans="1:16" ht="16.5" customHeight="1" x14ac:dyDescent="0.4">
      <c r="A5" s="220" t="s">
        <v>28</v>
      </c>
      <c r="B5" s="260" t="s">
        <v>5</v>
      </c>
      <c r="C5" s="4" t="s">
        <v>29</v>
      </c>
      <c r="D5" s="65" t="s">
        <v>42</v>
      </c>
      <c r="E5" s="5">
        <v>4</v>
      </c>
      <c r="F5" s="6">
        <v>4</v>
      </c>
      <c r="G5" s="178">
        <v>4</v>
      </c>
      <c r="H5" s="8"/>
      <c r="I5" s="181"/>
      <c r="J5" s="8"/>
      <c r="K5" s="7"/>
      <c r="L5" s="8"/>
      <c r="M5" s="225">
        <v>8</v>
      </c>
      <c r="N5" s="253">
        <v>8</v>
      </c>
      <c r="O5" s="1"/>
      <c r="P5" s="1"/>
    </row>
    <row r="6" spans="1:16" ht="16.5" customHeight="1" x14ac:dyDescent="0.4">
      <c r="A6" s="221"/>
      <c r="B6" s="259"/>
      <c r="C6" s="9" t="s">
        <v>29</v>
      </c>
      <c r="D6" s="66" t="s">
        <v>43</v>
      </c>
      <c r="E6" s="10">
        <v>4</v>
      </c>
      <c r="F6" s="11">
        <v>4</v>
      </c>
      <c r="G6" s="174"/>
      <c r="H6" s="177">
        <v>4</v>
      </c>
      <c r="I6" s="176"/>
      <c r="J6" s="13"/>
      <c r="K6" s="12"/>
      <c r="L6" s="13"/>
      <c r="M6" s="202"/>
      <c r="N6" s="248"/>
      <c r="O6" s="1"/>
      <c r="P6" s="1"/>
    </row>
    <row r="7" spans="1:16" ht="16.5" customHeight="1" x14ac:dyDescent="0.4">
      <c r="A7" s="221"/>
      <c r="B7" s="259" t="s">
        <v>8</v>
      </c>
      <c r="C7" s="9" t="s">
        <v>29</v>
      </c>
      <c r="D7" s="66" t="s">
        <v>44</v>
      </c>
      <c r="E7" s="10">
        <v>4</v>
      </c>
      <c r="F7" s="11">
        <v>4</v>
      </c>
      <c r="G7" s="174">
        <v>4</v>
      </c>
      <c r="H7" s="177"/>
      <c r="I7" s="176"/>
      <c r="J7" s="13"/>
      <c r="K7" s="12"/>
      <c r="L7" s="13"/>
      <c r="M7" s="201">
        <v>8</v>
      </c>
      <c r="N7" s="247">
        <v>8</v>
      </c>
      <c r="O7" s="1"/>
      <c r="P7" s="1"/>
    </row>
    <row r="8" spans="1:16" ht="16.5" customHeight="1" x14ac:dyDescent="0.4">
      <c r="A8" s="221"/>
      <c r="B8" s="259"/>
      <c r="C8" s="9" t="s">
        <v>29</v>
      </c>
      <c r="D8" s="66" t="s">
        <v>45</v>
      </c>
      <c r="E8" s="10">
        <v>4</v>
      </c>
      <c r="F8" s="11">
        <v>4</v>
      </c>
      <c r="G8" s="174"/>
      <c r="H8" s="177">
        <v>4</v>
      </c>
      <c r="I8" s="176"/>
      <c r="J8" s="13"/>
      <c r="K8" s="12"/>
      <c r="L8" s="13"/>
      <c r="M8" s="202"/>
      <c r="N8" s="248"/>
      <c r="O8" s="1"/>
      <c r="P8" s="1"/>
    </row>
    <row r="9" spans="1:16" ht="16.5" customHeight="1" x14ac:dyDescent="0.4">
      <c r="A9" s="221"/>
      <c r="B9" s="259" t="s">
        <v>9</v>
      </c>
      <c r="C9" s="9" t="s">
        <v>29</v>
      </c>
      <c r="D9" s="66" t="s">
        <v>46</v>
      </c>
      <c r="E9" s="10">
        <v>4</v>
      </c>
      <c r="F9" s="11">
        <v>4</v>
      </c>
      <c r="G9" s="174">
        <v>4</v>
      </c>
      <c r="H9" s="177"/>
      <c r="I9" s="176"/>
      <c r="J9" s="13"/>
      <c r="K9" s="12"/>
      <c r="L9" s="13"/>
      <c r="M9" s="201">
        <v>8</v>
      </c>
      <c r="N9" s="247">
        <v>8</v>
      </c>
      <c r="O9" s="1"/>
      <c r="P9" s="1"/>
    </row>
    <row r="10" spans="1:16" ht="16.5" customHeight="1" x14ac:dyDescent="0.4">
      <c r="A10" s="221"/>
      <c r="B10" s="259"/>
      <c r="C10" s="9" t="s">
        <v>29</v>
      </c>
      <c r="D10" s="66" t="s">
        <v>47</v>
      </c>
      <c r="E10" s="10">
        <v>4</v>
      </c>
      <c r="F10" s="11">
        <v>4</v>
      </c>
      <c r="G10" s="174"/>
      <c r="H10" s="177">
        <v>4</v>
      </c>
      <c r="I10" s="179"/>
      <c r="J10" s="15"/>
      <c r="K10" s="14"/>
      <c r="L10" s="15"/>
      <c r="M10" s="202"/>
      <c r="N10" s="248"/>
      <c r="O10" s="1"/>
      <c r="P10" s="1"/>
    </row>
    <row r="11" spans="1:16" ht="16.5" customHeight="1" x14ac:dyDescent="0.4">
      <c r="A11" s="221"/>
      <c r="B11" s="210" t="s">
        <v>10</v>
      </c>
      <c r="C11" s="9" t="s">
        <v>29</v>
      </c>
      <c r="D11" s="66" t="s">
        <v>48</v>
      </c>
      <c r="E11" s="10">
        <v>4</v>
      </c>
      <c r="F11" s="11">
        <v>4</v>
      </c>
      <c r="G11" s="174">
        <v>4</v>
      </c>
      <c r="H11" s="177"/>
      <c r="I11" s="179"/>
      <c r="J11" s="15"/>
      <c r="K11" s="14"/>
      <c r="L11" s="15"/>
      <c r="M11" s="201">
        <v>8</v>
      </c>
      <c r="N11" s="257">
        <v>8</v>
      </c>
      <c r="O11" s="1"/>
      <c r="P11" s="1"/>
    </row>
    <row r="12" spans="1:16" ht="16.5" customHeight="1" x14ac:dyDescent="0.4">
      <c r="A12" s="221"/>
      <c r="B12" s="246"/>
      <c r="C12" s="9" t="s">
        <v>29</v>
      </c>
      <c r="D12" s="66" t="s">
        <v>49</v>
      </c>
      <c r="E12" s="10">
        <v>4</v>
      </c>
      <c r="F12" s="11">
        <v>4</v>
      </c>
      <c r="G12" s="174"/>
      <c r="H12" s="177">
        <v>4</v>
      </c>
      <c r="I12" s="179"/>
      <c r="J12" s="15"/>
      <c r="K12" s="14"/>
      <c r="L12" s="15"/>
      <c r="M12" s="241"/>
      <c r="N12" s="258"/>
      <c r="O12" s="1"/>
      <c r="P12" s="1"/>
    </row>
    <row r="13" spans="1:16" ht="16.5" customHeight="1" x14ac:dyDescent="0.4">
      <c r="A13" s="221"/>
      <c r="B13" s="246"/>
      <c r="C13" s="9" t="s">
        <v>29</v>
      </c>
      <c r="D13" s="66" t="s">
        <v>50</v>
      </c>
      <c r="E13" s="10">
        <v>3</v>
      </c>
      <c r="F13" s="11">
        <v>3</v>
      </c>
      <c r="G13" s="174">
        <v>3</v>
      </c>
      <c r="H13" s="177"/>
      <c r="I13" s="179"/>
      <c r="J13" s="15"/>
      <c r="K13" s="14"/>
      <c r="L13" s="15"/>
      <c r="M13" s="201">
        <v>6</v>
      </c>
      <c r="N13" s="257">
        <v>6</v>
      </c>
      <c r="O13" s="1"/>
      <c r="P13" s="1"/>
    </row>
    <row r="14" spans="1:16" ht="16.5" customHeight="1" x14ac:dyDescent="0.4">
      <c r="A14" s="221"/>
      <c r="B14" s="224"/>
      <c r="C14" s="9" t="s">
        <v>29</v>
      </c>
      <c r="D14" s="66" t="s">
        <v>51</v>
      </c>
      <c r="E14" s="10">
        <v>3</v>
      </c>
      <c r="F14" s="11">
        <v>3</v>
      </c>
      <c r="G14" s="174"/>
      <c r="H14" s="177">
        <v>3</v>
      </c>
      <c r="I14" s="179"/>
      <c r="J14" s="15"/>
      <c r="K14" s="14"/>
      <c r="L14" s="15"/>
      <c r="M14" s="241"/>
      <c r="N14" s="258"/>
      <c r="O14" s="1"/>
      <c r="P14" s="1"/>
    </row>
    <row r="15" spans="1:16" ht="16.5" customHeight="1" x14ac:dyDescent="0.4">
      <c r="A15" s="221"/>
      <c r="B15" s="210" t="s">
        <v>19</v>
      </c>
      <c r="C15" s="9" t="s">
        <v>29</v>
      </c>
      <c r="D15" s="67" t="s">
        <v>52</v>
      </c>
      <c r="E15" s="10">
        <v>4</v>
      </c>
      <c r="F15" s="11">
        <v>4</v>
      </c>
      <c r="G15" s="174">
        <v>4</v>
      </c>
      <c r="H15" s="177"/>
      <c r="I15" s="179"/>
      <c r="J15" s="15"/>
      <c r="K15" s="14"/>
      <c r="L15" s="15"/>
      <c r="M15" s="201">
        <v>10</v>
      </c>
      <c r="N15" s="247">
        <v>10</v>
      </c>
      <c r="O15" s="1"/>
      <c r="P15" s="1"/>
    </row>
    <row r="16" spans="1:16" ht="16.5" customHeight="1" x14ac:dyDescent="0.4">
      <c r="A16" s="221"/>
      <c r="B16" s="246"/>
      <c r="C16" s="9" t="s">
        <v>29</v>
      </c>
      <c r="D16" s="67" t="s">
        <v>53</v>
      </c>
      <c r="E16" s="10">
        <v>4</v>
      </c>
      <c r="F16" s="11">
        <v>4</v>
      </c>
      <c r="G16" s="174"/>
      <c r="H16" s="177">
        <v>4</v>
      </c>
      <c r="I16" s="179"/>
      <c r="J16" s="15"/>
      <c r="K16" s="14"/>
      <c r="L16" s="15"/>
      <c r="M16" s="202"/>
      <c r="N16" s="248"/>
      <c r="O16" s="1"/>
      <c r="P16" s="1"/>
    </row>
    <row r="17" spans="1:16" ht="16.5" customHeight="1" x14ac:dyDescent="0.4">
      <c r="A17" s="221"/>
      <c r="B17" s="246"/>
      <c r="C17" s="9" t="s">
        <v>29</v>
      </c>
      <c r="D17" s="67" t="s">
        <v>54</v>
      </c>
      <c r="E17" s="10">
        <v>1</v>
      </c>
      <c r="F17" s="11">
        <v>1</v>
      </c>
      <c r="G17" s="174">
        <v>1</v>
      </c>
      <c r="H17" s="177"/>
      <c r="I17" s="179"/>
      <c r="J17" s="15"/>
      <c r="K17" s="14"/>
      <c r="L17" s="15"/>
      <c r="M17" s="202"/>
      <c r="N17" s="248"/>
      <c r="O17" s="1"/>
      <c r="P17" s="1"/>
    </row>
    <row r="18" spans="1:16" ht="16.5" customHeight="1" x14ac:dyDescent="0.4">
      <c r="A18" s="221"/>
      <c r="B18" s="224"/>
      <c r="C18" s="9" t="s">
        <v>29</v>
      </c>
      <c r="D18" s="67" t="s">
        <v>55</v>
      </c>
      <c r="E18" s="10">
        <v>1</v>
      </c>
      <c r="F18" s="11">
        <v>1</v>
      </c>
      <c r="G18" s="174"/>
      <c r="H18" s="177">
        <v>1</v>
      </c>
      <c r="I18" s="179"/>
      <c r="J18" s="15"/>
      <c r="K18" s="14"/>
      <c r="L18" s="15"/>
      <c r="M18" s="241"/>
      <c r="N18" s="249"/>
      <c r="O18" s="1"/>
      <c r="P18" s="1"/>
    </row>
    <row r="19" spans="1:16" ht="16.5" customHeight="1" x14ac:dyDescent="0.4">
      <c r="A19" s="221"/>
      <c r="B19" s="210" t="s">
        <v>11</v>
      </c>
      <c r="C19" s="9" t="s">
        <v>16</v>
      </c>
      <c r="D19" s="67" t="s">
        <v>56</v>
      </c>
      <c r="E19" s="10">
        <v>3</v>
      </c>
      <c r="F19" s="11">
        <v>2</v>
      </c>
      <c r="G19" s="14">
        <v>2</v>
      </c>
      <c r="H19" s="15"/>
      <c r="I19" s="179"/>
      <c r="J19" s="15"/>
      <c r="K19" s="14"/>
      <c r="L19" s="15"/>
      <c r="M19" s="201">
        <v>10</v>
      </c>
      <c r="N19" s="247">
        <v>10</v>
      </c>
      <c r="O19" s="1"/>
      <c r="P19" s="1"/>
    </row>
    <row r="20" spans="1:16" ht="16.5" customHeight="1" x14ac:dyDescent="0.4">
      <c r="A20" s="221"/>
      <c r="B20" s="246"/>
      <c r="C20" s="9" t="s">
        <v>16</v>
      </c>
      <c r="D20" s="67" t="s">
        <v>57</v>
      </c>
      <c r="E20" s="16">
        <v>3</v>
      </c>
      <c r="F20" s="17">
        <v>2</v>
      </c>
      <c r="G20" s="174"/>
      <c r="H20" s="177">
        <v>2</v>
      </c>
      <c r="I20" s="176"/>
      <c r="J20" s="13"/>
      <c r="K20" s="12"/>
      <c r="L20" s="13"/>
      <c r="M20" s="202"/>
      <c r="N20" s="248"/>
      <c r="O20" s="1"/>
      <c r="P20" s="1"/>
    </row>
    <row r="21" spans="1:16" ht="16.5" customHeight="1" x14ac:dyDescent="0.4">
      <c r="A21" s="221"/>
      <c r="B21" s="246"/>
      <c r="C21" s="9" t="s">
        <v>13</v>
      </c>
      <c r="D21" s="68" t="s">
        <v>58</v>
      </c>
      <c r="E21" s="16">
        <v>2</v>
      </c>
      <c r="F21" s="17">
        <v>1</v>
      </c>
      <c r="G21" s="174"/>
      <c r="H21" s="177"/>
      <c r="I21" s="176">
        <v>1</v>
      </c>
      <c r="J21" s="13"/>
      <c r="K21" s="12"/>
      <c r="L21" s="13"/>
      <c r="M21" s="202"/>
      <c r="N21" s="248"/>
      <c r="O21" s="1"/>
      <c r="P21" s="1"/>
    </row>
    <row r="22" spans="1:16" ht="16.5" customHeight="1" x14ac:dyDescent="0.4">
      <c r="A22" s="221"/>
      <c r="B22" s="246"/>
      <c r="C22" s="9" t="s">
        <v>13</v>
      </c>
      <c r="D22" s="68" t="s">
        <v>59</v>
      </c>
      <c r="E22" s="16">
        <v>2</v>
      </c>
      <c r="F22" s="17">
        <v>1</v>
      </c>
      <c r="G22" s="174"/>
      <c r="H22" s="177"/>
      <c r="I22" s="176"/>
      <c r="J22" s="13">
        <v>1</v>
      </c>
      <c r="K22" s="12"/>
      <c r="L22" s="13"/>
      <c r="M22" s="202"/>
      <c r="N22" s="248"/>
      <c r="O22" s="1"/>
      <c r="P22" s="1"/>
    </row>
    <row r="23" spans="1:16" ht="16.5" customHeight="1" x14ac:dyDescent="0.4">
      <c r="A23" s="221"/>
      <c r="B23" s="246"/>
      <c r="C23" s="9" t="s">
        <v>60</v>
      </c>
      <c r="D23" s="68" t="s">
        <v>61</v>
      </c>
      <c r="E23" s="16">
        <v>3</v>
      </c>
      <c r="F23" s="17">
        <v>2</v>
      </c>
      <c r="G23" s="174"/>
      <c r="H23" s="177"/>
      <c r="I23" s="176"/>
      <c r="J23" s="13"/>
      <c r="K23" s="12">
        <v>2</v>
      </c>
      <c r="L23" s="13"/>
      <c r="M23" s="202"/>
      <c r="N23" s="248"/>
      <c r="O23" s="1"/>
      <c r="P23" s="1"/>
    </row>
    <row r="24" spans="1:16" ht="16.5" customHeight="1" thickBot="1" x14ac:dyDescent="0.45">
      <c r="A24" s="221"/>
      <c r="B24" s="224"/>
      <c r="C24" s="9" t="s">
        <v>60</v>
      </c>
      <c r="D24" s="68" t="s">
        <v>62</v>
      </c>
      <c r="E24" s="16">
        <v>3</v>
      </c>
      <c r="F24" s="17">
        <v>2</v>
      </c>
      <c r="G24" s="171"/>
      <c r="H24" s="172"/>
      <c r="I24" s="176"/>
      <c r="J24" s="13"/>
      <c r="K24" s="12"/>
      <c r="L24" s="13">
        <v>2</v>
      </c>
      <c r="M24" s="241"/>
      <c r="N24" s="249"/>
      <c r="O24" s="1"/>
      <c r="P24" s="1"/>
    </row>
    <row r="25" spans="1:16" ht="16.5" customHeight="1" x14ac:dyDescent="0.4">
      <c r="A25" s="221"/>
      <c r="B25" s="210" t="s">
        <v>37</v>
      </c>
      <c r="C25" s="9" t="s">
        <v>16</v>
      </c>
      <c r="D25" s="185" t="s">
        <v>33</v>
      </c>
      <c r="E25" s="16">
        <v>3</v>
      </c>
      <c r="F25" s="17">
        <v>2</v>
      </c>
      <c r="G25" s="250" t="s">
        <v>121</v>
      </c>
      <c r="H25" s="251"/>
      <c r="I25" s="61"/>
      <c r="J25" s="13"/>
      <c r="K25" s="12"/>
      <c r="L25" s="13"/>
      <c r="M25" s="201">
        <v>10</v>
      </c>
      <c r="N25" s="247">
        <v>10</v>
      </c>
      <c r="O25" s="1"/>
      <c r="P25" s="1"/>
    </row>
    <row r="26" spans="1:16" ht="16.5" customHeight="1" thickBot="1" x14ac:dyDescent="0.45">
      <c r="A26" s="221"/>
      <c r="B26" s="246"/>
      <c r="C26" s="9" t="s">
        <v>16</v>
      </c>
      <c r="D26" s="185" t="s">
        <v>113</v>
      </c>
      <c r="E26" s="10">
        <v>3</v>
      </c>
      <c r="F26" s="11">
        <v>2</v>
      </c>
      <c r="G26" s="121">
        <v>2</v>
      </c>
      <c r="H26" s="122">
        <v>2</v>
      </c>
      <c r="I26" s="159"/>
      <c r="J26" s="15"/>
      <c r="K26" s="25"/>
      <c r="L26" s="26"/>
      <c r="M26" s="202"/>
      <c r="N26" s="248"/>
      <c r="O26" s="1"/>
      <c r="P26" s="1"/>
    </row>
    <row r="27" spans="1:16" ht="16.5" customHeight="1" x14ac:dyDescent="0.4">
      <c r="A27" s="221"/>
      <c r="B27" s="246"/>
      <c r="C27" s="9" t="s">
        <v>13</v>
      </c>
      <c r="D27" s="185" t="s">
        <v>136</v>
      </c>
      <c r="E27" s="10">
        <v>3</v>
      </c>
      <c r="F27" s="11">
        <v>3</v>
      </c>
      <c r="G27" s="160"/>
      <c r="H27" s="161"/>
      <c r="I27" s="179"/>
      <c r="J27" s="15"/>
      <c r="K27" s="250" t="s">
        <v>121</v>
      </c>
      <c r="L27" s="251"/>
      <c r="M27" s="202"/>
      <c r="N27" s="248"/>
      <c r="O27" s="1"/>
      <c r="P27" s="1"/>
    </row>
    <row r="28" spans="1:16" ht="16.5" customHeight="1" thickBot="1" x14ac:dyDescent="0.45">
      <c r="A28" s="221"/>
      <c r="B28" s="224"/>
      <c r="C28" s="9" t="s">
        <v>7</v>
      </c>
      <c r="D28" s="67" t="s">
        <v>103</v>
      </c>
      <c r="E28" s="10">
        <v>3</v>
      </c>
      <c r="F28" s="11">
        <v>3</v>
      </c>
      <c r="G28" s="18"/>
      <c r="H28" s="19"/>
      <c r="I28" s="179"/>
      <c r="J28" s="15"/>
      <c r="K28" s="121">
        <v>3</v>
      </c>
      <c r="L28" s="122">
        <v>3</v>
      </c>
      <c r="M28" s="241"/>
      <c r="N28" s="249"/>
      <c r="O28" s="1"/>
      <c r="P28" s="1"/>
    </row>
    <row r="29" spans="1:16" ht="16.5" customHeight="1" x14ac:dyDescent="0.4">
      <c r="A29" s="221"/>
      <c r="B29" s="210" t="s">
        <v>34</v>
      </c>
      <c r="C29" s="9" t="s">
        <v>16</v>
      </c>
      <c r="D29" s="67" t="s">
        <v>63</v>
      </c>
      <c r="E29" s="10">
        <v>3</v>
      </c>
      <c r="F29" s="11">
        <v>2</v>
      </c>
      <c r="G29" s="174">
        <v>2</v>
      </c>
      <c r="H29" s="177"/>
      <c r="I29" s="179"/>
      <c r="J29" s="15"/>
      <c r="K29" s="77"/>
      <c r="L29" s="78"/>
      <c r="M29" s="201">
        <v>4</v>
      </c>
      <c r="N29" s="247">
        <v>16</v>
      </c>
      <c r="O29" s="1"/>
      <c r="P29" s="1"/>
    </row>
    <row r="30" spans="1:16" ht="16.5" customHeight="1" thickBot="1" x14ac:dyDescent="0.45">
      <c r="A30" s="222"/>
      <c r="B30" s="211"/>
      <c r="C30" s="20" t="s">
        <v>16</v>
      </c>
      <c r="D30" s="69" t="s">
        <v>64</v>
      </c>
      <c r="E30" s="21">
        <v>3</v>
      </c>
      <c r="F30" s="22">
        <v>2</v>
      </c>
      <c r="G30" s="175"/>
      <c r="H30" s="24">
        <v>2</v>
      </c>
      <c r="I30" s="180"/>
      <c r="J30" s="26"/>
      <c r="K30" s="27"/>
      <c r="L30" s="28"/>
      <c r="M30" s="203"/>
      <c r="N30" s="252"/>
      <c r="O30" s="1"/>
      <c r="P30" s="1"/>
    </row>
    <row r="31" spans="1:16" ht="16.5" customHeight="1" x14ac:dyDescent="0.4">
      <c r="A31" s="220" t="s">
        <v>38</v>
      </c>
      <c r="B31" s="223" t="s">
        <v>15</v>
      </c>
      <c r="C31" s="173" t="s">
        <v>6</v>
      </c>
      <c r="D31" s="166" t="s">
        <v>30</v>
      </c>
      <c r="E31" s="5">
        <v>4</v>
      </c>
      <c r="F31" s="6">
        <v>4</v>
      </c>
      <c r="G31" s="7"/>
      <c r="H31" s="8"/>
      <c r="I31" s="29" t="s">
        <v>65</v>
      </c>
      <c r="J31" s="8"/>
      <c r="K31" s="7"/>
      <c r="L31" s="8"/>
      <c r="M31" s="225">
        <v>24</v>
      </c>
      <c r="N31" s="253">
        <f>M31+M40+M51+M53+M66</f>
        <v>78</v>
      </c>
      <c r="O31" s="1"/>
      <c r="P31" s="1"/>
    </row>
    <row r="32" spans="1:16" ht="16.5" customHeight="1" x14ac:dyDescent="0.4">
      <c r="A32" s="221"/>
      <c r="B32" s="224"/>
      <c r="C32" s="173" t="s">
        <v>13</v>
      </c>
      <c r="D32" s="166" t="s">
        <v>66</v>
      </c>
      <c r="E32" s="31">
        <v>4</v>
      </c>
      <c r="F32" s="32">
        <v>4</v>
      </c>
      <c r="G32" s="33"/>
      <c r="H32" s="34"/>
      <c r="I32" s="254" t="s">
        <v>67</v>
      </c>
      <c r="J32" s="34"/>
      <c r="K32" s="33"/>
      <c r="L32" s="34"/>
      <c r="M32" s="202"/>
      <c r="N32" s="248"/>
      <c r="O32" s="1"/>
      <c r="P32" s="1"/>
    </row>
    <row r="33" spans="1:16" ht="16.5" customHeight="1" x14ac:dyDescent="0.4">
      <c r="A33" s="221"/>
      <c r="B33" s="239" t="s">
        <v>17</v>
      </c>
      <c r="C33" s="183" t="s">
        <v>16</v>
      </c>
      <c r="D33" s="74" t="s">
        <v>68</v>
      </c>
      <c r="E33" s="31">
        <v>4</v>
      </c>
      <c r="F33" s="32">
        <v>4</v>
      </c>
      <c r="G33" s="33"/>
      <c r="H33" s="34"/>
      <c r="I33" s="255"/>
      <c r="J33" s="34"/>
      <c r="K33" s="33"/>
      <c r="L33" s="34"/>
      <c r="M33" s="202"/>
      <c r="N33" s="248"/>
      <c r="O33" s="1"/>
      <c r="P33" s="1"/>
    </row>
    <row r="34" spans="1:16" ht="16.5" customHeight="1" x14ac:dyDescent="0.4">
      <c r="A34" s="221"/>
      <c r="B34" s="240"/>
      <c r="C34" s="165" t="s">
        <v>13</v>
      </c>
      <c r="D34" s="72" t="s">
        <v>137</v>
      </c>
      <c r="E34" s="10">
        <v>4</v>
      </c>
      <c r="F34" s="11">
        <v>4</v>
      </c>
      <c r="G34" s="12"/>
      <c r="H34" s="13"/>
      <c r="I34" s="255"/>
      <c r="J34" s="34"/>
      <c r="K34" s="33"/>
      <c r="L34" s="34"/>
      <c r="M34" s="202"/>
      <c r="N34" s="248"/>
      <c r="O34" s="1"/>
      <c r="P34" s="1"/>
    </row>
    <row r="35" spans="1:16" ht="16.5" customHeight="1" x14ac:dyDescent="0.4">
      <c r="A35" s="221"/>
      <c r="B35" s="226" t="s">
        <v>18</v>
      </c>
      <c r="C35" s="165" t="s">
        <v>6</v>
      </c>
      <c r="D35" s="72" t="s">
        <v>31</v>
      </c>
      <c r="E35" s="10">
        <v>4</v>
      </c>
      <c r="F35" s="11">
        <v>4</v>
      </c>
      <c r="G35" s="12"/>
      <c r="H35" s="13"/>
      <c r="I35" s="255"/>
      <c r="J35" s="34"/>
      <c r="K35" s="33"/>
      <c r="L35" s="34"/>
      <c r="M35" s="202"/>
      <c r="N35" s="248"/>
      <c r="O35" s="1"/>
      <c r="P35" s="1"/>
    </row>
    <row r="36" spans="1:16" ht="16.5" customHeight="1" x14ac:dyDescent="0.4">
      <c r="A36" s="221"/>
      <c r="B36" s="227"/>
      <c r="C36" s="165" t="s">
        <v>60</v>
      </c>
      <c r="D36" s="72" t="s">
        <v>70</v>
      </c>
      <c r="E36" s="10">
        <v>4</v>
      </c>
      <c r="F36" s="11">
        <v>4</v>
      </c>
      <c r="G36" s="12"/>
      <c r="H36" s="13"/>
      <c r="I36" s="255"/>
      <c r="J36" s="34"/>
      <c r="K36" s="33"/>
      <c r="L36" s="34"/>
      <c r="M36" s="202"/>
      <c r="N36" s="248"/>
      <c r="O36" s="1"/>
      <c r="P36" s="1"/>
    </row>
    <row r="37" spans="1:16" ht="16.5" customHeight="1" x14ac:dyDescent="0.4">
      <c r="A37" s="221"/>
      <c r="B37" s="226" t="s">
        <v>71</v>
      </c>
      <c r="C37" s="183" t="s">
        <v>6</v>
      </c>
      <c r="D37" s="71" t="s">
        <v>72</v>
      </c>
      <c r="E37" s="31">
        <v>4</v>
      </c>
      <c r="F37" s="32">
        <v>4</v>
      </c>
      <c r="G37" s="33"/>
      <c r="H37" s="34"/>
      <c r="I37" s="255"/>
      <c r="J37" s="34"/>
      <c r="K37" s="33"/>
      <c r="L37" s="34"/>
      <c r="M37" s="202"/>
      <c r="N37" s="248"/>
      <c r="O37" s="1"/>
      <c r="P37" s="1"/>
    </row>
    <row r="38" spans="1:16" ht="16.5" customHeight="1" x14ac:dyDescent="0.4">
      <c r="A38" s="221"/>
      <c r="B38" s="227"/>
      <c r="C38" s="183" t="s">
        <v>13</v>
      </c>
      <c r="D38" s="71" t="s">
        <v>73</v>
      </c>
      <c r="E38" s="31">
        <v>4</v>
      </c>
      <c r="F38" s="32">
        <v>4</v>
      </c>
      <c r="G38" s="33"/>
      <c r="H38" s="34"/>
      <c r="I38" s="255"/>
      <c r="J38" s="34"/>
      <c r="K38" s="33"/>
      <c r="L38" s="34"/>
      <c r="M38" s="202"/>
      <c r="N38" s="248"/>
      <c r="O38" s="1"/>
      <c r="P38" s="1"/>
    </row>
    <row r="39" spans="1:16" ht="16.5" customHeight="1" x14ac:dyDescent="0.4">
      <c r="A39" s="221"/>
      <c r="B39" s="182" t="s">
        <v>74</v>
      </c>
      <c r="C39" s="165" t="s">
        <v>6</v>
      </c>
      <c r="D39" s="73" t="s">
        <v>105</v>
      </c>
      <c r="E39" s="10">
        <v>4</v>
      </c>
      <c r="F39" s="11">
        <v>4</v>
      </c>
      <c r="G39" s="33"/>
      <c r="H39" s="34"/>
      <c r="I39" s="255"/>
      <c r="J39" s="34"/>
      <c r="K39" s="33"/>
      <c r="L39" s="34"/>
      <c r="M39" s="202"/>
      <c r="N39" s="248"/>
      <c r="O39" s="1"/>
      <c r="P39" s="1"/>
    </row>
    <row r="40" spans="1:16" ht="16.5" customHeight="1" x14ac:dyDescent="0.4">
      <c r="A40" s="221"/>
      <c r="B40" s="184" t="s">
        <v>35</v>
      </c>
      <c r="C40" s="165" t="s">
        <v>16</v>
      </c>
      <c r="D40" s="73" t="s">
        <v>35</v>
      </c>
      <c r="E40" s="38">
        <v>4</v>
      </c>
      <c r="F40" s="39">
        <v>3</v>
      </c>
      <c r="G40" s="35"/>
      <c r="H40" s="36"/>
      <c r="I40" s="40" t="s">
        <v>21</v>
      </c>
      <c r="J40" s="13"/>
      <c r="K40" s="12"/>
      <c r="L40" s="13"/>
      <c r="M40" s="228">
        <v>6</v>
      </c>
      <c r="N40" s="248"/>
      <c r="O40" s="1"/>
      <c r="P40" s="1"/>
    </row>
    <row r="41" spans="1:16" ht="16.5" customHeight="1" x14ac:dyDescent="0.4">
      <c r="A41" s="221"/>
      <c r="B41" s="163" t="s">
        <v>75</v>
      </c>
      <c r="C41" s="165" t="s">
        <v>6</v>
      </c>
      <c r="D41" s="73" t="s">
        <v>76</v>
      </c>
      <c r="E41" s="38">
        <v>4</v>
      </c>
      <c r="F41" s="39">
        <v>3</v>
      </c>
      <c r="G41" s="12"/>
      <c r="H41" s="13"/>
      <c r="I41" s="42" t="s">
        <v>122</v>
      </c>
      <c r="J41" s="43"/>
      <c r="K41" s="12"/>
      <c r="L41" s="13"/>
      <c r="M41" s="229"/>
      <c r="N41" s="248"/>
      <c r="O41" s="1"/>
      <c r="P41" s="1"/>
    </row>
    <row r="42" spans="1:16" ht="16.5" customHeight="1" x14ac:dyDescent="0.4">
      <c r="A42" s="221"/>
      <c r="B42" s="226" t="s">
        <v>15</v>
      </c>
      <c r="C42" s="164" t="s">
        <v>16</v>
      </c>
      <c r="D42" s="74" t="s">
        <v>77</v>
      </c>
      <c r="E42" s="45">
        <v>4</v>
      </c>
      <c r="F42" s="46">
        <v>4</v>
      </c>
      <c r="G42" s="12"/>
      <c r="H42" s="13"/>
      <c r="I42" s="12"/>
      <c r="J42" s="47" t="s">
        <v>65</v>
      </c>
      <c r="K42" s="12"/>
      <c r="L42" s="13"/>
      <c r="M42" s="228">
        <v>24</v>
      </c>
      <c r="N42" s="248"/>
      <c r="O42" s="1"/>
      <c r="P42" s="1"/>
    </row>
    <row r="43" spans="1:16" ht="16.5" customHeight="1" x14ac:dyDescent="0.4">
      <c r="A43" s="221"/>
      <c r="B43" s="227"/>
      <c r="C43" s="164" t="s">
        <v>7</v>
      </c>
      <c r="D43" s="74" t="s">
        <v>78</v>
      </c>
      <c r="E43" s="45">
        <v>4</v>
      </c>
      <c r="F43" s="46">
        <v>4</v>
      </c>
      <c r="G43" s="12"/>
      <c r="H43" s="13"/>
      <c r="I43" s="12"/>
      <c r="J43" s="237" t="s">
        <v>67</v>
      </c>
      <c r="K43" s="12"/>
      <c r="L43" s="13"/>
      <c r="M43" s="236"/>
      <c r="N43" s="248"/>
      <c r="O43" s="1"/>
      <c r="P43" s="1"/>
    </row>
    <row r="44" spans="1:16" ht="16.5" customHeight="1" x14ac:dyDescent="0.4">
      <c r="A44" s="221"/>
      <c r="B44" s="239" t="s">
        <v>17</v>
      </c>
      <c r="C44" s="164" t="s">
        <v>6</v>
      </c>
      <c r="D44" s="71" t="s">
        <v>79</v>
      </c>
      <c r="E44" s="45">
        <v>4</v>
      </c>
      <c r="F44" s="46">
        <v>4</v>
      </c>
      <c r="G44" s="12"/>
      <c r="H44" s="13"/>
      <c r="I44" s="12"/>
      <c r="J44" s="238"/>
      <c r="K44" s="12"/>
      <c r="L44" s="13"/>
      <c r="M44" s="236"/>
      <c r="N44" s="248"/>
      <c r="O44" s="1"/>
      <c r="P44" s="1"/>
    </row>
    <row r="45" spans="1:16" ht="16.5" customHeight="1" x14ac:dyDescent="0.4">
      <c r="A45" s="221"/>
      <c r="B45" s="240"/>
      <c r="C45" s="164" t="s">
        <v>13</v>
      </c>
      <c r="D45" s="74" t="s">
        <v>80</v>
      </c>
      <c r="E45" s="45">
        <v>4</v>
      </c>
      <c r="F45" s="46">
        <v>4</v>
      </c>
      <c r="G45" s="12"/>
      <c r="H45" s="13"/>
      <c r="I45" s="12"/>
      <c r="J45" s="238"/>
      <c r="K45" s="12"/>
      <c r="L45" s="13"/>
      <c r="M45" s="236"/>
      <c r="N45" s="248"/>
      <c r="O45" s="1"/>
      <c r="P45" s="1"/>
    </row>
    <row r="46" spans="1:16" ht="16.5" customHeight="1" x14ac:dyDescent="0.4">
      <c r="A46" s="221"/>
      <c r="B46" s="226" t="s">
        <v>18</v>
      </c>
      <c r="C46" s="164" t="s">
        <v>6</v>
      </c>
      <c r="D46" s="74" t="s">
        <v>81</v>
      </c>
      <c r="E46" s="45">
        <v>4</v>
      </c>
      <c r="F46" s="46">
        <v>4</v>
      </c>
      <c r="G46" s="12"/>
      <c r="H46" s="13"/>
      <c r="I46" s="12"/>
      <c r="J46" s="238"/>
      <c r="K46" s="12"/>
      <c r="L46" s="13"/>
      <c r="M46" s="236"/>
      <c r="N46" s="248"/>
      <c r="O46" s="1"/>
      <c r="P46" s="1"/>
    </row>
    <row r="47" spans="1:16" ht="16.5" customHeight="1" x14ac:dyDescent="0.4">
      <c r="A47" s="221"/>
      <c r="B47" s="227"/>
      <c r="C47" s="164" t="s">
        <v>13</v>
      </c>
      <c r="D47" s="74" t="s">
        <v>36</v>
      </c>
      <c r="E47" s="45">
        <v>4</v>
      </c>
      <c r="F47" s="46">
        <v>4</v>
      </c>
      <c r="G47" s="12"/>
      <c r="H47" s="13"/>
      <c r="I47" s="12"/>
      <c r="J47" s="238"/>
      <c r="K47" s="12"/>
      <c r="L47" s="13"/>
      <c r="M47" s="236"/>
      <c r="N47" s="248"/>
      <c r="O47" s="1"/>
      <c r="P47" s="1"/>
    </row>
    <row r="48" spans="1:16" ht="16.5" customHeight="1" x14ac:dyDescent="0.4">
      <c r="A48" s="221"/>
      <c r="B48" s="226" t="s">
        <v>71</v>
      </c>
      <c r="C48" s="164" t="s">
        <v>13</v>
      </c>
      <c r="D48" s="74" t="s">
        <v>82</v>
      </c>
      <c r="E48" s="45">
        <v>4</v>
      </c>
      <c r="F48" s="46">
        <v>4</v>
      </c>
      <c r="G48" s="12"/>
      <c r="H48" s="13"/>
      <c r="I48" s="12"/>
      <c r="J48" s="238"/>
      <c r="K48" s="12"/>
      <c r="L48" s="13"/>
      <c r="M48" s="236"/>
      <c r="N48" s="248"/>
      <c r="O48" s="1"/>
      <c r="P48" s="1"/>
    </row>
    <row r="49" spans="1:16" ht="16.5" customHeight="1" x14ac:dyDescent="0.4">
      <c r="A49" s="221"/>
      <c r="B49" s="227"/>
      <c r="C49" s="164" t="s">
        <v>60</v>
      </c>
      <c r="D49" s="74" t="s">
        <v>83</v>
      </c>
      <c r="E49" s="45">
        <v>4</v>
      </c>
      <c r="F49" s="46">
        <v>4</v>
      </c>
      <c r="G49" s="12"/>
      <c r="H49" s="13"/>
      <c r="I49" s="12"/>
      <c r="J49" s="238"/>
      <c r="K49" s="12"/>
      <c r="L49" s="13"/>
      <c r="M49" s="236"/>
      <c r="N49" s="248"/>
      <c r="O49" s="1"/>
      <c r="P49" s="1"/>
    </row>
    <row r="50" spans="1:16" ht="16.5" customHeight="1" x14ac:dyDescent="0.4">
      <c r="A50" s="221"/>
      <c r="B50" s="182" t="s">
        <v>74</v>
      </c>
      <c r="C50" s="164" t="s">
        <v>13</v>
      </c>
      <c r="D50" s="74" t="s">
        <v>106</v>
      </c>
      <c r="E50" s="45">
        <v>4</v>
      </c>
      <c r="F50" s="46">
        <v>4</v>
      </c>
      <c r="G50" s="12"/>
      <c r="H50" s="13"/>
      <c r="I50" s="12"/>
      <c r="J50" s="238"/>
      <c r="K50" s="12"/>
      <c r="L50" s="13"/>
      <c r="M50" s="236"/>
      <c r="N50" s="248"/>
      <c r="O50" s="1"/>
      <c r="P50" s="1"/>
    </row>
    <row r="51" spans="1:16" ht="16.5" customHeight="1" x14ac:dyDescent="0.4">
      <c r="A51" s="221"/>
      <c r="B51" s="184" t="s">
        <v>35</v>
      </c>
      <c r="C51" s="165" t="s">
        <v>13</v>
      </c>
      <c r="D51" s="73" t="s">
        <v>84</v>
      </c>
      <c r="E51" s="10">
        <v>4</v>
      </c>
      <c r="F51" s="11">
        <v>3</v>
      </c>
      <c r="G51" s="12"/>
      <c r="H51" s="13"/>
      <c r="I51" s="12"/>
      <c r="J51" s="48" t="s">
        <v>21</v>
      </c>
      <c r="K51" s="12"/>
      <c r="L51" s="13"/>
      <c r="M51" s="228">
        <v>6</v>
      </c>
      <c r="N51" s="248"/>
      <c r="O51" s="1"/>
      <c r="P51" s="1"/>
    </row>
    <row r="52" spans="1:16" ht="16.5" customHeight="1" x14ac:dyDescent="0.4">
      <c r="A52" s="221"/>
      <c r="B52" s="163" t="s">
        <v>75</v>
      </c>
      <c r="C52" s="165" t="s">
        <v>13</v>
      </c>
      <c r="D52" s="73" t="s">
        <v>85</v>
      </c>
      <c r="E52" s="10">
        <v>4</v>
      </c>
      <c r="F52" s="11">
        <v>3</v>
      </c>
      <c r="G52" s="12"/>
      <c r="H52" s="13"/>
      <c r="I52" s="49"/>
      <c r="J52" s="48" t="s">
        <v>122</v>
      </c>
      <c r="K52" s="12"/>
      <c r="L52" s="13"/>
      <c r="M52" s="229"/>
      <c r="N52" s="248"/>
      <c r="O52" s="1"/>
      <c r="P52" s="1"/>
    </row>
    <row r="53" spans="1:16" ht="16.5" customHeight="1" x14ac:dyDescent="0.4">
      <c r="A53" s="221"/>
      <c r="B53" s="226" t="s">
        <v>15</v>
      </c>
      <c r="C53" s="193" t="s">
        <v>6</v>
      </c>
      <c r="D53" s="74" t="s">
        <v>86</v>
      </c>
      <c r="E53" s="51">
        <v>4</v>
      </c>
      <c r="F53" s="52">
        <v>3</v>
      </c>
      <c r="G53" s="12"/>
      <c r="H53" s="13"/>
      <c r="I53" s="14"/>
      <c r="J53" s="15"/>
      <c r="K53" s="53" t="s">
        <v>123</v>
      </c>
      <c r="L53" s="13"/>
      <c r="M53" s="201">
        <v>21</v>
      </c>
      <c r="N53" s="248"/>
      <c r="O53" s="1"/>
      <c r="P53" s="1"/>
    </row>
    <row r="54" spans="1:16" ht="16.5" customHeight="1" x14ac:dyDescent="0.4">
      <c r="A54" s="221"/>
      <c r="B54" s="227"/>
      <c r="C54" s="164" t="s">
        <v>60</v>
      </c>
      <c r="D54" s="74" t="s">
        <v>87</v>
      </c>
      <c r="E54" s="45">
        <v>4</v>
      </c>
      <c r="F54" s="46">
        <v>3</v>
      </c>
      <c r="G54" s="12"/>
      <c r="H54" s="13"/>
      <c r="I54" s="12"/>
      <c r="J54" s="13"/>
      <c r="K54" s="242" t="s">
        <v>124</v>
      </c>
      <c r="L54" s="54"/>
      <c r="M54" s="202"/>
      <c r="N54" s="248"/>
      <c r="O54" s="1"/>
      <c r="P54" s="1"/>
    </row>
    <row r="55" spans="1:16" ht="16.5" customHeight="1" x14ac:dyDescent="0.4">
      <c r="A55" s="221"/>
      <c r="B55" s="239" t="s">
        <v>17</v>
      </c>
      <c r="C55" s="164" t="s">
        <v>6</v>
      </c>
      <c r="D55" s="74" t="s">
        <v>88</v>
      </c>
      <c r="E55" s="45">
        <v>4</v>
      </c>
      <c r="F55" s="46">
        <v>3</v>
      </c>
      <c r="G55" s="12"/>
      <c r="H55" s="13"/>
      <c r="I55" s="12"/>
      <c r="J55" s="13"/>
      <c r="K55" s="243"/>
      <c r="L55" s="54"/>
      <c r="M55" s="202"/>
      <c r="N55" s="248"/>
      <c r="O55" s="1"/>
      <c r="P55" s="1"/>
    </row>
    <row r="56" spans="1:16" ht="16.5" customHeight="1" x14ac:dyDescent="0.4">
      <c r="A56" s="221"/>
      <c r="B56" s="245"/>
      <c r="C56" s="164" t="s">
        <v>13</v>
      </c>
      <c r="D56" s="74" t="s">
        <v>138</v>
      </c>
      <c r="E56" s="45">
        <v>4</v>
      </c>
      <c r="F56" s="46">
        <v>3</v>
      </c>
      <c r="G56" s="12"/>
      <c r="H56" s="13"/>
      <c r="I56" s="12"/>
      <c r="J56" s="13"/>
      <c r="K56" s="243"/>
      <c r="L56" s="54"/>
      <c r="M56" s="202"/>
      <c r="N56" s="248"/>
      <c r="O56" s="1"/>
      <c r="P56" s="1"/>
    </row>
    <row r="57" spans="1:16" ht="16.5" customHeight="1" x14ac:dyDescent="0.35">
      <c r="A57" s="221"/>
      <c r="B57" s="226" t="s">
        <v>18</v>
      </c>
      <c r="C57" s="164" t="s">
        <v>6</v>
      </c>
      <c r="D57" s="95" t="s">
        <v>32</v>
      </c>
      <c r="E57" s="45">
        <v>4</v>
      </c>
      <c r="F57" s="46">
        <v>3</v>
      </c>
      <c r="G57" s="12"/>
      <c r="H57" s="13"/>
      <c r="I57" s="12"/>
      <c r="J57" s="13"/>
      <c r="K57" s="243"/>
      <c r="L57" s="54"/>
      <c r="M57" s="202"/>
      <c r="N57" s="248"/>
      <c r="O57" s="1"/>
      <c r="P57" s="1"/>
    </row>
    <row r="58" spans="1:16" ht="16.5" customHeight="1" x14ac:dyDescent="0.35">
      <c r="A58" s="221"/>
      <c r="B58" s="227"/>
      <c r="C58" s="164" t="s">
        <v>13</v>
      </c>
      <c r="D58" s="95" t="s">
        <v>89</v>
      </c>
      <c r="E58" s="45">
        <v>4</v>
      </c>
      <c r="F58" s="46">
        <v>3</v>
      </c>
      <c r="G58" s="12"/>
      <c r="H58" s="13"/>
      <c r="I58" s="12"/>
      <c r="J58" s="13"/>
      <c r="K58" s="243"/>
      <c r="L58" s="54"/>
      <c r="M58" s="202"/>
      <c r="N58" s="248"/>
      <c r="O58" s="1"/>
      <c r="P58" s="1"/>
    </row>
    <row r="59" spans="1:16" ht="16.5" customHeight="1" x14ac:dyDescent="0.4">
      <c r="A59" s="221"/>
      <c r="B59" s="226" t="s">
        <v>20</v>
      </c>
      <c r="C59" s="164" t="s">
        <v>16</v>
      </c>
      <c r="D59" s="74" t="s">
        <v>90</v>
      </c>
      <c r="E59" s="45">
        <v>4</v>
      </c>
      <c r="F59" s="46">
        <v>3</v>
      </c>
      <c r="G59" s="12"/>
      <c r="H59" s="13"/>
      <c r="I59" s="12"/>
      <c r="J59" s="13"/>
      <c r="K59" s="243"/>
      <c r="L59" s="54"/>
      <c r="M59" s="202"/>
      <c r="N59" s="248"/>
      <c r="O59" s="1"/>
      <c r="P59" s="1"/>
    </row>
    <row r="60" spans="1:16" ht="16.5" customHeight="1" x14ac:dyDescent="0.4">
      <c r="A60" s="221"/>
      <c r="B60" s="256"/>
      <c r="C60" s="164" t="s">
        <v>13</v>
      </c>
      <c r="D60" s="74" t="s">
        <v>91</v>
      </c>
      <c r="E60" s="45">
        <v>4</v>
      </c>
      <c r="F60" s="46">
        <v>3</v>
      </c>
      <c r="G60" s="12"/>
      <c r="H60" s="13"/>
      <c r="I60" s="12"/>
      <c r="J60" s="13"/>
      <c r="K60" s="243"/>
      <c r="L60" s="54"/>
      <c r="M60" s="202"/>
      <c r="N60" s="248"/>
      <c r="O60" s="1"/>
      <c r="P60" s="1"/>
    </row>
    <row r="61" spans="1:16" ht="16.5" customHeight="1" x14ac:dyDescent="0.4">
      <c r="A61" s="221"/>
      <c r="B61" s="227"/>
      <c r="C61" s="164" t="s">
        <v>60</v>
      </c>
      <c r="D61" s="74" t="s">
        <v>92</v>
      </c>
      <c r="E61" s="45">
        <v>4</v>
      </c>
      <c r="F61" s="46">
        <v>3</v>
      </c>
      <c r="G61" s="55"/>
      <c r="H61" s="56"/>
      <c r="I61" s="55"/>
      <c r="J61" s="56"/>
      <c r="K61" s="243"/>
      <c r="L61" s="54"/>
      <c r="M61" s="202"/>
      <c r="N61" s="248"/>
      <c r="O61" s="1"/>
      <c r="P61" s="1"/>
    </row>
    <row r="62" spans="1:16" ht="16.5" customHeight="1" x14ac:dyDescent="0.4">
      <c r="A62" s="221"/>
      <c r="B62" s="239" t="s">
        <v>19</v>
      </c>
      <c r="C62" s="164" t="s">
        <v>13</v>
      </c>
      <c r="D62" s="74" t="s">
        <v>107</v>
      </c>
      <c r="E62" s="45">
        <v>4</v>
      </c>
      <c r="F62" s="46">
        <v>3</v>
      </c>
      <c r="G62" s="55"/>
      <c r="H62" s="56"/>
      <c r="I62" s="55"/>
      <c r="J62" s="56"/>
      <c r="K62" s="243"/>
      <c r="L62" s="54"/>
      <c r="M62" s="202"/>
      <c r="N62" s="248"/>
      <c r="O62" s="1"/>
      <c r="P62" s="1"/>
    </row>
    <row r="63" spans="1:16" ht="16.5" customHeight="1" x14ac:dyDescent="0.4">
      <c r="A63" s="221"/>
      <c r="B63" s="240"/>
      <c r="C63" s="164" t="s">
        <v>60</v>
      </c>
      <c r="D63" s="74" t="s">
        <v>139</v>
      </c>
      <c r="E63" s="45">
        <v>4</v>
      </c>
      <c r="F63" s="46">
        <v>3</v>
      </c>
      <c r="G63" s="55"/>
      <c r="H63" s="56"/>
      <c r="I63" s="55"/>
      <c r="J63" s="56"/>
      <c r="K63" s="243"/>
      <c r="L63" s="54"/>
      <c r="M63" s="202"/>
      <c r="N63" s="248"/>
      <c r="O63" s="1"/>
      <c r="P63" s="1"/>
    </row>
    <row r="64" spans="1:16" ht="16.5" customHeight="1" x14ac:dyDescent="0.4">
      <c r="A64" s="221"/>
      <c r="B64" s="184" t="s">
        <v>35</v>
      </c>
      <c r="C64" s="164" t="s">
        <v>13</v>
      </c>
      <c r="D64" s="74" t="s">
        <v>93</v>
      </c>
      <c r="E64" s="44">
        <v>4</v>
      </c>
      <c r="F64" s="46">
        <v>3</v>
      </c>
      <c r="G64" s="55"/>
      <c r="H64" s="56"/>
      <c r="I64" s="55"/>
      <c r="J64" s="56"/>
      <c r="K64" s="243"/>
      <c r="L64" s="54"/>
      <c r="M64" s="202"/>
      <c r="N64" s="248"/>
      <c r="O64" s="1"/>
      <c r="P64" s="1"/>
    </row>
    <row r="65" spans="1:16" ht="16.5" customHeight="1" x14ac:dyDescent="0.4">
      <c r="A65" s="221"/>
      <c r="B65" s="163" t="s">
        <v>75</v>
      </c>
      <c r="C65" s="164" t="s">
        <v>60</v>
      </c>
      <c r="D65" s="75" t="s">
        <v>94</v>
      </c>
      <c r="E65" s="44">
        <v>4</v>
      </c>
      <c r="F65" s="46">
        <v>3</v>
      </c>
      <c r="G65" s="55"/>
      <c r="H65" s="56"/>
      <c r="I65" s="55"/>
      <c r="J65" s="56"/>
      <c r="K65" s="244"/>
      <c r="L65" s="54"/>
      <c r="M65" s="241"/>
      <c r="N65" s="248"/>
      <c r="O65" s="1"/>
      <c r="P65" s="1"/>
    </row>
    <row r="66" spans="1:16" ht="16.5" customHeight="1" x14ac:dyDescent="0.4">
      <c r="A66" s="221"/>
      <c r="B66" s="194" t="s">
        <v>15</v>
      </c>
      <c r="C66" s="195" t="s">
        <v>60</v>
      </c>
      <c r="D66" s="317" t="s">
        <v>110</v>
      </c>
      <c r="E66" s="16">
        <v>4</v>
      </c>
      <c r="F66" s="17">
        <v>3</v>
      </c>
      <c r="G66" s="55"/>
      <c r="H66" s="56"/>
      <c r="I66" s="55"/>
      <c r="J66" s="56"/>
      <c r="K66" s="59"/>
      <c r="L66" s="60" t="s">
        <v>123</v>
      </c>
      <c r="M66" s="201">
        <v>21</v>
      </c>
      <c r="N66" s="248"/>
      <c r="O66" s="1"/>
      <c r="P66" s="1"/>
    </row>
    <row r="67" spans="1:16" ht="16.5" customHeight="1" x14ac:dyDescent="0.4">
      <c r="A67" s="221"/>
      <c r="B67" s="196" t="s">
        <v>17</v>
      </c>
      <c r="C67" s="195" t="s">
        <v>60</v>
      </c>
      <c r="D67" s="76" t="s">
        <v>111</v>
      </c>
      <c r="E67" s="16">
        <v>4</v>
      </c>
      <c r="F67" s="17">
        <v>3</v>
      </c>
      <c r="G67" s="55"/>
      <c r="H67" s="56"/>
      <c r="I67" s="55"/>
      <c r="J67" s="56"/>
      <c r="K67" s="59"/>
      <c r="L67" s="204" t="s">
        <v>135</v>
      </c>
      <c r="M67" s="202"/>
      <c r="N67" s="248"/>
      <c r="O67" s="1"/>
      <c r="P67" s="1"/>
    </row>
    <row r="68" spans="1:16" ht="16.5" customHeight="1" x14ac:dyDescent="0.4">
      <c r="A68" s="221"/>
      <c r="B68" s="206" t="s">
        <v>18</v>
      </c>
      <c r="C68" s="195" t="s">
        <v>13</v>
      </c>
      <c r="D68" s="76" t="s">
        <v>95</v>
      </c>
      <c r="E68" s="16">
        <v>4</v>
      </c>
      <c r="F68" s="17">
        <v>3</v>
      </c>
      <c r="G68" s="55"/>
      <c r="H68" s="56"/>
      <c r="I68" s="55"/>
      <c r="J68" s="56"/>
      <c r="K68" s="12"/>
      <c r="L68" s="204"/>
      <c r="M68" s="202"/>
      <c r="N68" s="248"/>
      <c r="O68" s="1"/>
      <c r="P68" s="1"/>
    </row>
    <row r="69" spans="1:16" ht="16.5" customHeight="1" x14ac:dyDescent="0.4">
      <c r="A69" s="221"/>
      <c r="B69" s="207"/>
      <c r="C69" s="195" t="s">
        <v>60</v>
      </c>
      <c r="D69" s="76" t="s">
        <v>96</v>
      </c>
      <c r="E69" s="16">
        <v>4</v>
      </c>
      <c r="F69" s="17">
        <v>3</v>
      </c>
      <c r="G69" s="55"/>
      <c r="H69" s="56"/>
      <c r="I69" s="55"/>
      <c r="J69" s="56"/>
      <c r="K69" s="12"/>
      <c r="L69" s="204"/>
      <c r="M69" s="202"/>
      <c r="N69" s="248"/>
      <c r="O69" s="1"/>
      <c r="P69" s="1"/>
    </row>
    <row r="70" spans="1:16" ht="16.5" customHeight="1" x14ac:dyDescent="0.4">
      <c r="A70" s="221"/>
      <c r="B70" s="208" t="s">
        <v>10</v>
      </c>
      <c r="C70" s="195" t="s">
        <v>13</v>
      </c>
      <c r="D70" s="76" t="s">
        <v>97</v>
      </c>
      <c r="E70" s="16">
        <v>4</v>
      </c>
      <c r="F70" s="17">
        <v>3</v>
      </c>
      <c r="G70" s="55"/>
      <c r="H70" s="56"/>
      <c r="I70" s="55"/>
      <c r="J70" s="56"/>
      <c r="K70" s="12"/>
      <c r="L70" s="204"/>
      <c r="M70" s="202"/>
      <c r="N70" s="248"/>
      <c r="O70" s="1"/>
      <c r="P70" s="1"/>
    </row>
    <row r="71" spans="1:16" ht="16.5" customHeight="1" x14ac:dyDescent="0.4">
      <c r="A71" s="221"/>
      <c r="B71" s="209"/>
      <c r="C71" s="195" t="s">
        <v>60</v>
      </c>
      <c r="D71" s="76" t="s">
        <v>98</v>
      </c>
      <c r="E71" s="16">
        <v>4</v>
      </c>
      <c r="F71" s="17">
        <v>3</v>
      </c>
      <c r="G71" s="12"/>
      <c r="H71" s="13"/>
      <c r="I71" s="12"/>
      <c r="J71" s="13"/>
      <c r="K71" s="12"/>
      <c r="L71" s="204"/>
      <c r="M71" s="202"/>
      <c r="N71" s="248"/>
      <c r="O71" s="1"/>
      <c r="P71" s="1"/>
    </row>
    <row r="72" spans="1:16" ht="16.5" customHeight="1" x14ac:dyDescent="0.4">
      <c r="A72" s="221"/>
      <c r="B72" s="197" t="s">
        <v>19</v>
      </c>
      <c r="C72" s="195" t="s">
        <v>60</v>
      </c>
      <c r="D72" s="76" t="s">
        <v>140</v>
      </c>
      <c r="E72" s="16">
        <v>4</v>
      </c>
      <c r="F72" s="17">
        <v>3</v>
      </c>
      <c r="G72" s="12"/>
      <c r="H72" s="13"/>
      <c r="I72" s="12"/>
      <c r="J72" s="13"/>
      <c r="K72" s="12"/>
      <c r="L72" s="204"/>
      <c r="M72" s="202"/>
      <c r="N72" s="248"/>
      <c r="O72" s="1"/>
      <c r="P72" s="1"/>
    </row>
    <row r="73" spans="1:16" ht="16.5" customHeight="1" x14ac:dyDescent="0.4">
      <c r="A73" s="221"/>
      <c r="B73" s="37" t="s">
        <v>35</v>
      </c>
      <c r="C73" s="16" t="s">
        <v>60</v>
      </c>
      <c r="D73" s="76" t="s">
        <v>99</v>
      </c>
      <c r="E73" s="16">
        <v>4</v>
      </c>
      <c r="F73" s="17">
        <v>3</v>
      </c>
      <c r="G73" s="12"/>
      <c r="H73" s="13"/>
      <c r="I73" s="12"/>
      <c r="J73" s="13"/>
      <c r="K73" s="12"/>
      <c r="L73" s="204"/>
      <c r="M73" s="202"/>
      <c r="N73" s="248"/>
      <c r="O73" s="1"/>
      <c r="P73" s="1"/>
    </row>
    <row r="74" spans="1:16" ht="16.5" customHeight="1" x14ac:dyDescent="0.4">
      <c r="A74" s="221"/>
      <c r="B74" s="210" t="s">
        <v>75</v>
      </c>
      <c r="C74" s="16" t="s">
        <v>13</v>
      </c>
      <c r="D74" s="76" t="s">
        <v>100</v>
      </c>
      <c r="E74" s="16">
        <v>4</v>
      </c>
      <c r="F74" s="17">
        <v>3</v>
      </c>
      <c r="G74" s="12"/>
      <c r="H74" s="13"/>
      <c r="I74" s="12"/>
      <c r="J74" s="13"/>
      <c r="K74" s="12"/>
      <c r="L74" s="204"/>
      <c r="M74" s="202"/>
      <c r="N74" s="248"/>
      <c r="O74" s="1"/>
      <c r="P74" s="1"/>
    </row>
    <row r="75" spans="1:16" ht="16.5" customHeight="1" thickBot="1" x14ac:dyDescent="0.45">
      <c r="A75" s="222"/>
      <c r="B75" s="211"/>
      <c r="C75" s="16" t="s">
        <v>60</v>
      </c>
      <c r="D75" s="76" t="s">
        <v>101</v>
      </c>
      <c r="E75" s="157">
        <v>4</v>
      </c>
      <c r="F75" s="158">
        <v>3</v>
      </c>
      <c r="G75" s="23"/>
      <c r="H75" s="24"/>
      <c r="I75" s="91"/>
      <c r="J75" s="92"/>
      <c r="K75" s="91"/>
      <c r="L75" s="205"/>
      <c r="M75" s="203"/>
      <c r="N75" s="252"/>
      <c r="O75" s="1"/>
      <c r="P75" s="1"/>
    </row>
    <row r="76" spans="1:16" ht="16.5" customHeight="1" x14ac:dyDescent="0.4">
      <c r="A76" s="212" t="s">
        <v>142</v>
      </c>
      <c r="B76" s="186" t="s">
        <v>15</v>
      </c>
      <c r="C76" s="187" t="s">
        <v>60</v>
      </c>
      <c r="D76" s="318" t="s">
        <v>125</v>
      </c>
      <c r="E76" s="187">
        <v>4</v>
      </c>
      <c r="F76" s="188">
        <v>3</v>
      </c>
      <c r="G76" s="214" t="s">
        <v>134</v>
      </c>
      <c r="H76" s="215"/>
      <c r="I76" s="215"/>
      <c r="J76" s="215"/>
      <c r="K76" s="215"/>
      <c r="L76" s="216"/>
      <c r="M76" s="167"/>
      <c r="N76" s="168"/>
      <c r="O76" s="1"/>
      <c r="P76" s="1"/>
    </row>
    <row r="77" spans="1:16" ht="16.5" customHeight="1" thickBot="1" x14ac:dyDescent="0.45">
      <c r="A77" s="213"/>
      <c r="B77" s="189" t="s">
        <v>20</v>
      </c>
      <c r="C77" s="190" t="s">
        <v>13</v>
      </c>
      <c r="D77" s="191" t="s">
        <v>133</v>
      </c>
      <c r="E77" s="190">
        <v>4</v>
      </c>
      <c r="F77" s="192">
        <v>3</v>
      </c>
      <c r="G77" s="217"/>
      <c r="H77" s="218"/>
      <c r="I77" s="218"/>
      <c r="J77" s="218"/>
      <c r="K77" s="218"/>
      <c r="L77" s="219"/>
      <c r="M77" s="169"/>
      <c r="N77" s="170"/>
      <c r="O77" s="1"/>
      <c r="P77" s="1"/>
    </row>
    <row r="78" spans="1:16" ht="15" customHeight="1" x14ac:dyDescent="0.4">
      <c r="A78" s="230" t="s">
        <v>39</v>
      </c>
      <c r="B78" s="231"/>
      <c r="C78" s="231"/>
      <c r="D78" s="231"/>
      <c r="E78" s="231"/>
      <c r="F78" s="232"/>
      <c r="G78" s="7">
        <v>30</v>
      </c>
      <c r="H78" s="8">
        <v>30</v>
      </c>
      <c r="I78" s="62">
        <v>31</v>
      </c>
      <c r="J78" s="4">
        <v>31</v>
      </c>
      <c r="K78" s="4">
        <v>26</v>
      </c>
      <c r="L78" s="4">
        <v>26</v>
      </c>
      <c r="M78" s="4">
        <f>SUM(G78:L78)</f>
        <v>174</v>
      </c>
      <c r="N78" s="8">
        <f>SUM(N5:N30)</f>
        <v>84</v>
      </c>
      <c r="O78" s="1"/>
      <c r="P78" s="1"/>
    </row>
    <row r="79" spans="1:16" ht="15" customHeight="1" x14ac:dyDescent="0.4">
      <c r="A79" s="233" t="s">
        <v>14</v>
      </c>
      <c r="B79" s="234"/>
      <c r="C79" s="234"/>
      <c r="D79" s="234"/>
      <c r="E79" s="234"/>
      <c r="F79" s="235"/>
      <c r="G79" s="12">
        <v>3</v>
      </c>
      <c r="H79" s="13">
        <v>3</v>
      </c>
      <c r="I79" s="61">
        <v>3</v>
      </c>
      <c r="J79" s="9">
        <v>3</v>
      </c>
      <c r="K79" s="9">
        <v>3</v>
      </c>
      <c r="L79" s="9">
        <v>3</v>
      </c>
      <c r="M79" s="9">
        <f>SUM(G79:L79)</f>
        <v>18</v>
      </c>
      <c r="N79" s="13">
        <v>18</v>
      </c>
      <c r="O79" s="1"/>
      <c r="P79" s="1"/>
    </row>
    <row r="80" spans="1:16" ht="15" customHeight="1" thickBot="1" x14ac:dyDescent="0.45">
      <c r="A80" s="198" t="s">
        <v>40</v>
      </c>
      <c r="B80" s="199"/>
      <c r="C80" s="199"/>
      <c r="D80" s="199"/>
      <c r="E80" s="199"/>
      <c r="F80" s="200"/>
      <c r="G80" s="23">
        <f t="shared" ref="G80:L80" si="0">G78+G79</f>
        <v>33</v>
      </c>
      <c r="H80" s="24">
        <f t="shared" si="0"/>
        <v>33</v>
      </c>
      <c r="I80" s="63">
        <f t="shared" si="0"/>
        <v>34</v>
      </c>
      <c r="J80" s="20">
        <f t="shared" si="0"/>
        <v>34</v>
      </c>
      <c r="K80" s="20">
        <f t="shared" si="0"/>
        <v>29</v>
      </c>
      <c r="L80" s="20">
        <f t="shared" si="0"/>
        <v>29</v>
      </c>
      <c r="M80" s="20">
        <f>SUM(G80:L80)</f>
        <v>192</v>
      </c>
      <c r="N80" s="24"/>
      <c r="O80" s="1"/>
      <c r="P80" s="1"/>
    </row>
    <row r="81" spans="1:16" x14ac:dyDescent="0.4">
      <c r="A81" s="64"/>
      <c r="B81" s="43"/>
      <c r="C81" s="64"/>
      <c r="D81" s="43"/>
      <c r="E81" s="64"/>
      <c r="F81" s="64"/>
      <c r="G81" s="64"/>
      <c r="H81" s="64"/>
      <c r="I81" s="43"/>
      <c r="J81" s="43"/>
      <c r="K81" s="64"/>
      <c r="L81" s="64"/>
      <c r="M81" s="43"/>
      <c r="N81" s="43"/>
      <c r="O81" s="1"/>
      <c r="P81" s="1"/>
    </row>
    <row r="82" spans="1:16" x14ac:dyDescent="0.4">
      <c r="A82" s="64"/>
      <c r="B82" s="43"/>
      <c r="C82" s="64"/>
      <c r="D82" s="43"/>
      <c r="E82" s="64"/>
      <c r="F82" s="64"/>
      <c r="G82" s="64"/>
      <c r="H82" s="64"/>
      <c r="I82" s="43"/>
      <c r="J82" s="43"/>
      <c r="K82" s="64"/>
      <c r="L82" s="64"/>
      <c r="M82" s="43"/>
      <c r="N82" s="43"/>
      <c r="O82" s="1"/>
      <c r="P82" s="1"/>
    </row>
    <row r="83" spans="1:16" x14ac:dyDescent="0.4">
      <c r="A83" s="64"/>
      <c r="B83" s="43"/>
      <c r="C83" s="64"/>
      <c r="D83" s="43"/>
      <c r="E83" s="64"/>
      <c r="F83" s="64"/>
      <c r="G83" s="64"/>
      <c r="H83" s="64"/>
      <c r="I83" s="43"/>
      <c r="J83" s="43"/>
      <c r="K83" s="64"/>
      <c r="L83" s="64"/>
      <c r="M83" s="43"/>
      <c r="N83" s="43"/>
      <c r="O83" s="1"/>
      <c r="P83" s="1"/>
    </row>
    <row r="84" spans="1:16" x14ac:dyDescent="0.4">
      <c r="A84" s="64"/>
      <c r="B84" s="43"/>
      <c r="C84" s="64"/>
      <c r="D84" s="43"/>
      <c r="E84" s="64"/>
      <c r="F84" s="64"/>
      <c r="G84" s="64"/>
      <c r="H84" s="64"/>
      <c r="I84" s="43"/>
      <c r="J84" s="43"/>
      <c r="K84" s="64"/>
      <c r="L84" s="64"/>
      <c r="M84" s="43"/>
      <c r="N84" s="43"/>
      <c r="O84" s="1"/>
      <c r="P84" s="1"/>
    </row>
  </sheetData>
  <mergeCells count="74">
    <mergeCell ref="A5:A30"/>
    <mergeCell ref="B5:B6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M5:M6"/>
    <mergeCell ref="N5:N6"/>
    <mergeCell ref="B7:B8"/>
    <mergeCell ref="M7:M8"/>
    <mergeCell ref="N7:N8"/>
    <mergeCell ref="B9:B10"/>
    <mergeCell ref="M9:M10"/>
    <mergeCell ref="N9:N10"/>
    <mergeCell ref="B11:B14"/>
    <mergeCell ref="M11:M12"/>
    <mergeCell ref="N11:N12"/>
    <mergeCell ref="M13:M14"/>
    <mergeCell ref="N13:N14"/>
    <mergeCell ref="B15:B18"/>
    <mergeCell ref="B19:B24"/>
    <mergeCell ref="M19:M24"/>
    <mergeCell ref="N19:N24"/>
    <mergeCell ref="B33:B34"/>
    <mergeCell ref="M15:M18"/>
    <mergeCell ref="N15:N18"/>
    <mergeCell ref="B35:B36"/>
    <mergeCell ref="B25:B28"/>
    <mergeCell ref="M25:M28"/>
    <mergeCell ref="N25:N28"/>
    <mergeCell ref="K27:L27"/>
    <mergeCell ref="B29:B30"/>
    <mergeCell ref="M29:M30"/>
    <mergeCell ref="N29:N30"/>
    <mergeCell ref="G25:H25"/>
    <mergeCell ref="N31:N75"/>
    <mergeCell ref="I32:I39"/>
    <mergeCell ref="B37:B38"/>
    <mergeCell ref="M40:M41"/>
    <mergeCell ref="B42:B43"/>
    <mergeCell ref="B59:B61"/>
    <mergeCell ref="B62:B63"/>
    <mergeCell ref="M42:M50"/>
    <mergeCell ref="J43:J50"/>
    <mergeCell ref="B44:B45"/>
    <mergeCell ref="B46:B47"/>
    <mergeCell ref="B53:B54"/>
    <mergeCell ref="M53:M65"/>
    <mergeCell ref="K54:K65"/>
    <mergeCell ref="B55:B56"/>
    <mergeCell ref="A80:F80"/>
    <mergeCell ref="M66:M75"/>
    <mergeCell ref="L67:L75"/>
    <mergeCell ref="B68:B69"/>
    <mergeCell ref="B70:B71"/>
    <mergeCell ref="B74:B75"/>
    <mergeCell ref="A76:A77"/>
    <mergeCell ref="G76:L77"/>
    <mergeCell ref="A31:A75"/>
    <mergeCell ref="B31:B32"/>
    <mergeCell ref="M31:M39"/>
    <mergeCell ref="B57:B58"/>
    <mergeCell ref="B48:B49"/>
    <mergeCell ref="M51:M52"/>
    <mergeCell ref="A78:F78"/>
    <mergeCell ref="A79:F79"/>
  </mergeCells>
  <phoneticPr fontId="1" type="noConversion"/>
  <printOptions horizontalCentered="1" verticalCentered="1"/>
  <pageMargins left="0.25" right="0.25" top="0.75" bottom="0.75" header="0.3" footer="0.3"/>
  <pageSetup paperSize="9" scale="5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F0EF-55FF-4C45-AEF3-FF96060FED7C}">
  <sheetPr>
    <tabColor rgb="FFFFC000"/>
    <pageSetUpPr fitToPage="1"/>
  </sheetPr>
  <dimension ref="A1:R81"/>
  <sheetViews>
    <sheetView topLeftCell="C1" zoomScale="80" zoomScaleNormal="80" workbookViewId="0">
      <pane xSplit="2" ySplit="4" topLeftCell="E47" activePane="bottomRight" state="frozen"/>
      <selection activeCell="C1" sqref="C1"/>
      <selection pane="topRight" activeCell="D1" sqref="D1"/>
      <selection pane="bottomLeft" activeCell="C5" sqref="C5"/>
      <selection pane="bottomRight" activeCell="E56" sqref="E56"/>
    </sheetView>
  </sheetViews>
  <sheetFormatPr defaultRowHeight="17.399999999999999" x14ac:dyDescent="0.4"/>
  <cols>
    <col min="1" max="1" width="1.8984375" customWidth="1"/>
    <col min="2" max="3" width="4" customWidth="1"/>
    <col min="4" max="4" width="14.3984375" customWidth="1"/>
    <col min="5" max="5" width="9.3984375" customWidth="1"/>
    <col min="6" max="6" width="53.8984375" customWidth="1"/>
    <col min="7" max="8" width="4.3984375" customWidth="1"/>
    <col min="9" max="14" width="5.19921875" customWidth="1"/>
    <col min="15" max="15" width="4.3984375" customWidth="1"/>
    <col min="16" max="16" width="4.69921875" customWidth="1"/>
    <col min="17" max="17" width="2.796875" customWidth="1"/>
  </cols>
  <sheetData>
    <row r="1" spans="1:18" ht="31.95" customHeight="1" x14ac:dyDescent="0.4">
      <c r="A1" s="1"/>
      <c r="B1" s="261" t="s">
        <v>132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1"/>
      <c r="R1" s="1"/>
    </row>
    <row r="2" spans="1:18" ht="22.2" customHeight="1" thickBot="1" x14ac:dyDescent="0.45">
      <c r="A2" s="1"/>
      <c r="B2" s="276" t="s">
        <v>22</v>
      </c>
      <c r="C2" s="262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1"/>
      <c r="R2" s="1"/>
    </row>
    <row r="3" spans="1:18" ht="19.95" customHeight="1" x14ac:dyDescent="0.4">
      <c r="A3" s="1"/>
      <c r="B3" s="277" t="s">
        <v>25</v>
      </c>
      <c r="C3" s="279" t="s">
        <v>25</v>
      </c>
      <c r="D3" s="266" t="s">
        <v>26</v>
      </c>
      <c r="E3" s="266" t="s">
        <v>0</v>
      </c>
      <c r="F3" s="266"/>
      <c r="G3" s="266" t="s">
        <v>23</v>
      </c>
      <c r="H3" s="268" t="s">
        <v>102</v>
      </c>
      <c r="I3" s="270" t="s">
        <v>27</v>
      </c>
      <c r="J3" s="271"/>
      <c r="K3" s="270" t="s">
        <v>1</v>
      </c>
      <c r="L3" s="271"/>
      <c r="M3" s="270" t="s">
        <v>2</v>
      </c>
      <c r="N3" s="271"/>
      <c r="O3" s="272" t="s">
        <v>41</v>
      </c>
      <c r="P3" s="274" t="s">
        <v>24</v>
      </c>
      <c r="Q3" s="1"/>
      <c r="R3" s="1"/>
    </row>
    <row r="4" spans="1:18" ht="19.95" customHeight="1" thickBot="1" x14ac:dyDescent="0.45">
      <c r="A4" s="1"/>
      <c r="B4" s="278"/>
      <c r="C4" s="278"/>
      <c r="D4" s="280"/>
      <c r="E4" s="267"/>
      <c r="F4" s="267"/>
      <c r="G4" s="267"/>
      <c r="H4" s="269"/>
      <c r="I4" s="2" t="s">
        <v>3</v>
      </c>
      <c r="J4" s="3" t="s">
        <v>4</v>
      </c>
      <c r="K4" s="2" t="s">
        <v>3</v>
      </c>
      <c r="L4" s="3" t="s">
        <v>4</v>
      </c>
      <c r="M4" s="2" t="s">
        <v>3</v>
      </c>
      <c r="N4" s="3" t="s">
        <v>4</v>
      </c>
      <c r="O4" s="273"/>
      <c r="P4" s="275"/>
      <c r="Q4" s="1"/>
      <c r="R4" s="1"/>
    </row>
    <row r="5" spans="1:18" ht="16.2" customHeight="1" x14ac:dyDescent="0.4">
      <c r="A5" s="1"/>
      <c r="B5" s="281" t="s">
        <v>28</v>
      </c>
      <c r="C5" s="221" t="s">
        <v>126</v>
      </c>
      <c r="D5" s="284" t="s">
        <v>5</v>
      </c>
      <c r="E5" s="4" t="s">
        <v>29</v>
      </c>
      <c r="F5" s="65" t="s">
        <v>42</v>
      </c>
      <c r="G5" s="5">
        <v>4</v>
      </c>
      <c r="H5" s="6">
        <v>4</v>
      </c>
      <c r="I5" s="7">
        <v>4</v>
      </c>
      <c r="J5" s="8"/>
      <c r="K5" s="7"/>
      <c r="L5" s="8"/>
      <c r="M5" s="7"/>
      <c r="N5" s="8"/>
      <c r="O5" s="225">
        <v>8</v>
      </c>
      <c r="P5" s="253">
        <v>8</v>
      </c>
      <c r="Q5" s="1"/>
      <c r="R5" s="1"/>
    </row>
    <row r="6" spans="1:18" ht="16.5" customHeight="1" x14ac:dyDescent="0.4">
      <c r="A6" s="1"/>
      <c r="B6" s="282"/>
      <c r="C6" s="221"/>
      <c r="D6" s="285"/>
      <c r="E6" s="9" t="s">
        <v>29</v>
      </c>
      <c r="F6" s="66" t="s">
        <v>43</v>
      </c>
      <c r="G6" s="10">
        <v>4</v>
      </c>
      <c r="H6" s="11">
        <v>4</v>
      </c>
      <c r="I6" s="12"/>
      <c r="J6" s="13">
        <v>4</v>
      </c>
      <c r="K6" s="12"/>
      <c r="L6" s="13"/>
      <c r="M6" s="12"/>
      <c r="N6" s="13"/>
      <c r="O6" s="202"/>
      <c r="P6" s="248"/>
      <c r="Q6" s="1"/>
      <c r="R6" s="1"/>
    </row>
    <row r="7" spans="1:18" ht="16.5" customHeight="1" x14ac:dyDescent="0.4">
      <c r="A7" s="1"/>
      <c r="B7" s="282"/>
      <c r="C7" s="221"/>
      <c r="D7" s="285" t="s">
        <v>8</v>
      </c>
      <c r="E7" s="9" t="s">
        <v>29</v>
      </c>
      <c r="F7" s="66" t="s">
        <v>44</v>
      </c>
      <c r="G7" s="10">
        <v>4</v>
      </c>
      <c r="H7" s="11">
        <v>4</v>
      </c>
      <c r="I7" s="12">
        <v>4</v>
      </c>
      <c r="J7" s="13"/>
      <c r="K7" s="12"/>
      <c r="L7" s="13"/>
      <c r="M7" s="12"/>
      <c r="N7" s="13"/>
      <c r="O7" s="201">
        <v>8</v>
      </c>
      <c r="P7" s="247">
        <v>8</v>
      </c>
      <c r="Q7" s="1"/>
      <c r="R7" s="1"/>
    </row>
    <row r="8" spans="1:18" ht="16.5" customHeight="1" x14ac:dyDescent="0.4">
      <c r="A8" s="1"/>
      <c r="B8" s="282"/>
      <c r="C8" s="221"/>
      <c r="D8" s="285"/>
      <c r="E8" s="9" t="s">
        <v>29</v>
      </c>
      <c r="F8" s="66" t="s">
        <v>45</v>
      </c>
      <c r="G8" s="10">
        <v>4</v>
      </c>
      <c r="H8" s="11">
        <v>4</v>
      </c>
      <c r="I8" s="12"/>
      <c r="J8" s="13">
        <v>4</v>
      </c>
      <c r="K8" s="12"/>
      <c r="L8" s="13"/>
      <c r="M8" s="12"/>
      <c r="N8" s="13"/>
      <c r="O8" s="202"/>
      <c r="P8" s="248"/>
      <c r="Q8" s="1"/>
      <c r="R8" s="1"/>
    </row>
    <row r="9" spans="1:18" ht="16.5" customHeight="1" x14ac:dyDescent="0.4">
      <c r="A9" s="1"/>
      <c r="B9" s="282"/>
      <c r="C9" s="221"/>
      <c r="D9" s="285" t="s">
        <v>9</v>
      </c>
      <c r="E9" s="9" t="s">
        <v>29</v>
      </c>
      <c r="F9" s="66" t="s">
        <v>46</v>
      </c>
      <c r="G9" s="10">
        <v>4</v>
      </c>
      <c r="H9" s="11">
        <v>4</v>
      </c>
      <c r="I9" s="12">
        <v>4</v>
      </c>
      <c r="J9" s="13"/>
      <c r="K9" s="12"/>
      <c r="L9" s="13"/>
      <c r="M9" s="12"/>
      <c r="N9" s="13"/>
      <c r="O9" s="201">
        <v>8</v>
      </c>
      <c r="P9" s="247">
        <v>8</v>
      </c>
      <c r="Q9" s="1"/>
      <c r="R9" s="1"/>
    </row>
    <row r="10" spans="1:18" ht="16.5" customHeight="1" x14ac:dyDescent="0.4">
      <c r="A10" s="1"/>
      <c r="B10" s="282"/>
      <c r="C10" s="221"/>
      <c r="D10" s="285"/>
      <c r="E10" s="9" t="s">
        <v>29</v>
      </c>
      <c r="F10" s="66" t="s">
        <v>47</v>
      </c>
      <c r="G10" s="10">
        <v>4</v>
      </c>
      <c r="H10" s="11">
        <v>4</v>
      </c>
      <c r="I10" s="12"/>
      <c r="J10" s="13">
        <v>4</v>
      </c>
      <c r="K10" s="14"/>
      <c r="L10" s="15"/>
      <c r="M10" s="14"/>
      <c r="N10" s="15"/>
      <c r="O10" s="202"/>
      <c r="P10" s="248"/>
      <c r="Q10" s="1"/>
      <c r="R10" s="1"/>
    </row>
    <row r="11" spans="1:18" ht="16.5" customHeight="1" x14ac:dyDescent="0.4">
      <c r="A11" s="1"/>
      <c r="B11" s="282"/>
      <c r="C11" s="221"/>
      <c r="D11" s="286" t="s">
        <v>10</v>
      </c>
      <c r="E11" s="9" t="s">
        <v>29</v>
      </c>
      <c r="F11" s="66" t="s">
        <v>48</v>
      </c>
      <c r="G11" s="10">
        <v>4</v>
      </c>
      <c r="H11" s="11">
        <v>4</v>
      </c>
      <c r="I11" s="12">
        <v>4</v>
      </c>
      <c r="J11" s="13"/>
      <c r="K11" s="14"/>
      <c r="L11" s="15"/>
      <c r="M11" s="14"/>
      <c r="N11" s="15"/>
      <c r="O11" s="201">
        <v>8</v>
      </c>
      <c r="P11" s="257">
        <v>8</v>
      </c>
      <c r="Q11" s="1"/>
      <c r="R11" s="1"/>
    </row>
    <row r="12" spans="1:18" ht="16.5" customHeight="1" x14ac:dyDescent="0.4">
      <c r="A12" s="1"/>
      <c r="B12" s="282"/>
      <c r="C12" s="221"/>
      <c r="D12" s="287"/>
      <c r="E12" s="9" t="s">
        <v>29</v>
      </c>
      <c r="F12" s="66" t="s">
        <v>49</v>
      </c>
      <c r="G12" s="10">
        <v>4</v>
      </c>
      <c r="H12" s="11">
        <v>4</v>
      </c>
      <c r="I12" s="12"/>
      <c r="J12" s="13">
        <v>4</v>
      </c>
      <c r="K12" s="14"/>
      <c r="L12" s="15"/>
      <c r="M12" s="14"/>
      <c r="N12" s="15"/>
      <c r="O12" s="241"/>
      <c r="P12" s="258"/>
      <c r="Q12" s="1"/>
      <c r="R12" s="1"/>
    </row>
    <row r="13" spans="1:18" ht="16.5" customHeight="1" x14ac:dyDescent="0.4">
      <c r="A13" s="1"/>
      <c r="B13" s="282"/>
      <c r="C13" s="221"/>
      <c r="D13" s="287"/>
      <c r="E13" s="9" t="s">
        <v>29</v>
      </c>
      <c r="F13" s="66" t="s">
        <v>50</v>
      </c>
      <c r="G13" s="10">
        <v>3</v>
      </c>
      <c r="H13" s="11">
        <v>3</v>
      </c>
      <c r="I13" s="12">
        <v>3</v>
      </c>
      <c r="J13" s="13"/>
      <c r="K13" s="14"/>
      <c r="L13" s="15"/>
      <c r="M13" s="14"/>
      <c r="N13" s="15"/>
      <c r="O13" s="201">
        <v>6</v>
      </c>
      <c r="P13" s="257">
        <v>6</v>
      </c>
      <c r="Q13" s="1"/>
      <c r="R13" s="1"/>
    </row>
    <row r="14" spans="1:18" ht="16.5" customHeight="1" x14ac:dyDescent="0.4">
      <c r="A14" s="1"/>
      <c r="B14" s="282"/>
      <c r="C14" s="221"/>
      <c r="D14" s="288"/>
      <c r="E14" s="9" t="s">
        <v>29</v>
      </c>
      <c r="F14" s="66" t="s">
        <v>51</v>
      </c>
      <c r="G14" s="10">
        <v>3</v>
      </c>
      <c r="H14" s="11">
        <v>3</v>
      </c>
      <c r="I14" s="12"/>
      <c r="J14" s="13">
        <v>3</v>
      </c>
      <c r="K14" s="14"/>
      <c r="L14" s="15"/>
      <c r="M14" s="14"/>
      <c r="N14" s="15"/>
      <c r="O14" s="241"/>
      <c r="P14" s="258"/>
      <c r="Q14" s="1"/>
      <c r="R14" s="1"/>
    </row>
    <row r="15" spans="1:18" ht="16.5" customHeight="1" x14ac:dyDescent="0.4">
      <c r="A15" s="1"/>
      <c r="B15" s="282"/>
      <c r="C15" s="221"/>
      <c r="D15" s="286" t="s">
        <v>19</v>
      </c>
      <c r="E15" s="9" t="s">
        <v>29</v>
      </c>
      <c r="F15" s="67" t="s">
        <v>52</v>
      </c>
      <c r="G15" s="10">
        <v>4</v>
      </c>
      <c r="H15" s="11">
        <v>4</v>
      </c>
      <c r="I15" s="12">
        <v>4</v>
      </c>
      <c r="J15" s="13"/>
      <c r="K15" s="14"/>
      <c r="L15" s="15"/>
      <c r="M15" s="14"/>
      <c r="N15" s="15"/>
      <c r="O15" s="201">
        <v>10</v>
      </c>
      <c r="P15" s="247">
        <v>10</v>
      </c>
      <c r="Q15" s="1"/>
      <c r="R15" s="1"/>
    </row>
    <row r="16" spans="1:18" ht="16.5" customHeight="1" x14ac:dyDescent="0.4">
      <c r="A16" s="1"/>
      <c r="B16" s="282"/>
      <c r="C16" s="221"/>
      <c r="D16" s="287"/>
      <c r="E16" s="9" t="s">
        <v>29</v>
      </c>
      <c r="F16" s="67" t="s">
        <v>53</v>
      </c>
      <c r="G16" s="10">
        <v>4</v>
      </c>
      <c r="H16" s="11">
        <v>4</v>
      </c>
      <c r="I16" s="12"/>
      <c r="J16" s="13">
        <v>4</v>
      </c>
      <c r="K16" s="14"/>
      <c r="L16" s="15"/>
      <c r="M16" s="14"/>
      <c r="N16" s="15"/>
      <c r="O16" s="202"/>
      <c r="P16" s="248"/>
      <c r="Q16" s="1"/>
      <c r="R16" s="1"/>
    </row>
    <row r="17" spans="1:18" ht="16.5" customHeight="1" x14ac:dyDescent="0.4">
      <c r="A17" s="1"/>
      <c r="B17" s="282"/>
      <c r="C17" s="221"/>
      <c r="D17" s="287"/>
      <c r="E17" s="9" t="s">
        <v>29</v>
      </c>
      <c r="F17" s="67" t="s">
        <v>54</v>
      </c>
      <c r="G17" s="10">
        <v>1</v>
      </c>
      <c r="H17" s="11">
        <v>1</v>
      </c>
      <c r="I17" s="12">
        <v>1</v>
      </c>
      <c r="J17" s="13"/>
      <c r="K17" s="14"/>
      <c r="L17" s="15"/>
      <c r="M17" s="14"/>
      <c r="N17" s="15"/>
      <c r="O17" s="202"/>
      <c r="P17" s="248"/>
      <c r="Q17" s="1"/>
      <c r="R17" s="1"/>
    </row>
    <row r="18" spans="1:18" ht="16.5" customHeight="1" x14ac:dyDescent="0.4">
      <c r="A18" s="1"/>
      <c r="B18" s="282"/>
      <c r="C18" s="221"/>
      <c r="D18" s="288"/>
      <c r="E18" s="9" t="s">
        <v>29</v>
      </c>
      <c r="F18" s="67" t="s">
        <v>55</v>
      </c>
      <c r="G18" s="10">
        <v>1</v>
      </c>
      <c r="H18" s="11">
        <v>1</v>
      </c>
      <c r="I18" s="12"/>
      <c r="J18" s="13">
        <v>1</v>
      </c>
      <c r="K18" s="14"/>
      <c r="L18" s="15"/>
      <c r="M18" s="14"/>
      <c r="N18" s="15"/>
      <c r="O18" s="241"/>
      <c r="P18" s="249"/>
      <c r="Q18" s="1"/>
      <c r="R18" s="1"/>
    </row>
    <row r="19" spans="1:18" ht="16.5" customHeight="1" x14ac:dyDescent="0.4">
      <c r="A19" s="1"/>
      <c r="B19" s="282"/>
      <c r="C19" s="221"/>
      <c r="D19" s="286" t="s">
        <v>11</v>
      </c>
      <c r="E19" s="9" t="s">
        <v>16</v>
      </c>
      <c r="F19" s="67" t="s">
        <v>56</v>
      </c>
      <c r="G19" s="10">
        <v>3</v>
      </c>
      <c r="H19" s="11">
        <v>2</v>
      </c>
      <c r="I19" s="14">
        <v>2</v>
      </c>
      <c r="J19" s="15"/>
      <c r="K19" s="14"/>
      <c r="L19" s="15"/>
      <c r="M19" s="14"/>
      <c r="N19" s="15"/>
      <c r="O19" s="201">
        <v>10</v>
      </c>
      <c r="P19" s="247">
        <v>10</v>
      </c>
      <c r="Q19" s="1"/>
      <c r="R19" s="1"/>
    </row>
    <row r="20" spans="1:18" ht="16.5" customHeight="1" x14ac:dyDescent="0.4">
      <c r="A20" s="1"/>
      <c r="B20" s="282"/>
      <c r="C20" s="221"/>
      <c r="D20" s="287"/>
      <c r="E20" s="9" t="s">
        <v>16</v>
      </c>
      <c r="F20" s="67" t="s">
        <v>57</v>
      </c>
      <c r="G20" s="16">
        <v>3</v>
      </c>
      <c r="H20" s="17">
        <v>2</v>
      </c>
      <c r="I20" s="12"/>
      <c r="J20" s="13">
        <v>2</v>
      </c>
      <c r="K20" s="12"/>
      <c r="L20" s="13"/>
      <c r="M20" s="12"/>
      <c r="N20" s="13"/>
      <c r="O20" s="202"/>
      <c r="P20" s="248"/>
      <c r="Q20" s="1"/>
      <c r="R20" s="1"/>
    </row>
    <row r="21" spans="1:18" ht="16.5" customHeight="1" x14ac:dyDescent="0.4">
      <c r="A21" s="1"/>
      <c r="B21" s="282"/>
      <c r="C21" s="221"/>
      <c r="D21" s="287"/>
      <c r="E21" s="9" t="s">
        <v>13</v>
      </c>
      <c r="F21" s="68" t="s">
        <v>58</v>
      </c>
      <c r="G21" s="16">
        <v>2</v>
      </c>
      <c r="H21" s="17">
        <v>1</v>
      </c>
      <c r="I21" s="12"/>
      <c r="J21" s="13"/>
      <c r="K21" s="12">
        <v>1</v>
      </c>
      <c r="L21" s="13"/>
      <c r="M21" s="12"/>
      <c r="N21" s="13"/>
      <c r="O21" s="202"/>
      <c r="P21" s="248"/>
      <c r="Q21" s="1"/>
      <c r="R21" s="1"/>
    </row>
    <row r="22" spans="1:18" ht="16.5" customHeight="1" x14ac:dyDescent="0.4">
      <c r="A22" s="1"/>
      <c r="B22" s="282"/>
      <c r="C22" s="221"/>
      <c r="D22" s="287"/>
      <c r="E22" s="9" t="s">
        <v>13</v>
      </c>
      <c r="F22" s="68" t="s">
        <v>59</v>
      </c>
      <c r="G22" s="16">
        <v>2</v>
      </c>
      <c r="H22" s="17">
        <v>1</v>
      </c>
      <c r="I22" s="12"/>
      <c r="J22" s="13"/>
      <c r="K22" s="12"/>
      <c r="L22" s="13">
        <v>1</v>
      </c>
      <c r="M22" s="12"/>
      <c r="N22" s="13"/>
      <c r="O22" s="202"/>
      <c r="P22" s="248"/>
      <c r="Q22" s="1"/>
      <c r="R22" s="1"/>
    </row>
    <row r="23" spans="1:18" ht="16.5" customHeight="1" x14ac:dyDescent="0.4">
      <c r="A23" s="1"/>
      <c r="B23" s="282"/>
      <c r="C23" s="221"/>
      <c r="D23" s="287"/>
      <c r="E23" s="9" t="s">
        <v>60</v>
      </c>
      <c r="F23" s="68" t="s">
        <v>61</v>
      </c>
      <c r="G23" s="16">
        <v>3</v>
      </c>
      <c r="H23" s="17">
        <v>2</v>
      </c>
      <c r="I23" s="12"/>
      <c r="J23" s="13"/>
      <c r="K23" s="12"/>
      <c r="L23" s="13"/>
      <c r="M23" s="12">
        <v>2</v>
      </c>
      <c r="N23" s="13"/>
      <c r="O23" s="202"/>
      <c r="P23" s="248"/>
      <c r="Q23" s="1"/>
      <c r="R23" s="1"/>
    </row>
    <row r="24" spans="1:18" ht="16.5" customHeight="1" x14ac:dyDescent="0.4">
      <c r="A24" s="1"/>
      <c r="B24" s="282"/>
      <c r="C24" s="221"/>
      <c r="D24" s="288"/>
      <c r="E24" s="9" t="s">
        <v>60</v>
      </c>
      <c r="F24" s="68" t="s">
        <v>62</v>
      </c>
      <c r="G24" s="16">
        <v>3</v>
      </c>
      <c r="H24" s="17">
        <v>2</v>
      </c>
      <c r="I24" s="12"/>
      <c r="J24" s="13"/>
      <c r="K24" s="12"/>
      <c r="L24" s="13"/>
      <c r="M24" s="12"/>
      <c r="N24" s="13">
        <v>2</v>
      </c>
      <c r="O24" s="241"/>
      <c r="P24" s="249"/>
      <c r="Q24" s="1"/>
      <c r="R24" s="1"/>
    </row>
    <row r="25" spans="1:18" ht="16.5" customHeight="1" x14ac:dyDescent="0.4">
      <c r="A25" s="1"/>
      <c r="B25" s="282"/>
      <c r="C25" s="221"/>
      <c r="D25" s="286" t="s">
        <v>37</v>
      </c>
      <c r="E25" s="9" t="s">
        <v>16</v>
      </c>
      <c r="F25" s="67" t="s">
        <v>33</v>
      </c>
      <c r="G25" s="16">
        <v>3</v>
      </c>
      <c r="H25" s="17">
        <v>2</v>
      </c>
      <c r="I25" s="12">
        <v>2</v>
      </c>
      <c r="J25" s="13"/>
      <c r="K25" s="12"/>
      <c r="L25" s="13"/>
      <c r="M25" s="12"/>
      <c r="N25" s="13"/>
      <c r="O25" s="201">
        <v>10</v>
      </c>
      <c r="P25" s="247">
        <v>10</v>
      </c>
      <c r="Q25" s="1"/>
      <c r="R25" s="1"/>
    </row>
    <row r="26" spans="1:18" ht="16.5" customHeight="1" thickBot="1" x14ac:dyDescent="0.45">
      <c r="A26" s="1"/>
      <c r="B26" s="282"/>
      <c r="C26" s="221"/>
      <c r="D26" s="287"/>
      <c r="E26" s="9" t="s">
        <v>13</v>
      </c>
      <c r="F26" s="67" t="s">
        <v>120</v>
      </c>
      <c r="G26" s="10">
        <v>3</v>
      </c>
      <c r="H26" s="11">
        <v>2</v>
      </c>
      <c r="I26" s="18"/>
      <c r="J26" s="19">
        <v>2</v>
      </c>
      <c r="K26" s="14"/>
      <c r="L26" s="15"/>
      <c r="M26" s="25"/>
      <c r="N26" s="26"/>
      <c r="O26" s="202"/>
      <c r="P26" s="248"/>
      <c r="Q26" s="1"/>
      <c r="R26" s="1"/>
    </row>
    <row r="27" spans="1:18" ht="16.5" customHeight="1" x14ac:dyDescent="0.4">
      <c r="A27" s="1"/>
      <c r="B27" s="282"/>
      <c r="C27" s="221"/>
      <c r="D27" s="287"/>
      <c r="E27" s="9" t="s">
        <v>6</v>
      </c>
      <c r="F27" s="67" t="s">
        <v>12</v>
      </c>
      <c r="G27" s="10">
        <v>3</v>
      </c>
      <c r="H27" s="11">
        <v>3</v>
      </c>
      <c r="I27" s="18"/>
      <c r="J27" s="19"/>
      <c r="K27" s="14"/>
      <c r="L27" s="15"/>
      <c r="M27" s="250" t="s">
        <v>121</v>
      </c>
      <c r="N27" s="251"/>
      <c r="O27" s="202"/>
      <c r="P27" s="248"/>
      <c r="Q27" s="1"/>
      <c r="R27" s="1"/>
    </row>
    <row r="28" spans="1:18" ht="16.5" customHeight="1" thickBot="1" x14ac:dyDescent="0.45">
      <c r="A28" s="1"/>
      <c r="B28" s="282"/>
      <c r="C28" s="221"/>
      <c r="D28" s="288"/>
      <c r="E28" s="9" t="s">
        <v>7</v>
      </c>
      <c r="F28" s="67" t="s">
        <v>103</v>
      </c>
      <c r="G28" s="10">
        <v>3</v>
      </c>
      <c r="H28" s="11">
        <v>3</v>
      </c>
      <c r="I28" s="18"/>
      <c r="J28" s="19"/>
      <c r="K28" s="14"/>
      <c r="L28" s="15"/>
      <c r="M28" s="121">
        <v>3</v>
      </c>
      <c r="N28" s="122">
        <v>3</v>
      </c>
      <c r="O28" s="241"/>
      <c r="P28" s="249"/>
      <c r="Q28" s="1"/>
      <c r="R28" s="1"/>
    </row>
    <row r="29" spans="1:18" ht="16.5" customHeight="1" x14ac:dyDescent="0.4">
      <c r="A29" s="1"/>
      <c r="B29" s="282"/>
      <c r="C29" s="221"/>
      <c r="D29" s="286" t="s">
        <v>34</v>
      </c>
      <c r="E29" s="9" t="s">
        <v>16</v>
      </c>
      <c r="F29" s="67" t="s">
        <v>63</v>
      </c>
      <c r="G29" s="10">
        <v>3</v>
      </c>
      <c r="H29" s="11">
        <v>2</v>
      </c>
      <c r="I29" s="12">
        <v>2</v>
      </c>
      <c r="J29" s="13"/>
      <c r="K29" s="14"/>
      <c r="L29" s="15"/>
      <c r="M29" s="77"/>
      <c r="N29" s="78"/>
      <c r="O29" s="201">
        <v>4</v>
      </c>
      <c r="P29" s="247">
        <v>16</v>
      </c>
      <c r="Q29" s="1"/>
      <c r="R29" s="1"/>
    </row>
    <row r="30" spans="1:18" ht="16.5" customHeight="1" thickBot="1" x14ac:dyDescent="0.45">
      <c r="A30" s="1"/>
      <c r="B30" s="283"/>
      <c r="C30" s="222"/>
      <c r="D30" s="289"/>
      <c r="E30" s="20" t="s">
        <v>16</v>
      </c>
      <c r="F30" s="69" t="s">
        <v>64</v>
      </c>
      <c r="G30" s="21">
        <v>3</v>
      </c>
      <c r="H30" s="22">
        <v>2</v>
      </c>
      <c r="I30" s="23"/>
      <c r="J30" s="24">
        <v>2</v>
      </c>
      <c r="K30" s="27"/>
      <c r="L30" s="28"/>
      <c r="M30" s="27"/>
      <c r="N30" s="28"/>
      <c r="O30" s="203"/>
      <c r="P30" s="252"/>
      <c r="Q30" s="1"/>
      <c r="R30" s="1"/>
    </row>
    <row r="31" spans="1:18" ht="17.399999999999999" customHeight="1" x14ac:dyDescent="0.4">
      <c r="A31" s="1"/>
      <c r="B31" s="220" t="s">
        <v>38</v>
      </c>
      <c r="C31" s="301" t="s">
        <v>38</v>
      </c>
      <c r="D31" s="299" t="s">
        <v>15</v>
      </c>
      <c r="E31" s="30" t="s">
        <v>6</v>
      </c>
      <c r="F31" s="71" t="s">
        <v>30</v>
      </c>
      <c r="G31" s="31">
        <v>4</v>
      </c>
      <c r="H31" s="32">
        <v>4</v>
      </c>
      <c r="I31" s="33"/>
      <c r="J31" s="34"/>
      <c r="K31" s="94" t="s">
        <v>65</v>
      </c>
      <c r="L31" s="146"/>
      <c r="M31" s="7"/>
      <c r="N31" s="8"/>
      <c r="O31" s="290">
        <v>24</v>
      </c>
      <c r="P31" s="248">
        <f>O31+O40+O51+O53+O66</f>
        <v>78</v>
      </c>
      <c r="Q31" s="1"/>
      <c r="R31" s="1"/>
    </row>
    <row r="32" spans="1:18" ht="17.399999999999999" customHeight="1" x14ac:dyDescent="0.4">
      <c r="A32" s="1"/>
      <c r="B32" s="221"/>
      <c r="C32" s="301"/>
      <c r="D32" s="295"/>
      <c r="E32" s="30" t="s">
        <v>13</v>
      </c>
      <c r="F32" s="71" t="s">
        <v>66</v>
      </c>
      <c r="G32" s="31">
        <v>4</v>
      </c>
      <c r="H32" s="32">
        <v>4</v>
      </c>
      <c r="I32" s="33"/>
      <c r="J32" s="34"/>
      <c r="K32" s="79">
        <v>4</v>
      </c>
      <c r="L32" s="146"/>
      <c r="M32" s="33"/>
      <c r="N32" s="34"/>
      <c r="O32" s="291"/>
      <c r="P32" s="248"/>
      <c r="Q32" s="1"/>
      <c r="R32" s="1"/>
    </row>
    <row r="33" spans="1:18" ht="17.399999999999999" customHeight="1" x14ac:dyDescent="0.4">
      <c r="A33" s="1"/>
      <c r="B33" s="221"/>
      <c r="C33" s="301"/>
      <c r="D33" s="292" t="s">
        <v>17</v>
      </c>
      <c r="E33" s="98" t="s">
        <v>16</v>
      </c>
      <c r="F33" s="99" t="s">
        <v>79</v>
      </c>
      <c r="G33" s="31">
        <v>4</v>
      </c>
      <c r="H33" s="32">
        <v>4</v>
      </c>
      <c r="I33" s="33"/>
      <c r="J33" s="34"/>
      <c r="K33" s="80">
        <v>4</v>
      </c>
      <c r="L33" s="146"/>
      <c r="M33" s="33"/>
      <c r="N33" s="34"/>
      <c r="O33" s="291"/>
      <c r="P33" s="248"/>
      <c r="Q33" s="1"/>
    </row>
    <row r="34" spans="1:18" ht="17.399999999999999" customHeight="1" x14ac:dyDescent="0.4">
      <c r="A34" s="1"/>
      <c r="B34" s="221"/>
      <c r="C34" s="301"/>
      <c r="D34" s="293"/>
      <c r="E34" s="100" t="s">
        <v>13</v>
      </c>
      <c r="F34" s="101" t="s">
        <v>108</v>
      </c>
      <c r="G34" s="10">
        <v>4</v>
      </c>
      <c r="H34" s="11">
        <v>4</v>
      </c>
      <c r="I34" s="12"/>
      <c r="J34" s="13"/>
      <c r="K34" s="80">
        <v>4</v>
      </c>
      <c r="L34" s="146"/>
      <c r="M34" s="33"/>
      <c r="N34" s="34"/>
      <c r="O34" s="291"/>
      <c r="P34" s="248"/>
      <c r="Q34" s="1"/>
    </row>
    <row r="35" spans="1:18" ht="17.399999999999999" customHeight="1" x14ac:dyDescent="0.4">
      <c r="A35" s="1"/>
      <c r="B35" s="221"/>
      <c r="C35" s="301"/>
      <c r="D35" s="294" t="s">
        <v>18</v>
      </c>
      <c r="E35" s="9" t="s">
        <v>6</v>
      </c>
      <c r="F35" s="72" t="s">
        <v>31</v>
      </c>
      <c r="G35" s="10">
        <v>4</v>
      </c>
      <c r="H35" s="11">
        <v>4</v>
      </c>
      <c r="I35" s="12"/>
      <c r="J35" s="13"/>
      <c r="K35" s="80">
        <v>4</v>
      </c>
      <c r="L35" s="146"/>
      <c r="M35" s="33"/>
      <c r="N35" s="34"/>
      <c r="O35" s="291"/>
      <c r="P35" s="248"/>
      <c r="Q35" s="1"/>
    </row>
    <row r="36" spans="1:18" ht="17.399999999999999" customHeight="1" x14ac:dyDescent="0.4">
      <c r="A36" s="1"/>
      <c r="B36" s="221"/>
      <c r="C36" s="301"/>
      <c r="D36" s="295"/>
      <c r="E36" s="9" t="s">
        <v>60</v>
      </c>
      <c r="F36" s="72" t="s">
        <v>70</v>
      </c>
      <c r="G36" s="10">
        <v>4</v>
      </c>
      <c r="H36" s="11">
        <v>4</v>
      </c>
      <c r="I36" s="12"/>
      <c r="J36" s="13"/>
      <c r="K36" s="80">
        <v>4</v>
      </c>
      <c r="L36" s="146"/>
      <c r="M36" s="33"/>
      <c r="N36" s="34"/>
      <c r="O36" s="291"/>
      <c r="P36" s="248"/>
      <c r="Q36" s="1"/>
      <c r="R36" s="1"/>
    </row>
    <row r="37" spans="1:18" ht="17.399999999999999" customHeight="1" x14ac:dyDescent="0.4">
      <c r="A37" s="1"/>
      <c r="B37" s="221"/>
      <c r="C37" s="301"/>
      <c r="D37" s="294" t="s">
        <v>71</v>
      </c>
      <c r="E37" s="30" t="s">
        <v>6</v>
      </c>
      <c r="F37" s="71" t="s">
        <v>72</v>
      </c>
      <c r="G37" s="31">
        <v>4</v>
      </c>
      <c r="H37" s="32">
        <v>4</v>
      </c>
      <c r="I37" s="33"/>
      <c r="J37" s="34"/>
      <c r="K37" s="80">
        <v>4</v>
      </c>
      <c r="L37" s="146"/>
      <c r="M37" s="33"/>
      <c r="N37" s="34"/>
      <c r="O37" s="291"/>
      <c r="P37" s="248"/>
      <c r="Q37" s="1"/>
    </row>
    <row r="38" spans="1:18" ht="17.399999999999999" customHeight="1" x14ac:dyDescent="0.4">
      <c r="A38" s="1"/>
      <c r="B38" s="221"/>
      <c r="C38" s="301"/>
      <c r="D38" s="295"/>
      <c r="E38" s="30" t="s">
        <v>13</v>
      </c>
      <c r="F38" s="71" t="s">
        <v>73</v>
      </c>
      <c r="G38" s="31">
        <v>4</v>
      </c>
      <c r="H38" s="32">
        <v>4</v>
      </c>
      <c r="I38" s="33"/>
      <c r="J38" s="34"/>
      <c r="K38" s="80"/>
      <c r="L38" s="146"/>
      <c r="M38" s="33"/>
      <c r="N38" s="34"/>
      <c r="O38" s="291"/>
      <c r="P38" s="248"/>
      <c r="Q38" s="1"/>
      <c r="R38" s="1"/>
    </row>
    <row r="39" spans="1:18" ht="17.399999999999999" customHeight="1" x14ac:dyDescent="0.4">
      <c r="A39" s="1"/>
      <c r="B39" s="221"/>
      <c r="C39" s="301"/>
      <c r="D39" s="105" t="s">
        <v>74</v>
      </c>
      <c r="E39" s="106" t="s">
        <v>6</v>
      </c>
      <c r="F39" s="107" t="s">
        <v>105</v>
      </c>
      <c r="G39" s="10">
        <v>4</v>
      </c>
      <c r="H39" s="11">
        <v>4</v>
      </c>
      <c r="I39" s="33"/>
      <c r="J39" s="34"/>
      <c r="K39" s="94"/>
      <c r="L39" s="146"/>
      <c r="M39" s="33"/>
      <c r="N39" s="34"/>
      <c r="O39" s="291"/>
      <c r="P39" s="248"/>
      <c r="Q39" s="1"/>
      <c r="R39" s="1"/>
    </row>
    <row r="40" spans="1:18" ht="17.399999999999999" customHeight="1" x14ac:dyDescent="0.4">
      <c r="A40" s="1"/>
      <c r="B40" s="221"/>
      <c r="C40" s="301"/>
      <c r="D40" s="90" t="s">
        <v>35</v>
      </c>
      <c r="E40" s="9" t="s">
        <v>16</v>
      </c>
      <c r="F40" s="73" t="s">
        <v>35</v>
      </c>
      <c r="G40" s="38">
        <v>4</v>
      </c>
      <c r="H40" s="39">
        <v>3</v>
      </c>
      <c r="I40" s="35"/>
      <c r="J40" s="36"/>
      <c r="K40" s="40" t="s">
        <v>21</v>
      </c>
      <c r="L40" s="97"/>
      <c r="M40" s="12"/>
      <c r="N40" s="13"/>
      <c r="O40" s="296">
        <v>6</v>
      </c>
      <c r="P40" s="248"/>
      <c r="Q40" s="1"/>
      <c r="R40" s="1"/>
    </row>
    <row r="41" spans="1:18" ht="31.2" x14ac:dyDescent="0.4">
      <c r="A41" s="1"/>
      <c r="B41" s="221"/>
      <c r="C41" s="301"/>
      <c r="D41" s="9" t="s">
        <v>75</v>
      </c>
      <c r="E41" s="9" t="s">
        <v>6</v>
      </c>
      <c r="F41" s="73" t="s">
        <v>76</v>
      </c>
      <c r="G41" s="38">
        <v>4</v>
      </c>
      <c r="H41" s="39">
        <v>3</v>
      </c>
      <c r="I41" s="12"/>
      <c r="J41" s="13"/>
      <c r="K41" s="42" t="s">
        <v>112</v>
      </c>
      <c r="L41" s="43"/>
      <c r="M41" s="12"/>
      <c r="N41" s="13"/>
      <c r="O41" s="297"/>
      <c r="P41" s="248"/>
      <c r="Q41" s="1"/>
      <c r="R41" s="1"/>
    </row>
    <row r="42" spans="1:18" ht="17.399999999999999" customHeight="1" x14ac:dyDescent="0.4">
      <c r="A42" s="1"/>
      <c r="B42" s="221"/>
      <c r="C42" s="301"/>
      <c r="D42" s="294" t="s">
        <v>15</v>
      </c>
      <c r="E42" s="44" t="s">
        <v>16</v>
      </c>
      <c r="F42" s="74" t="s">
        <v>77</v>
      </c>
      <c r="G42" s="45">
        <v>4</v>
      </c>
      <c r="H42" s="46">
        <v>4</v>
      </c>
      <c r="I42" s="12"/>
      <c r="J42" s="13"/>
      <c r="K42" s="12"/>
      <c r="L42" s="147" t="s">
        <v>65</v>
      </c>
      <c r="M42" s="12"/>
      <c r="N42" s="13"/>
      <c r="O42" s="296">
        <v>24</v>
      </c>
      <c r="P42" s="248"/>
      <c r="Q42" s="1"/>
      <c r="R42" s="1"/>
    </row>
    <row r="43" spans="1:18" ht="17.399999999999999" customHeight="1" x14ac:dyDescent="0.4">
      <c r="A43" s="1"/>
      <c r="B43" s="221"/>
      <c r="C43" s="301"/>
      <c r="D43" s="295"/>
      <c r="E43" s="44" t="s">
        <v>7</v>
      </c>
      <c r="F43" s="74" t="s">
        <v>78</v>
      </c>
      <c r="G43" s="45">
        <v>4</v>
      </c>
      <c r="H43" s="46">
        <v>4</v>
      </c>
      <c r="I43" s="12"/>
      <c r="J43" s="13"/>
      <c r="K43" s="12"/>
      <c r="L43" s="148">
        <v>4</v>
      </c>
      <c r="M43" s="12"/>
      <c r="N43" s="13"/>
      <c r="O43" s="291"/>
      <c r="P43" s="248"/>
      <c r="Q43" s="1"/>
      <c r="R43" s="1"/>
    </row>
    <row r="44" spans="1:18" ht="17.399999999999999" customHeight="1" x14ac:dyDescent="0.4">
      <c r="A44" s="1"/>
      <c r="B44" s="221"/>
      <c r="C44" s="301"/>
      <c r="D44" s="292" t="s">
        <v>17</v>
      </c>
      <c r="E44" s="102" t="s">
        <v>6</v>
      </c>
      <c r="F44" s="86" t="s">
        <v>68</v>
      </c>
      <c r="G44" s="45">
        <v>4</v>
      </c>
      <c r="H44" s="46">
        <v>4</v>
      </c>
      <c r="I44" s="12"/>
      <c r="J44" s="13"/>
      <c r="K44" s="12"/>
      <c r="L44" s="149">
        <v>4</v>
      </c>
      <c r="M44" s="12"/>
      <c r="N44" s="13"/>
      <c r="O44" s="291"/>
      <c r="P44" s="248"/>
      <c r="Q44" s="1"/>
      <c r="R44" s="1"/>
    </row>
    <row r="45" spans="1:18" ht="17.399999999999999" customHeight="1" x14ac:dyDescent="0.4">
      <c r="A45" s="1"/>
      <c r="B45" s="221"/>
      <c r="C45" s="301"/>
      <c r="D45" s="293"/>
      <c r="E45" s="87" t="s">
        <v>13</v>
      </c>
      <c r="F45" s="86" t="s">
        <v>69</v>
      </c>
      <c r="G45" s="45">
        <v>4</v>
      </c>
      <c r="H45" s="46">
        <v>4</v>
      </c>
      <c r="I45" s="12"/>
      <c r="J45" s="13"/>
      <c r="K45" s="12"/>
      <c r="L45" s="149">
        <v>4</v>
      </c>
      <c r="M45" s="12"/>
      <c r="N45" s="13"/>
      <c r="O45" s="291"/>
      <c r="P45" s="248"/>
      <c r="Q45" s="1"/>
      <c r="R45" s="1"/>
    </row>
    <row r="46" spans="1:18" ht="17.399999999999999" customHeight="1" x14ac:dyDescent="0.4">
      <c r="A46" s="1"/>
      <c r="B46" s="221"/>
      <c r="C46" s="301"/>
      <c r="D46" s="294" t="s">
        <v>18</v>
      </c>
      <c r="E46" s="44" t="s">
        <v>6</v>
      </c>
      <c r="F46" s="74" t="s">
        <v>81</v>
      </c>
      <c r="G46" s="45">
        <v>4</v>
      </c>
      <c r="H46" s="46">
        <v>4</v>
      </c>
      <c r="I46" s="12"/>
      <c r="J46" s="13"/>
      <c r="K46" s="12"/>
      <c r="L46" s="149">
        <v>4</v>
      </c>
      <c r="M46" s="12"/>
      <c r="N46" s="13"/>
      <c r="O46" s="291"/>
      <c r="P46" s="248"/>
      <c r="Q46" s="1"/>
      <c r="R46" s="1"/>
    </row>
    <row r="47" spans="1:18" ht="17.399999999999999" customHeight="1" x14ac:dyDescent="0.4">
      <c r="A47" s="1"/>
      <c r="B47" s="221"/>
      <c r="C47" s="301"/>
      <c r="D47" s="295"/>
      <c r="E47" s="44" t="s">
        <v>13</v>
      </c>
      <c r="F47" s="74" t="s">
        <v>36</v>
      </c>
      <c r="G47" s="45">
        <v>4</v>
      </c>
      <c r="H47" s="46">
        <v>4</v>
      </c>
      <c r="I47" s="12"/>
      <c r="J47" s="13"/>
      <c r="K47" s="12"/>
      <c r="L47" s="149">
        <v>4</v>
      </c>
      <c r="M47" s="12"/>
      <c r="N47" s="13"/>
      <c r="O47" s="291"/>
      <c r="P47" s="248"/>
      <c r="Q47" s="1"/>
      <c r="R47" s="1"/>
    </row>
    <row r="48" spans="1:18" ht="17.399999999999999" customHeight="1" x14ac:dyDescent="0.4">
      <c r="A48" s="1"/>
      <c r="B48" s="221"/>
      <c r="C48" s="301"/>
      <c r="D48" s="294" t="s">
        <v>71</v>
      </c>
      <c r="E48" s="44" t="s">
        <v>13</v>
      </c>
      <c r="F48" s="74" t="s">
        <v>82</v>
      </c>
      <c r="G48" s="45">
        <v>4</v>
      </c>
      <c r="H48" s="46">
        <v>4</v>
      </c>
      <c r="I48" s="12"/>
      <c r="J48" s="13"/>
      <c r="K48" s="12"/>
      <c r="L48" s="149">
        <v>4</v>
      </c>
      <c r="M48" s="12"/>
      <c r="N48" s="13"/>
      <c r="O48" s="291"/>
      <c r="P48" s="248"/>
      <c r="Q48" s="1"/>
      <c r="R48" s="1"/>
    </row>
    <row r="49" spans="1:18" ht="17.399999999999999" customHeight="1" x14ac:dyDescent="0.4">
      <c r="A49" s="1"/>
      <c r="B49" s="221"/>
      <c r="C49" s="301"/>
      <c r="D49" s="295"/>
      <c r="E49" s="44" t="s">
        <v>60</v>
      </c>
      <c r="F49" s="74" t="s">
        <v>83</v>
      </c>
      <c r="G49" s="45">
        <v>4</v>
      </c>
      <c r="H49" s="46">
        <v>4</v>
      </c>
      <c r="I49" s="12"/>
      <c r="J49" s="13"/>
      <c r="K49" s="12"/>
      <c r="L49" s="150"/>
      <c r="M49" s="12"/>
      <c r="N49" s="13"/>
      <c r="O49" s="291"/>
      <c r="P49" s="248"/>
      <c r="Q49" s="1"/>
      <c r="R49" s="1"/>
    </row>
    <row r="50" spans="1:18" ht="17.399999999999999" customHeight="1" x14ac:dyDescent="0.4">
      <c r="A50" s="1"/>
      <c r="B50" s="221"/>
      <c r="C50" s="301"/>
      <c r="D50" s="105" t="s">
        <v>74</v>
      </c>
      <c r="E50" s="108" t="s">
        <v>13</v>
      </c>
      <c r="F50" s="109" t="s">
        <v>106</v>
      </c>
      <c r="G50" s="45">
        <v>4</v>
      </c>
      <c r="H50" s="46">
        <v>4</v>
      </c>
      <c r="I50" s="12"/>
      <c r="J50" s="13"/>
      <c r="K50" s="12"/>
      <c r="L50" s="150"/>
      <c r="M50" s="12"/>
      <c r="N50" s="13"/>
      <c r="O50" s="291"/>
      <c r="P50" s="248"/>
      <c r="Q50" s="1"/>
      <c r="R50" s="1"/>
    </row>
    <row r="51" spans="1:18" ht="17.399999999999999" customHeight="1" x14ac:dyDescent="0.4">
      <c r="A51" s="1"/>
      <c r="B51" s="221"/>
      <c r="C51" s="301"/>
      <c r="D51" s="90" t="s">
        <v>35</v>
      </c>
      <c r="E51" s="9" t="s">
        <v>13</v>
      </c>
      <c r="F51" s="73" t="s">
        <v>84</v>
      </c>
      <c r="G51" s="10">
        <v>4</v>
      </c>
      <c r="H51" s="11">
        <v>3</v>
      </c>
      <c r="I51" s="12"/>
      <c r="J51" s="13"/>
      <c r="K51" s="12"/>
      <c r="L51" s="151" t="s">
        <v>21</v>
      </c>
      <c r="M51" s="12"/>
      <c r="N51" s="13"/>
      <c r="O51" s="296">
        <v>6</v>
      </c>
      <c r="P51" s="248"/>
      <c r="Q51" s="1"/>
      <c r="R51" s="1"/>
    </row>
    <row r="52" spans="1:18" ht="31.2" x14ac:dyDescent="0.4">
      <c r="A52" s="1"/>
      <c r="B52" s="221"/>
      <c r="C52" s="301"/>
      <c r="D52" s="41" t="s">
        <v>75</v>
      </c>
      <c r="E52" s="9" t="s">
        <v>13</v>
      </c>
      <c r="F52" s="73" t="s">
        <v>85</v>
      </c>
      <c r="G52" s="10">
        <v>4</v>
      </c>
      <c r="H52" s="11">
        <v>3</v>
      </c>
      <c r="I52" s="12"/>
      <c r="J52" s="13"/>
      <c r="K52" s="49"/>
      <c r="L52" s="151" t="s">
        <v>112</v>
      </c>
      <c r="M52" s="91"/>
      <c r="N52" s="92"/>
      <c r="O52" s="297"/>
      <c r="P52" s="248"/>
      <c r="Q52" s="1"/>
      <c r="R52" s="1"/>
    </row>
    <row r="53" spans="1:18" ht="17.399999999999999" customHeight="1" x14ac:dyDescent="0.4">
      <c r="A53" s="1"/>
      <c r="B53" s="221"/>
      <c r="C53" s="301"/>
      <c r="D53" s="294" t="s">
        <v>15</v>
      </c>
      <c r="E53" s="50" t="s">
        <v>6</v>
      </c>
      <c r="F53" s="74" t="s">
        <v>86</v>
      </c>
      <c r="G53" s="51">
        <v>4</v>
      </c>
      <c r="H53" s="52">
        <v>3</v>
      </c>
      <c r="I53" s="12"/>
      <c r="J53" s="13"/>
      <c r="K53" s="14"/>
      <c r="L53" s="125"/>
      <c r="M53" s="152" t="s">
        <v>131</v>
      </c>
      <c r="N53" s="123"/>
      <c r="O53" s="300">
        <v>21</v>
      </c>
      <c r="P53" s="248"/>
      <c r="Q53" s="1"/>
      <c r="R53" s="1"/>
    </row>
    <row r="54" spans="1:18" ht="17.399999999999999" customHeight="1" x14ac:dyDescent="0.4">
      <c r="A54" s="1"/>
      <c r="B54" s="221"/>
      <c r="C54" s="301"/>
      <c r="D54" s="295"/>
      <c r="E54" s="44" t="s">
        <v>60</v>
      </c>
      <c r="F54" s="74" t="s">
        <v>87</v>
      </c>
      <c r="G54" s="45">
        <v>4</v>
      </c>
      <c r="H54" s="46">
        <v>3</v>
      </c>
      <c r="I54" s="12"/>
      <c r="J54" s="13"/>
      <c r="K54" s="12"/>
      <c r="L54" s="97"/>
      <c r="M54" s="83">
        <v>3</v>
      </c>
      <c r="N54" s="124"/>
      <c r="O54" s="290"/>
      <c r="P54" s="248"/>
      <c r="Q54" s="1"/>
      <c r="R54" s="1"/>
    </row>
    <row r="55" spans="1:18" ht="17.399999999999999" customHeight="1" x14ac:dyDescent="0.4">
      <c r="A55" s="1"/>
      <c r="B55" s="221"/>
      <c r="C55" s="301"/>
      <c r="D55" s="292" t="s">
        <v>17</v>
      </c>
      <c r="E55" s="87" t="s">
        <v>6</v>
      </c>
      <c r="F55" s="86" t="s">
        <v>88</v>
      </c>
      <c r="G55" s="45">
        <v>4</v>
      </c>
      <c r="H55" s="46">
        <v>3</v>
      </c>
      <c r="I55" s="12"/>
      <c r="J55" s="13"/>
      <c r="K55" s="12"/>
      <c r="L55" s="97"/>
      <c r="M55" s="83">
        <v>3</v>
      </c>
      <c r="N55" s="124"/>
      <c r="O55" s="290"/>
      <c r="P55" s="248"/>
      <c r="Q55" s="1"/>
      <c r="R55" s="1"/>
    </row>
    <row r="56" spans="1:18" ht="17.399999999999999" customHeight="1" x14ac:dyDescent="0.4">
      <c r="A56" s="1"/>
      <c r="B56" s="221"/>
      <c r="C56" s="301"/>
      <c r="D56" s="298"/>
      <c r="E56" s="87" t="s">
        <v>13</v>
      </c>
      <c r="F56" s="86" t="s">
        <v>80</v>
      </c>
      <c r="G56" s="45">
        <v>4</v>
      </c>
      <c r="H56" s="46">
        <v>3</v>
      </c>
      <c r="I56" s="12"/>
      <c r="J56" s="13"/>
      <c r="K56" s="12"/>
      <c r="L56" s="97"/>
      <c r="M56" s="83">
        <v>3</v>
      </c>
      <c r="N56" s="124"/>
      <c r="O56" s="290"/>
      <c r="P56" s="248"/>
      <c r="Q56" s="1"/>
      <c r="R56" s="1"/>
    </row>
    <row r="57" spans="1:18" ht="17.399999999999999" customHeight="1" x14ac:dyDescent="0.35">
      <c r="A57" s="1"/>
      <c r="B57" s="221"/>
      <c r="C57" s="301"/>
      <c r="D57" s="294" t="s">
        <v>18</v>
      </c>
      <c r="E57" s="44" t="s">
        <v>6</v>
      </c>
      <c r="F57" s="95" t="s">
        <v>32</v>
      </c>
      <c r="G57" s="45">
        <v>4</v>
      </c>
      <c r="H57" s="46">
        <v>3</v>
      </c>
      <c r="I57" s="12"/>
      <c r="J57" s="13"/>
      <c r="K57" s="12"/>
      <c r="L57" s="97"/>
      <c r="M57" s="83">
        <v>3</v>
      </c>
      <c r="N57" s="124"/>
      <c r="O57" s="290"/>
      <c r="P57" s="248"/>
      <c r="Q57" s="1"/>
      <c r="R57" s="1"/>
    </row>
    <row r="58" spans="1:18" ht="17.399999999999999" customHeight="1" x14ac:dyDescent="0.35">
      <c r="A58" s="1"/>
      <c r="B58" s="221"/>
      <c r="C58" s="301"/>
      <c r="D58" s="295"/>
      <c r="E58" s="44" t="s">
        <v>13</v>
      </c>
      <c r="F58" s="95" t="s">
        <v>89</v>
      </c>
      <c r="G58" s="45">
        <v>4</v>
      </c>
      <c r="H58" s="46">
        <v>3</v>
      </c>
      <c r="I58" s="12"/>
      <c r="J58" s="13"/>
      <c r="K58" s="12"/>
      <c r="L58" s="97"/>
      <c r="M58" s="83">
        <v>3</v>
      </c>
      <c r="N58" s="124"/>
      <c r="O58" s="290"/>
      <c r="P58" s="248"/>
      <c r="Q58" s="1"/>
      <c r="R58" s="1"/>
    </row>
    <row r="59" spans="1:18" ht="17.399999999999999" customHeight="1" x14ac:dyDescent="0.4">
      <c r="A59" s="1"/>
      <c r="B59" s="221"/>
      <c r="C59" s="301"/>
      <c r="D59" s="294" t="s">
        <v>20</v>
      </c>
      <c r="E59" s="44" t="s">
        <v>16</v>
      </c>
      <c r="F59" s="74" t="s">
        <v>90</v>
      </c>
      <c r="G59" s="45">
        <v>4</v>
      </c>
      <c r="H59" s="46">
        <v>3</v>
      </c>
      <c r="I59" s="12"/>
      <c r="J59" s="13"/>
      <c r="K59" s="12"/>
      <c r="L59" s="97"/>
      <c r="M59" s="83">
        <v>3</v>
      </c>
      <c r="N59" s="124"/>
      <c r="O59" s="290"/>
      <c r="P59" s="248"/>
      <c r="Q59" s="1"/>
      <c r="R59" s="1"/>
    </row>
    <row r="60" spans="1:18" ht="17.399999999999999" customHeight="1" x14ac:dyDescent="0.4">
      <c r="A60" s="1"/>
      <c r="B60" s="221"/>
      <c r="C60" s="301"/>
      <c r="D60" s="299"/>
      <c r="E60" s="44" t="s">
        <v>13</v>
      </c>
      <c r="F60" s="74" t="s">
        <v>91</v>
      </c>
      <c r="G60" s="45">
        <v>4</v>
      </c>
      <c r="H60" s="46">
        <v>3</v>
      </c>
      <c r="I60" s="12"/>
      <c r="J60" s="13"/>
      <c r="K60" s="12"/>
      <c r="L60" s="97"/>
      <c r="M60" s="83">
        <v>3</v>
      </c>
      <c r="N60" s="124"/>
      <c r="O60" s="290"/>
      <c r="P60" s="248"/>
      <c r="Q60" s="1"/>
      <c r="R60" s="1"/>
    </row>
    <row r="61" spans="1:18" ht="17.399999999999999" customHeight="1" x14ac:dyDescent="0.4">
      <c r="A61" s="1"/>
      <c r="B61" s="221"/>
      <c r="C61" s="301"/>
      <c r="D61" s="295"/>
      <c r="E61" s="44" t="s">
        <v>60</v>
      </c>
      <c r="F61" s="74" t="s">
        <v>92</v>
      </c>
      <c r="G61" s="45">
        <v>4</v>
      </c>
      <c r="H61" s="46">
        <v>3</v>
      </c>
      <c r="I61" s="55"/>
      <c r="J61" s="56"/>
      <c r="K61" s="55"/>
      <c r="L61" s="126"/>
      <c r="M61" s="83"/>
      <c r="N61" s="124"/>
      <c r="O61" s="290"/>
      <c r="P61" s="248"/>
      <c r="Q61" s="1"/>
      <c r="R61" s="1"/>
    </row>
    <row r="62" spans="1:18" ht="17.399999999999999" customHeight="1" x14ac:dyDescent="0.4">
      <c r="A62" s="1"/>
      <c r="B62" s="221"/>
      <c r="C62" s="301"/>
      <c r="D62" s="304" t="s">
        <v>19</v>
      </c>
      <c r="E62" s="108" t="s">
        <v>13</v>
      </c>
      <c r="F62" s="109" t="s">
        <v>107</v>
      </c>
      <c r="G62" s="45">
        <v>4</v>
      </c>
      <c r="H62" s="46">
        <v>3</v>
      </c>
      <c r="I62" s="55"/>
      <c r="J62" s="56"/>
      <c r="K62" s="55"/>
      <c r="L62" s="126"/>
      <c r="M62" s="83"/>
      <c r="N62" s="124"/>
      <c r="O62" s="290"/>
      <c r="P62" s="248"/>
      <c r="Q62" s="1"/>
      <c r="R62" s="1"/>
    </row>
    <row r="63" spans="1:18" ht="17.399999999999999" customHeight="1" x14ac:dyDescent="0.4">
      <c r="A63" s="1"/>
      <c r="B63" s="221"/>
      <c r="C63" s="301"/>
      <c r="D63" s="305"/>
      <c r="E63" s="108" t="s">
        <v>60</v>
      </c>
      <c r="F63" s="109" t="s">
        <v>109</v>
      </c>
      <c r="G63" s="51">
        <v>4</v>
      </c>
      <c r="H63" s="57">
        <v>3</v>
      </c>
      <c r="I63" s="58"/>
      <c r="J63" s="56"/>
      <c r="K63" s="55"/>
      <c r="L63" s="126"/>
      <c r="M63" s="83"/>
      <c r="N63" s="124"/>
      <c r="O63" s="290"/>
      <c r="P63" s="248"/>
      <c r="Q63" s="1"/>
      <c r="R63" s="1"/>
    </row>
    <row r="64" spans="1:18" ht="17.399999999999999" customHeight="1" x14ac:dyDescent="0.4">
      <c r="A64" s="1"/>
      <c r="B64" s="221"/>
      <c r="C64" s="301"/>
      <c r="D64" s="37" t="s">
        <v>35</v>
      </c>
      <c r="E64" s="44" t="s">
        <v>13</v>
      </c>
      <c r="F64" s="75" t="s">
        <v>93</v>
      </c>
      <c r="G64" s="44">
        <v>4</v>
      </c>
      <c r="H64" s="57">
        <v>3</v>
      </c>
      <c r="I64" s="58"/>
      <c r="J64" s="56"/>
      <c r="K64" s="55"/>
      <c r="L64" s="126"/>
      <c r="M64" s="83"/>
      <c r="N64" s="124"/>
      <c r="O64" s="290"/>
      <c r="P64" s="248"/>
      <c r="Q64" s="1"/>
      <c r="R64" s="1"/>
    </row>
    <row r="65" spans="1:18" ht="17.399999999999999" customHeight="1" x14ac:dyDescent="0.4">
      <c r="A65" s="1"/>
      <c r="B65" s="221"/>
      <c r="C65" s="301"/>
      <c r="D65" s="41" t="s">
        <v>75</v>
      </c>
      <c r="E65" s="44" t="s">
        <v>60</v>
      </c>
      <c r="F65" s="75" t="s">
        <v>94</v>
      </c>
      <c r="G65" s="44">
        <v>4</v>
      </c>
      <c r="H65" s="57">
        <v>3</v>
      </c>
      <c r="I65" s="58"/>
      <c r="J65" s="56"/>
      <c r="K65" s="55"/>
      <c r="L65" s="126"/>
      <c r="M65" s="84"/>
      <c r="N65" s="124"/>
      <c r="O65" s="290"/>
      <c r="P65" s="248"/>
      <c r="Q65" s="1"/>
      <c r="R65" s="1"/>
    </row>
    <row r="66" spans="1:18" ht="17.399999999999999" customHeight="1" x14ac:dyDescent="0.4">
      <c r="A66" s="1"/>
      <c r="B66" s="221"/>
      <c r="C66" s="301"/>
      <c r="D66" s="96" t="s">
        <v>15</v>
      </c>
      <c r="E66" s="16" t="s">
        <v>60</v>
      </c>
      <c r="F66" s="75" t="s">
        <v>110</v>
      </c>
      <c r="G66" s="16">
        <v>4</v>
      </c>
      <c r="H66" s="54">
        <v>3</v>
      </c>
      <c r="I66" s="58"/>
      <c r="J66" s="56"/>
      <c r="K66" s="55"/>
      <c r="L66" s="126"/>
      <c r="M66" s="131"/>
      <c r="N66" s="153" t="s">
        <v>123</v>
      </c>
      <c r="O66" s="300">
        <v>21</v>
      </c>
      <c r="P66" s="248"/>
      <c r="Q66" s="1"/>
      <c r="R66" s="1"/>
    </row>
    <row r="67" spans="1:18" ht="17.399999999999999" customHeight="1" x14ac:dyDescent="0.4">
      <c r="A67" s="1"/>
      <c r="B67" s="221"/>
      <c r="C67" s="301"/>
      <c r="D67" s="103" t="s">
        <v>17</v>
      </c>
      <c r="E67" s="88" t="s">
        <v>60</v>
      </c>
      <c r="F67" s="89" t="s">
        <v>111</v>
      </c>
      <c r="G67" s="16">
        <v>4</v>
      </c>
      <c r="H67" s="54">
        <v>3</v>
      </c>
      <c r="I67" s="58"/>
      <c r="J67" s="56"/>
      <c r="K67" s="55"/>
      <c r="L67" s="126"/>
      <c r="M67" s="154"/>
      <c r="N67" s="85">
        <v>3</v>
      </c>
      <c r="O67" s="291"/>
      <c r="P67" s="248"/>
      <c r="Q67" s="1"/>
      <c r="R67" s="1"/>
    </row>
    <row r="68" spans="1:18" ht="17.399999999999999" customHeight="1" x14ac:dyDescent="0.4">
      <c r="A68" s="1"/>
      <c r="B68" s="221"/>
      <c r="C68" s="301"/>
      <c r="D68" s="306" t="s">
        <v>18</v>
      </c>
      <c r="E68" s="16" t="s">
        <v>13</v>
      </c>
      <c r="F68" s="76" t="s">
        <v>95</v>
      </c>
      <c r="G68" s="16">
        <v>4</v>
      </c>
      <c r="H68" s="54">
        <v>3</v>
      </c>
      <c r="I68" s="58"/>
      <c r="J68" s="56"/>
      <c r="K68" s="55"/>
      <c r="L68" s="126"/>
      <c r="M68" s="49"/>
      <c r="N68" s="85">
        <v>3</v>
      </c>
      <c r="O68" s="291"/>
      <c r="P68" s="248"/>
      <c r="Q68" s="1"/>
      <c r="R68" s="1"/>
    </row>
    <row r="69" spans="1:18" ht="17.399999999999999" customHeight="1" x14ac:dyDescent="0.4">
      <c r="A69" s="1"/>
      <c r="B69" s="221"/>
      <c r="C69" s="301"/>
      <c r="D69" s="307"/>
      <c r="E69" s="16" t="s">
        <v>60</v>
      </c>
      <c r="F69" s="76" t="s">
        <v>96</v>
      </c>
      <c r="G69" s="16">
        <v>4</v>
      </c>
      <c r="H69" s="54">
        <v>3</v>
      </c>
      <c r="I69" s="58"/>
      <c r="J69" s="56"/>
      <c r="K69" s="55"/>
      <c r="L69" s="126"/>
      <c r="M69" s="49"/>
      <c r="N69" s="85">
        <v>3</v>
      </c>
      <c r="O69" s="291"/>
      <c r="P69" s="248"/>
      <c r="Q69" s="1"/>
      <c r="R69" s="1"/>
    </row>
    <row r="70" spans="1:18" ht="17.399999999999999" customHeight="1" x14ac:dyDescent="0.4">
      <c r="A70" s="1"/>
      <c r="B70" s="221"/>
      <c r="C70" s="301"/>
      <c r="D70" s="308" t="s">
        <v>10</v>
      </c>
      <c r="E70" s="16" t="s">
        <v>13</v>
      </c>
      <c r="F70" s="76" t="s">
        <v>97</v>
      </c>
      <c r="G70" s="16">
        <v>4</v>
      </c>
      <c r="H70" s="54">
        <v>3</v>
      </c>
      <c r="I70" s="58"/>
      <c r="J70" s="56"/>
      <c r="K70" s="55"/>
      <c r="L70" s="126"/>
      <c r="M70" s="49"/>
      <c r="N70" s="85">
        <v>3</v>
      </c>
      <c r="O70" s="291"/>
      <c r="P70" s="248"/>
      <c r="Q70" s="1"/>
      <c r="R70" s="1"/>
    </row>
    <row r="71" spans="1:18" ht="17.399999999999999" customHeight="1" x14ac:dyDescent="0.4">
      <c r="A71" s="1"/>
      <c r="B71" s="221"/>
      <c r="C71" s="301"/>
      <c r="D71" s="309"/>
      <c r="E71" s="16" t="s">
        <v>60</v>
      </c>
      <c r="F71" s="76" t="s">
        <v>98</v>
      </c>
      <c r="G71" s="16">
        <v>4</v>
      </c>
      <c r="H71" s="54">
        <v>3</v>
      </c>
      <c r="I71" s="61"/>
      <c r="J71" s="13"/>
      <c r="K71" s="12"/>
      <c r="L71" s="97"/>
      <c r="M71" s="49"/>
      <c r="N71" s="85">
        <v>3</v>
      </c>
      <c r="O71" s="291"/>
      <c r="P71" s="248"/>
      <c r="Q71" s="1"/>
      <c r="R71" s="1"/>
    </row>
    <row r="72" spans="1:18" ht="17.399999999999999" customHeight="1" x14ac:dyDescent="0.4">
      <c r="A72" s="1"/>
      <c r="B72" s="221"/>
      <c r="C72" s="301"/>
      <c r="D72" s="110" t="s">
        <v>19</v>
      </c>
      <c r="E72" s="111" t="s">
        <v>60</v>
      </c>
      <c r="F72" s="112" t="s">
        <v>109</v>
      </c>
      <c r="G72" s="16">
        <v>4</v>
      </c>
      <c r="H72" s="54">
        <v>3</v>
      </c>
      <c r="I72" s="61"/>
      <c r="J72" s="13"/>
      <c r="K72" s="12"/>
      <c r="L72" s="97"/>
      <c r="M72" s="49"/>
      <c r="N72" s="85">
        <v>3</v>
      </c>
      <c r="O72" s="291"/>
      <c r="P72" s="248"/>
      <c r="Q72" s="1"/>
      <c r="R72" s="1"/>
    </row>
    <row r="73" spans="1:18" ht="17.399999999999999" customHeight="1" x14ac:dyDescent="0.4">
      <c r="A73" s="1"/>
      <c r="B73" s="221"/>
      <c r="C73" s="301"/>
      <c r="D73" s="90" t="s">
        <v>35</v>
      </c>
      <c r="E73" s="16" t="s">
        <v>60</v>
      </c>
      <c r="F73" s="76" t="s">
        <v>99</v>
      </c>
      <c r="G73" s="16">
        <v>4</v>
      </c>
      <c r="H73" s="54">
        <v>3</v>
      </c>
      <c r="I73" s="61"/>
      <c r="J73" s="13"/>
      <c r="K73" s="12"/>
      <c r="L73" s="97"/>
      <c r="M73" s="49"/>
      <c r="N73" s="85">
        <v>3</v>
      </c>
      <c r="O73" s="291"/>
      <c r="P73" s="248"/>
      <c r="Q73" s="1"/>
      <c r="R73" s="1"/>
    </row>
    <row r="74" spans="1:18" ht="17.399999999999999" customHeight="1" x14ac:dyDescent="0.4">
      <c r="A74" s="1"/>
      <c r="B74" s="221"/>
      <c r="C74" s="301"/>
      <c r="D74" s="210" t="s">
        <v>75</v>
      </c>
      <c r="E74" s="16" t="s">
        <v>13</v>
      </c>
      <c r="F74" s="76" t="s">
        <v>100</v>
      </c>
      <c r="G74" s="16">
        <v>4</v>
      </c>
      <c r="H74" s="54">
        <v>3</v>
      </c>
      <c r="I74" s="61"/>
      <c r="J74" s="13"/>
      <c r="K74" s="12"/>
      <c r="L74" s="97"/>
      <c r="M74" s="49"/>
      <c r="N74" s="85"/>
      <c r="O74" s="291"/>
      <c r="P74" s="248"/>
      <c r="Q74" s="1"/>
      <c r="R74" s="1"/>
    </row>
    <row r="75" spans="1:18" ht="17.399999999999999" customHeight="1" thickBot="1" x14ac:dyDescent="0.45">
      <c r="A75" s="1"/>
      <c r="B75" s="221"/>
      <c r="C75" s="301"/>
      <c r="D75" s="224"/>
      <c r="E75" s="16" t="s">
        <v>60</v>
      </c>
      <c r="F75" s="76" t="s">
        <v>101</v>
      </c>
      <c r="G75" s="16">
        <v>4</v>
      </c>
      <c r="H75" s="54">
        <v>3</v>
      </c>
      <c r="I75" s="61"/>
      <c r="J75" s="13"/>
      <c r="K75" s="12"/>
      <c r="L75" s="97"/>
      <c r="M75" s="155"/>
      <c r="N75" s="156"/>
      <c r="O75" s="291"/>
      <c r="P75" s="248"/>
      <c r="Q75" s="1"/>
      <c r="R75" s="1"/>
    </row>
    <row r="76" spans="1:18" ht="17.399999999999999" customHeight="1" x14ac:dyDescent="0.4">
      <c r="A76" s="1"/>
      <c r="B76" s="230" t="s">
        <v>39</v>
      </c>
      <c r="C76" s="310"/>
      <c r="D76" s="231"/>
      <c r="E76" s="231"/>
      <c r="F76" s="231"/>
      <c r="G76" s="231"/>
      <c r="H76" s="232"/>
      <c r="I76" s="7">
        <v>30</v>
      </c>
      <c r="J76" s="8">
        <v>30</v>
      </c>
      <c r="K76" s="62">
        <v>31</v>
      </c>
      <c r="L76" s="4">
        <v>31</v>
      </c>
      <c r="M76" s="30">
        <v>26</v>
      </c>
      <c r="N76" s="30">
        <v>26</v>
      </c>
      <c r="O76" s="4">
        <f>SUM(I76:N76)</f>
        <v>174</v>
      </c>
      <c r="P76" s="8">
        <f>SUM(P5:P30)</f>
        <v>84</v>
      </c>
      <c r="Q76" s="1"/>
      <c r="R76" s="1"/>
    </row>
    <row r="77" spans="1:18" ht="17.399999999999999" customHeight="1" x14ac:dyDescent="0.4">
      <c r="A77" s="1"/>
      <c r="B77" s="233" t="s">
        <v>14</v>
      </c>
      <c r="C77" s="302"/>
      <c r="D77" s="234"/>
      <c r="E77" s="234"/>
      <c r="F77" s="234"/>
      <c r="G77" s="234"/>
      <c r="H77" s="235"/>
      <c r="I77" s="12">
        <v>3</v>
      </c>
      <c r="J77" s="13">
        <v>3</v>
      </c>
      <c r="K77" s="61">
        <v>3</v>
      </c>
      <c r="L77" s="9">
        <v>3</v>
      </c>
      <c r="M77" s="9">
        <v>3</v>
      </c>
      <c r="N77" s="9">
        <v>3</v>
      </c>
      <c r="O77" s="9">
        <f>SUM(I77:N77)</f>
        <v>18</v>
      </c>
      <c r="P77" s="13">
        <v>18</v>
      </c>
      <c r="Q77" s="1"/>
      <c r="R77" s="1"/>
    </row>
    <row r="78" spans="1:18" ht="17.399999999999999" customHeight="1" thickBot="1" x14ac:dyDescent="0.45">
      <c r="A78" s="1"/>
      <c r="B78" s="198" t="s">
        <v>40</v>
      </c>
      <c r="C78" s="303"/>
      <c r="D78" s="199"/>
      <c r="E78" s="199"/>
      <c r="F78" s="199"/>
      <c r="G78" s="199"/>
      <c r="H78" s="200"/>
      <c r="I78" s="23">
        <f t="shared" ref="I78:N78" si="0">I76+I77</f>
        <v>33</v>
      </c>
      <c r="J78" s="24">
        <f t="shared" si="0"/>
        <v>33</v>
      </c>
      <c r="K78" s="63">
        <f t="shared" si="0"/>
        <v>34</v>
      </c>
      <c r="L78" s="20">
        <f t="shared" si="0"/>
        <v>34</v>
      </c>
      <c r="M78" s="20">
        <f t="shared" si="0"/>
        <v>29</v>
      </c>
      <c r="N78" s="20">
        <f t="shared" si="0"/>
        <v>29</v>
      </c>
      <c r="O78" s="20">
        <f>SUM(I78:N78)</f>
        <v>192</v>
      </c>
      <c r="P78" s="24"/>
      <c r="Q78" s="1"/>
      <c r="R78" s="1"/>
    </row>
    <row r="79" spans="1:18" x14ac:dyDescent="0.4">
      <c r="A79" s="1"/>
      <c r="B79" s="64"/>
      <c r="C79" s="64"/>
      <c r="D79" s="43"/>
      <c r="E79" s="64"/>
      <c r="F79" s="43"/>
      <c r="G79" s="64"/>
      <c r="H79" s="64"/>
      <c r="I79" s="64"/>
      <c r="J79" s="64"/>
      <c r="K79" s="43"/>
      <c r="L79" s="43"/>
      <c r="M79" s="64"/>
      <c r="N79" s="64"/>
      <c r="O79" s="43"/>
      <c r="P79" s="43"/>
      <c r="Q79" s="1"/>
      <c r="R79" s="1"/>
    </row>
    <row r="80" spans="1:18" x14ac:dyDescent="0.4">
      <c r="A80" s="1"/>
      <c r="B80" s="64"/>
      <c r="C80" s="104"/>
      <c r="D80" t="s">
        <v>118</v>
      </c>
      <c r="E80" s="64"/>
      <c r="F80" s="43"/>
      <c r="G80" s="64"/>
      <c r="H80" s="64"/>
      <c r="I80" s="64"/>
      <c r="J80" s="64"/>
      <c r="K80" s="43"/>
      <c r="L80" s="43"/>
      <c r="M80" s="64"/>
      <c r="N80" s="64"/>
      <c r="O80" s="43"/>
      <c r="P80" s="43"/>
      <c r="Q80" s="1"/>
      <c r="R80" s="1"/>
    </row>
    <row r="81" spans="3:4" x14ac:dyDescent="0.4">
      <c r="C81" s="113"/>
      <c r="D81" t="s">
        <v>119</v>
      </c>
    </row>
  </sheetData>
  <mergeCells count="70">
    <mergeCell ref="B31:B75"/>
    <mergeCell ref="C31:C75"/>
    <mergeCell ref="D31:D32"/>
    <mergeCell ref="B77:H77"/>
    <mergeCell ref="B78:H78"/>
    <mergeCell ref="D62:D63"/>
    <mergeCell ref="D68:D69"/>
    <mergeCell ref="D70:D71"/>
    <mergeCell ref="D74:D75"/>
    <mergeCell ref="B76:H76"/>
    <mergeCell ref="D44:D45"/>
    <mergeCell ref="D46:D47"/>
    <mergeCell ref="D48:D49"/>
    <mergeCell ref="D53:D54"/>
    <mergeCell ref="O31:O39"/>
    <mergeCell ref="P31:P75"/>
    <mergeCell ref="D33:D34"/>
    <mergeCell ref="D35:D36"/>
    <mergeCell ref="D37:D38"/>
    <mergeCell ref="O40:O41"/>
    <mergeCell ref="D42:D43"/>
    <mergeCell ref="D55:D56"/>
    <mergeCell ref="D57:D58"/>
    <mergeCell ref="D59:D61"/>
    <mergeCell ref="O66:O75"/>
    <mergeCell ref="O42:O50"/>
    <mergeCell ref="O51:O52"/>
    <mergeCell ref="O53:O65"/>
    <mergeCell ref="D25:D28"/>
    <mergeCell ref="O25:O28"/>
    <mergeCell ref="P25:P28"/>
    <mergeCell ref="D29:D30"/>
    <mergeCell ref="O29:O30"/>
    <mergeCell ref="P29:P30"/>
    <mergeCell ref="M27:N27"/>
    <mergeCell ref="D15:D18"/>
    <mergeCell ref="O15:O18"/>
    <mergeCell ref="P15:P18"/>
    <mergeCell ref="D19:D24"/>
    <mergeCell ref="O19:O24"/>
    <mergeCell ref="P19:P24"/>
    <mergeCell ref="B5:B30"/>
    <mergeCell ref="C5:C30"/>
    <mergeCell ref="D5:D6"/>
    <mergeCell ref="O5:O6"/>
    <mergeCell ref="P5:P6"/>
    <mergeCell ref="D7:D8"/>
    <mergeCell ref="O7:O8"/>
    <mergeCell ref="P7:P8"/>
    <mergeCell ref="D9:D10"/>
    <mergeCell ref="O9:O10"/>
    <mergeCell ref="P9:P10"/>
    <mergeCell ref="D11:D14"/>
    <mergeCell ref="O11:O12"/>
    <mergeCell ref="P11:P12"/>
    <mergeCell ref="O13:O14"/>
    <mergeCell ref="P13:P14"/>
    <mergeCell ref="B1:P1"/>
    <mergeCell ref="B2:P2"/>
    <mergeCell ref="B3:B4"/>
    <mergeCell ref="C3:C4"/>
    <mergeCell ref="D3:D4"/>
    <mergeCell ref="E3:F4"/>
    <mergeCell ref="G3:G4"/>
    <mergeCell ref="H3:H4"/>
    <mergeCell ref="I3:J3"/>
    <mergeCell ref="K3:L3"/>
    <mergeCell ref="M3:N3"/>
    <mergeCell ref="O3:O4"/>
    <mergeCell ref="P3:P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3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1688-5953-45CD-9FA3-DB16FE66391B}">
  <sheetPr>
    <pageSetUpPr fitToPage="1"/>
  </sheetPr>
  <dimension ref="A1:S84"/>
  <sheetViews>
    <sheetView topLeftCell="C1" zoomScale="80" zoomScaleNormal="80" workbookViewId="0">
      <pane xSplit="2" ySplit="4" topLeftCell="E5" activePane="bottomRight" state="frozen"/>
      <selection activeCell="C1" sqref="C1"/>
      <selection pane="topRight" activeCell="D1" sqref="D1"/>
      <selection pane="bottomLeft" activeCell="C5" sqref="C5"/>
      <selection pane="bottomRight" activeCell="S44" sqref="S44"/>
    </sheetView>
  </sheetViews>
  <sheetFormatPr defaultRowHeight="17.399999999999999" x14ac:dyDescent="0.4"/>
  <cols>
    <col min="1" max="1" width="1.8984375" customWidth="1"/>
    <col min="2" max="3" width="4" customWidth="1"/>
    <col min="4" max="4" width="14.3984375" customWidth="1"/>
    <col min="5" max="5" width="9.3984375" customWidth="1"/>
    <col min="6" max="6" width="53.8984375" customWidth="1"/>
    <col min="7" max="8" width="4.3984375" customWidth="1"/>
    <col min="9" max="14" width="5.19921875" customWidth="1"/>
    <col min="15" max="15" width="4.3984375" customWidth="1"/>
    <col min="16" max="16" width="4.69921875" customWidth="1"/>
    <col min="17" max="17" width="2.796875" customWidth="1"/>
  </cols>
  <sheetData>
    <row r="1" spans="1:18" ht="31.95" customHeight="1" x14ac:dyDescent="0.4">
      <c r="A1" s="1"/>
      <c r="B1" s="261" t="s">
        <v>104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1"/>
      <c r="R1" s="1"/>
    </row>
    <row r="2" spans="1:18" ht="22.2" customHeight="1" thickBot="1" x14ac:dyDescent="0.45">
      <c r="A2" s="1"/>
      <c r="B2" s="276" t="s">
        <v>22</v>
      </c>
      <c r="C2" s="262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1"/>
      <c r="R2" s="1"/>
    </row>
    <row r="3" spans="1:18" ht="19.95" customHeight="1" x14ac:dyDescent="0.4">
      <c r="A3" s="1"/>
      <c r="B3" s="277" t="s">
        <v>25</v>
      </c>
      <c r="C3" s="279" t="s">
        <v>25</v>
      </c>
      <c r="D3" s="266" t="s">
        <v>26</v>
      </c>
      <c r="E3" s="266" t="s">
        <v>0</v>
      </c>
      <c r="F3" s="266"/>
      <c r="G3" s="266" t="s">
        <v>23</v>
      </c>
      <c r="H3" s="268" t="s">
        <v>102</v>
      </c>
      <c r="I3" s="270" t="s">
        <v>27</v>
      </c>
      <c r="J3" s="271"/>
      <c r="K3" s="270" t="s">
        <v>1</v>
      </c>
      <c r="L3" s="271"/>
      <c r="M3" s="270" t="s">
        <v>2</v>
      </c>
      <c r="N3" s="271"/>
      <c r="O3" s="272" t="s">
        <v>41</v>
      </c>
      <c r="P3" s="274" t="s">
        <v>24</v>
      </c>
      <c r="Q3" s="1"/>
      <c r="R3" s="1"/>
    </row>
    <row r="4" spans="1:18" ht="19.95" customHeight="1" thickBot="1" x14ac:dyDescent="0.45">
      <c r="A4" s="1"/>
      <c r="B4" s="278"/>
      <c r="C4" s="278"/>
      <c r="D4" s="280"/>
      <c r="E4" s="267"/>
      <c r="F4" s="267"/>
      <c r="G4" s="267"/>
      <c r="H4" s="269"/>
      <c r="I4" s="2" t="s">
        <v>3</v>
      </c>
      <c r="J4" s="3" t="s">
        <v>4</v>
      </c>
      <c r="K4" s="2" t="s">
        <v>3</v>
      </c>
      <c r="L4" s="3" t="s">
        <v>4</v>
      </c>
      <c r="M4" s="2" t="s">
        <v>3</v>
      </c>
      <c r="N4" s="3" t="s">
        <v>4</v>
      </c>
      <c r="O4" s="273"/>
      <c r="P4" s="275"/>
      <c r="Q4" s="1"/>
      <c r="R4" s="1"/>
    </row>
    <row r="5" spans="1:18" ht="16.2" customHeight="1" x14ac:dyDescent="0.4">
      <c r="A5" s="1"/>
      <c r="B5" s="281" t="s">
        <v>28</v>
      </c>
      <c r="C5" s="221" t="s">
        <v>126</v>
      </c>
      <c r="D5" s="284" t="s">
        <v>5</v>
      </c>
      <c r="E5" s="4" t="s">
        <v>29</v>
      </c>
      <c r="F5" s="65" t="s">
        <v>42</v>
      </c>
      <c r="G5" s="5">
        <v>4</v>
      </c>
      <c r="H5" s="6">
        <v>4</v>
      </c>
      <c r="I5" s="7">
        <v>4</v>
      </c>
      <c r="J5" s="8"/>
      <c r="K5" s="7"/>
      <c r="L5" s="8"/>
      <c r="M5" s="7"/>
      <c r="N5" s="8"/>
      <c r="O5" s="225">
        <v>8</v>
      </c>
      <c r="P5" s="253">
        <v>8</v>
      </c>
      <c r="Q5" s="1"/>
      <c r="R5" s="1"/>
    </row>
    <row r="6" spans="1:18" ht="16.5" customHeight="1" x14ac:dyDescent="0.4">
      <c r="A6" s="1"/>
      <c r="B6" s="282"/>
      <c r="C6" s="221"/>
      <c r="D6" s="285"/>
      <c r="E6" s="9" t="s">
        <v>29</v>
      </c>
      <c r="F6" s="66" t="s">
        <v>43</v>
      </c>
      <c r="G6" s="10">
        <v>4</v>
      </c>
      <c r="H6" s="11">
        <v>4</v>
      </c>
      <c r="I6" s="12"/>
      <c r="J6" s="13">
        <v>4</v>
      </c>
      <c r="K6" s="12"/>
      <c r="L6" s="13"/>
      <c r="M6" s="12"/>
      <c r="N6" s="13"/>
      <c r="O6" s="202"/>
      <c r="P6" s="248"/>
      <c r="Q6" s="1"/>
      <c r="R6" s="1"/>
    </row>
    <row r="7" spans="1:18" ht="16.5" customHeight="1" x14ac:dyDescent="0.4">
      <c r="A7" s="1"/>
      <c r="B7" s="282"/>
      <c r="C7" s="221"/>
      <c r="D7" s="285" t="s">
        <v>8</v>
      </c>
      <c r="E7" s="9" t="s">
        <v>29</v>
      </c>
      <c r="F7" s="66" t="s">
        <v>44</v>
      </c>
      <c r="G7" s="10">
        <v>4</v>
      </c>
      <c r="H7" s="11">
        <v>4</v>
      </c>
      <c r="I7" s="12">
        <v>4</v>
      </c>
      <c r="J7" s="13"/>
      <c r="K7" s="12"/>
      <c r="L7" s="13"/>
      <c r="M7" s="12"/>
      <c r="N7" s="13"/>
      <c r="O7" s="201">
        <v>8</v>
      </c>
      <c r="P7" s="247">
        <v>8</v>
      </c>
      <c r="Q7" s="1"/>
      <c r="R7" s="1"/>
    </row>
    <row r="8" spans="1:18" ht="16.5" customHeight="1" x14ac:dyDescent="0.4">
      <c r="A8" s="1"/>
      <c r="B8" s="282"/>
      <c r="C8" s="221"/>
      <c r="D8" s="285"/>
      <c r="E8" s="9" t="s">
        <v>29</v>
      </c>
      <c r="F8" s="66" t="s">
        <v>45</v>
      </c>
      <c r="G8" s="10">
        <v>4</v>
      </c>
      <c r="H8" s="11">
        <v>4</v>
      </c>
      <c r="I8" s="12"/>
      <c r="J8" s="13">
        <v>4</v>
      </c>
      <c r="K8" s="12"/>
      <c r="L8" s="13"/>
      <c r="M8" s="12"/>
      <c r="N8" s="13"/>
      <c r="O8" s="202"/>
      <c r="P8" s="248"/>
      <c r="Q8" s="1"/>
      <c r="R8" s="1"/>
    </row>
    <row r="9" spans="1:18" ht="16.5" customHeight="1" x14ac:dyDescent="0.4">
      <c r="A9" s="1"/>
      <c r="B9" s="282"/>
      <c r="C9" s="221"/>
      <c r="D9" s="285" t="s">
        <v>9</v>
      </c>
      <c r="E9" s="9" t="s">
        <v>29</v>
      </c>
      <c r="F9" s="66" t="s">
        <v>46</v>
      </c>
      <c r="G9" s="10">
        <v>4</v>
      </c>
      <c r="H9" s="11">
        <v>4</v>
      </c>
      <c r="I9" s="12">
        <v>4</v>
      </c>
      <c r="J9" s="13"/>
      <c r="K9" s="12"/>
      <c r="L9" s="13"/>
      <c r="M9" s="12"/>
      <c r="N9" s="13"/>
      <c r="O9" s="201">
        <v>8</v>
      </c>
      <c r="P9" s="247">
        <v>8</v>
      </c>
      <c r="Q9" s="1"/>
      <c r="R9" s="1"/>
    </row>
    <row r="10" spans="1:18" ht="16.5" customHeight="1" x14ac:dyDescent="0.4">
      <c r="A10" s="1"/>
      <c r="B10" s="282"/>
      <c r="C10" s="221"/>
      <c r="D10" s="285"/>
      <c r="E10" s="9" t="s">
        <v>29</v>
      </c>
      <c r="F10" s="66" t="s">
        <v>47</v>
      </c>
      <c r="G10" s="10">
        <v>4</v>
      </c>
      <c r="H10" s="11">
        <v>4</v>
      </c>
      <c r="I10" s="12"/>
      <c r="J10" s="13">
        <v>4</v>
      </c>
      <c r="K10" s="14"/>
      <c r="L10" s="15"/>
      <c r="M10" s="14"/>
      <c r="N10" s="15"/>
      <c r="O10" s="202"/>
      <c r="P10" s="248"/>
      <c r="Q10" s="1"/>
      <c r="R10" s="1"/>
    </row>
    <row r="11" spans="1:18" ht="16.5" customHeight="1" x14ac:dyDescent="0.4">
      <c r="A11" s="1"/>
      <c r="B11" s="282"/>
      <c r="C11" s="221"/>
      <c r="D11" s="286" t="s">
        <v>10</v>
      </c>
      <c r="E11" s="9" t="s">
        <v>29</v>
      </c>
      <c r="F11" s="66" t="s">
        <v>48</v>
      </c>
      <c r="G11" s="10">
        <v>4</v>
      </c>
      <c r="H11" s="11">
        <v>4</v>
      </c>
      <c r="I11" s="12">
        <v>4</v>
      </c>
      <c r="J11" s="13"/>
      <c r="K11" s="14"/>
      <c r="L11" s="15"/>
      <c r="M11" s="14"/>
      <c r="N11" s="15"/>
      <c r="O11" s="201">
        <v>8</v>
      </c>
      <c r="P11" s="257">
        <v>8</v>
      </c>
      <c r="Q11" s="1"/>
      <c r="R11" s="1"/>
    </row>
    <row r="12" spans="1:18" ht="16.5" customHeight="1" x14ac:dyDescent="0.4">
      <c r="A12" s="1"/>
      <c r="B12" s="282"/>
      <c r="C12" s="221"/>
      <c r="D12" s="287"/>
      <c r="E12" s="9" t="s">
        <v>29</v>
      </c>
      <c r="F12" s="66" t="s">
        <v>49</v>
      </c>
      <c r="G12" s="10">
        <v>4</v>
      </c>
      <c r="H12" s="11">
        <v>4</v>
      </c>
      <c r="I12" s="12"/>
      <c r="J12" s="13">
        <v>4</v>
      </c>
      <c r="K12" s="14"/>
      <c r="L12" s="15"/>
      <c r="M12" s="14"/>
      <c r="N12" s="15"/>
      <c r="O12" s="241"/>
      <c r="P12" s="258"/>
      <c r="Q12" s="1"/>
      <c r="R12" s="1"/>
    </row>
    <row r="13" spans="1:18" ht="16.5" customHeight="1" x14ac:dyDescent="0.4">
      <c r="A13" s="1"/>
      <c r="B13" s="282"/>
      <c r="C13" s="221"/>
      <c r="D13" s="287"/>
      <c r="E13" s="9" t="s">
        <v>29</v>
      </c>
      <c r="F13" s="66" t="s">
        <v>50</v>
      </c>
      <c r="G13" s="10">
        <v>3</v>
      </c>
      <c r="H13" s="11">
        <v>3</v>
      </c>
      <c r="I13" s="12">
        <v>3</v>
      </c>
      <c r="J13" s="13"/>
      <c r="K13" s="14"/>
      <c r="L13" s="15"/>
      <c r="M13" s="14"/>
      <c r="N13" s="15"/>
      <c r="O13" s="201">
        <v>6</v>
      </c>
      <c r="P13" s="257">
        <v>6</v>
      </c>
      <c r="Q13" s="1"/>
      <c r="R13" s="1"/>
    </row>
    <row r="14" spans="1:18" ht="16.5" customHeight="1" x14ac:dyDescent="0.4">
      <c r="A14" s="1"/>
      <c r="B14" s="282"/>
      <c r="C14" s="221"/>
      <c r="D14" s="288"/>
      <c r="E14" s="9" t="s">
        <v>29</v>
      </c>
      <c r="F14" s="66" t="s">
        <v>51</v>
      </c>
      <c r="G14" s="10">
        <v>3</v>
      </c>
      <c r="H14" s="11">
        <v>3</v>
      </c>
      <c r="I14" s="12"/>
      <c r="J14" s="13">
        <v>3</v>
      </c>
      <c r="K14" s="14"/>
      <c r="L14" s="15"/>
      <c r="M14" s="14"/>
      <c r="N14" s="15"/>
      <c r="O14" s="241"/>
      <c r="P14" s="258"/>
      <c r="Q14" s="1"/>
      <c r="R14" s="1"/>
    </row>
    <row r="15" spans="1:18" ht="16.5" customHeight="1" x14ac:dyDescent="0.4">
      <c r="A15" s="1"/>
      <c r="B15" s="282"/>
      <c r="C15" s="221"/>
      <c r="D15" s="286" t="s">
        <v>19</v>
      </c>
      <c r="E15" s="9" t="s">
        <v>29</v>
      </c>
      <c r="F15" s="67" t="s">
        <v>52</v>
      </c>
      <c r="G15" s="10">
        <v>4</v>
      </c>
      <c r="H15" s="11">
        <v>4</v>
      </c>
      <c r="I15" s="12">
        <v>4</v>
      </c>
      <c r="J15" s="13"/>
      <c r="K15" s="14"/>
      <c r="L15" s="15"/>
      <c r="M15" s="14"/>
      <c r="N15" s="15"/>
      <c r="O15" s="201">
        <v>10</v>
      </c>
      <c r="P15" s="247">
        <v>10</v>
      </c>
      <c r="Q15" s="1"/>
      <c r="R15" s="1"/>
    </row>
    <row r="16" spans="1:18" ht="16.5" customHeight="1" x14ac:dyDescent="0.4">
      <c r="A16" s="1"/>
      <c r="B16" s="282"/>
      <c r="C16" s="221"/>
      <c r="D16" s="287"/>
      <c r="E16" s="9" t="s">
        <v>29</v>
      </c>
      <c r="F16" s="67" t="s">
        <v>53</v>
      </c>
      <c r="G16" s="10">
        <v>4</v>
      </c>
      <c r="H16" s="11">
        <v>4</v>
      </c>
      <c r="I16" s="12"/>
      <c r="J16" s="13">
        <v>4</v>
      </c>
      <c r="K16" s="14"/>
      <c r="L16" s="15"/>
      <c r="M16" s="14"/>
      <c r="N16" s="15"/>
      <c r="O16" s="202"/>
      <c r="P16" s="248"/>
      <c r="Q16" s="1"/>
      <c r="R16" s="1"/>
    </row>
    <row r="17" spans="1:18" ht="16.5" customHeight="1" x14ac:dyDescent="0.4">
      <c r="A17" s="1"/>
      <c r="B17" s="282"/>
      <c r="C17" s="221"/>
      <c r="D17" s="287"/>
      <c r="E17" s="9" t="s">
        <v>29</v>
      </c>
      <c r="F17" s="67" t="s">
        <v>54</v>
      </c>
      <c r="G17" s="10">
        <v>1</v>
      </c>
      <c r="H17" s="11">
        <v>1</v>
      </c>
      <c r="I17" s="12">
        <v>1</v>
      </c>
      <c r="J17" s="13"/>
      <c r="K17" s="14"/>
      <c r="L17" s="15"/>
      <c r="M17" s="14"/>
      <c r="N17" s="15"/>
      <c r="O17" s="202"/>
      <c r="P17" s="248"/>
      <c r="Q17" s="1"/>
      <c r="R17" s="1"/>
    </row>
    <row r="18" spans="1:18" ht="16.5" customHeight="1" x14ac:dyDescent="0.4">
      <c r="A18" s="1"/>
      <c r="B18" s="282"/>
      <c r="C18" s="221"/>
      <c r="D18" s="288"/>
      <c r="E18" s="9" t="s">
        <v>29</v>
      </c>
      <c r="F18" s="67" t="s">
        <v>55</v>
      </c>
      <c r="G18" s="10">
        <v>1</v>
      </c>
      <c r="H18" s="11">
        <v>1</v>
      </c>
      <c r="I18" s="12"/>
      <c r="J18" s="13">
        <v>1</v>
      </c>
      <c r="K18" s="14"/>
      <c r="L18" s="15"/>
      <c r="M18" s="14"/>
      <c r="N18" s="15"/>
      <c r="O18" s="241"/>
      <c r="P18" s="249"/>
      <c r="Q18" s="1"/>
      <c r="R18" s="1"/>
    </row>
    <row r="19" spans="1:18" ht="16.5" customHeight="1" x14ac:dyDescent="0.4">
      <c r="A19" s="1"/>
      <c r="B19" s="282"/>
      <c r="C19" s="221"/>
      <c r="D19" s="286" t="s">
        <v>11</v>
      </c>
      <c r="E19" s="9" t="s">
        <v>16</v>
      </c>
      <c r="F19" s="67" t="s">
        <v>56</v>
      </c>
      <c r="G19" s="10">
        <v>3</v>
      </c>
      <c r="H19" s="11">
        <v>2</v>
      </c>
      <c r="I19" s="14">
        <v>2</v>
      </c>
      <c r="J19" s="15"/>
      <c r="K19" s="14"/>
      <c r="L19" s="15"/>
      <c r="M19" s="14"/>
      <c r="N19" s="15"/>
      <c r="O19" s="201">
        <v>10</v>
      </c>
      <c r="P19" s="247">
        <v>10</v>
      </c>
      <c r="Q19" s="1"/>
      <c r="R19" s="1"/>
    </row>
    <row r="20" spans="1:18" ht="16.5" customHeight="1" x14ac:dyDescent="0.4">
      <c r="A20" s="1"/>
      <c r="B20" s="282"/>
      <c r="C20" s="221"/>
      <c r="D20" s="287"/>
      <c r="E20" s="9" t="s">
        <v>16</v>
      </c>
      <c r="F20" s="67" t="s">
        <v>57</v>
      </c>
      <c r="G20" s="16">
        <v>3</v>
      </c>
      <c r="H20" s="17">
        <v>2</v>
      </c>
      <c r="I20" s="12"/>
      <c r="J20" s="13">
        <v>2</v>
      </c>
      <c r="K20" s="12"/>
      <c r="L20" s="13"/>
      <c r="M20" s="12"/>
      <c r="N20" s="13"/>
      <c r="O20" s="202"/>
      <c r="P20" s="248"/>
      <c r="Q20" s="1"/>
      <c r="R20" s="1"/>
    </row>
    <row r="21" spans="1:18" ht="16.5" customHeight="1" x14ac:dyDescent="0.4">
      <c r="A21" s="1"/>
      <c r="B21" s="282"/>
      <c r="C21" s="221"/>
      <c r="D21" s="287"/>
      <c r="E21" s="9" t="s">
        <v>13</v>
      </c>
      <c r="F21" s="68" t="s">
        <v>58</v>
      </c>
      <c r="G21" s="16">
        <v>2</v>
      </c>
      <c r="H21" s="17">
        <v>1</v>
      </c>
      <c r="I21" s="12"/>
      <c r="J21" s="13"/>
      <c r="K21" s="12">
        <v>1</v>
      </c>
      <c r="L21" s="13"/>
      <c r="M21" s="12"/>
      <c r="N21" s="13"/>
      <c r="O21" s="202"/>
      <c r="P21" s="248"/>
      <c r="Q21" s="1"/>
      <c r="R21" s="1"/>
    </row>
    <row r="22" spans="1:18" ht="16.5" customHeight="1" x14ac:dyDescent="0.4">
      <c r="A22" s="1"/>
      <c r="B22" s="282"/>
      <c r="C22" s="221"/>
      <c r="D22" s="287"/>
      <c r="E22" s="9" t="s">
        <v>13</v>
      </c>
      <c r="F22" s="68" t="s">
        <v>59</v>
      </c>
      <c r="G22" s="16">
        <v>2</v>
      </c>
      <c r="H22" s="17">
        <v>1</v>
      </c>
      <c r="I22" s="12"/>
      <c r="J22" s="13"/>
      <c r="K22" s="12"/>
      <c r="L22" s="13">
        <v>1</v>
      </c>
      <c r="M22" s="12"/>
      <c r="N22" s="13"/>
      <c r="O22" s="202"/>
      <c r="P22" s="248"/>
      <c r="Q22" s="1"/>
      <c r="R22" s="1"/>
    </row>
    <row r="23" spans="1:18" ht="16.5" customHeight="1" x14ac:dyDescent="0.4">
      <c r="A23" s="1"/>
      <c r="B23" s="282"/>
      <c r="C23" s="221"/>
      <c r="D23" s="287"/>
      <c r="E23" s="9" t="s">
        <v>60</v>
      </c>
      <c r="F23" s="68" t="s">
        <v>61</v>
      </c>
      <c r="G23" s="16">
        <v>3</v>
      </c>
      <c r="H23" s="17">
        <v>2</v>
      </c>
      <c r="I23" s="12"/>
      <c r="J23" s="13"/>
      <c r="K23" s="12"/>
      <c r="L23" s="13"/>
      <c r="M23" s="12">
        <v>2</v>
      </c>
      <c r="N23" s="13"/>
      <c r="O23" s="202"/>
      <c r="P23" s="248"/>
      <c r="Q23" s="1"/>
      <c r="R23" s="1"/>
    </row>
    <row r="24" spans="1:18" ht="16.5" customHeight="1" x14ac:dyDescent="0.4">
      <c r="A24" s="1"/>
      <c r="B24" s="282"/>
      <c r="C24" s="221"/>
      <c r="D24" s="288"/>
      <c r="E24" s="9" t="s">
        <v>60</v>
      </c>
      <c r="F24" s="68" t="s">
        <v>62</v>
      </c>
      <c r="G24" s="16">
        <v>3</v>
      </c>
      <c r="H24" s="17">
        <v>2</v>
      </c>
      <c r="I24" s="12"/>
      <c r="J24" s="13"/>
      <c r="K24" s="12"/>
      <c r="L24" s="13"/>
      <c r="M24" s="12"/>
      <c r="N24" s="13">
        <v>2</v>
      </c>
      <c r="O24" s="241"/>
      <c r="P24" s="249"/>
      <c r="Q24" s="1"/>
      <c r="R24" s="1"/>
    </row>
    <row r="25" spans="1:18" ht="16.5" customHeight="1" x14ac:dyDescent="0.4">
      <c r="A25" s="1"/>
      <c r="B25" s="282"/>
      <c r="C25" s="221"/>
      <c r="D25" s="286" t="s">
        <v>37</v>
      </c>
      <c r="E25" s="9" t="s">
        <v>16</v>
      </c>
      <c r="F25" s="67" t="s">
        <v>33</v>
      </c>
      <c r="G25" s="16">
        <v>3</v>
      </c>
      <c r="H25" s="17">
        <v>2</v>
      </c>
      <c r="I25" s="12">
        <v>2</v>
      </c>
      <c r="J25" s="13"/>
      <c r="K25" s="12"/>
      <c r="L25" s="13"/>
      <c r="M25" s="12"/>
      <c r="N25" s="13"/>
      <c r="O25" s="201">
        <v>4</v>
      </c>
      <c r="P25" s="247">
        <v>10</v>
      </c>
      <c r="Q25" s="1"/>
      <c r="R25" s="1"/>
    </row>
    <row r="26" spans="1:18" ht="16.5" customHeight="1" x14ac:dyDescent="0.4">
      <c r="A26" s="1"/>
      <c r="B26" s="282"/>
      <c r="C26" s="221"/>
      <c r="D26" s="287"/>
      <c r="E26" s="9" t="s">
        <v>16</v>
      </c>
      <c r="F26" s="67" t="s">
        <v>113</v>
      </c>
      <c r="G26" s="10">
        <v>3</v>
      </c>
      <c r="H26" s="11">
        <v>2</v>
      </c>
      <c r="I26" s="18"/>
      <c r="J26" s="19">
        <v>2</v>
      </c>
      <c r="K26" s="14"/>
      <c r="L26" s="15"/>
      <c r="M26" s="25"/>
      <c r="N26" s="26"/>
      <c r="O26" s="202"/>
      <c r="P26" s="248"/>
      <c r="Q26" s="1"/>
      <c r="R26" s="1"/>
    </row>
    <row r="27" spans="1:18" ht="16.5" customHeight="1" x14ac:dyDescent="0.4">
      <c r="A27" s="1"/>
      <c r="B27" s="282"/>
      <c r="C27" s="221"/>
      <c r="D27" s="287"/>
      <c r="E27" s="9" t="s">
        <v>6</v>
      </c>
      <c r="F27" s="67" t="s">
        <v>12</v>
      </c>
      <c r="G27" s="10">
        <v>3</v>
      </c>
      <c r="H27" s="11">
        <v>3</v>
      </c>
      <c r="I27" s="18"/>
      <c r="J27" s="19"/>
      <c r="K27" s="14"/>
      <c r="L27" s="15"/>
      <c r="M27" s="14"/>
      <c r="N27" s="15"/>
      <c r="O27" s="202"/>
      <c r="P27" s="248"/>
      <c r="Q27" s="1"/>
      <c r="R27" s="1"/>
    </row>
    <row r="28" spans="1:18" ht="16.5" customHeight="1" x14ac:dyDescent="0.4">
      <c r="A28" s="1"/>
      <c r="B28" s="282"/>
      <c r="C28" s="221"/>
      <c r="D28" s="288"/>
      <c r="E28" s="9" t="s">
        <v>7</v>
      </c>
      <c r="F28" s="67" t="s">
        <v>103</v>
      </c>
      <c r="G28" s="10">
        <v>3</v>
      </c>
      <c r="H28" s="11">
        <v>3</v>
      </c>
      <c r="I28" s="18"/>
      <c r="J28" s="19"/>
      <c r="K28" s="14"/>
      <c r="L28" s="15"/>
      <c r="M28" s="14"/>
      <c r="N28" s="15"/>
      <c r="O28" s="241"/>
      <c r="P28" s="249"/>
      <c r="Q28" s="1"/>
      <c r="R28" s="1"/>
    </row>
    <row r="29" spans="1:18" ht="16.5" customHeight="1" x14ac:dyDescent="0.4">
      <c r="A29" s="1"/>
      <c r="B29" s="282"/>
      <c r="C29" s="221"/>
      <c r="D29" s="286" t="s">
        <v>34</v>
      </c>
      <c r="E29" s="9" t="s">
        <v>16</v>
      </c>
      <c r="F29" s="67" t="s">
        <v>63</v>
      </c>
      <c r="G29" s="10">
        <v>3</v>
      </c>
      <c r="H29" s="11">
        <v>2</v>
      </c>
      <c r="I29" s="12">
        <v>2</v>
      </c>
      <c r="J29" s="13"/>
      <c r="K29" s="14"/>
      <c r="L29" s="15"/>
      <c r="M29" s="77"/>
      <c r="N29" s="78"/>
      <c r="O29" s="201">
        <v>4</v>
      </c>
      <c r="P29" s="247">
        <v>16</v>
      </c>
      <c r="Q29" s="1"/>
      <c r="R29" s="1"/>
    </row>
    <row r="30" spans="1:18" ht="16.5" customHeight="1" thickBot="1" x14ac:dyDescent="0.45">
      <c r="A30" s="1"/>
      <c r="B30" s="283"/>
      <c r="C30" s="222"/>
      <c r="D30" s="289"/>
      <c r="E30" s="20" t="s">
        <v>16</v>
      </c>
      <c r="F30" s="69" t="s">
        <v>64</v>
      </c>
      <c r="G30" s="21">
        <v>3</v>
      </c>
      <c r="H30" s="22">
        <v>2</v>
      </c>
      <c r="I30" s="23"/>
      <c r="J30" s="24">
        <v>2</v>
      </c>
      <c r="K30" s="27"/>
      <c r="L30" s="28"/>
      <c r="M30" s="27"/>
      <c r="N30" s="28"/>
      <c r="O30" s="203"/>
      <c r="P30" s="252"/>
      <c r="Q30" s="1"/>
      <c r="R30" s="1"/>
    </row>
    <row r="31" spans="1:18" ht="17.399999999999999" customHeight="1" x14ac:dyDescent="0.4">
      <c r="A31" s="1"/>
      <c r="B31" s="220" t="s">
        <v>38</v>
      </c>
      <c r="C31" s="301" t="s">
        <v>38</v>
      </c>
      <c r="D31" s="299" t="s">
        <v>15</v>
      </c>
      <c r="E31" s="30" t="s">
        <v>6</v>
      </c>
      <c r="F31" s="71" t="s">
        <v>30</v>
      </c>
      <c r="G31" s="31">
        <v>4</v>
      </c>
      <c r="H31" s="32">
        <v>4</v>
      </c>
      <c r="I31" s="33"/>
      <c r="J31" s="34"/>
      <c r="K31" s="94" t="s">
        <v>65</v>
      </c>
      <c r="L31" s="34"/>
      <c r="M31" s="33"/>
      <c r="N31" s="34"/>
      <c r="O31" s="202">
        <v>24</v>
      </c>
      <c r="P31" s="248">
        <f>O31+O40+O51+O53+O67</f>
        <v>84</v>
      </c>
      <c r="Q31" s="1"/>
      <c r="R31" s="1"/>
    </row>
    <row r="32" spans="1:18" ht="17.399999999999999" customHeight="1" x14ac:dyDescent="0.4">
      <c r="A32" s="1"/>
      <c r="B32" s="221"/>
      <c r="C32" s="301"/>
      <c r="D32" s="295"/>
      <c r="E32" s="30" t="s">
        <v>13</v>
      </c>
      <c r="F32" s="71" t="s">
        <v>66</v>
      </c>
      <c r="G32" s="31">
        <v>4</v>
      </c>
      <c r="H32" s="32">
        <v>4</v>
      </c>
      <c r="I32" s="33"/>
      <c r="J32" s="34"/>
      <c r="K32" s="79">
        <v>4</v>
      </c>
      <c r="L32" s="34"/>
      <c r="M32" s="33"/>
      <c r="N32" s="34"/>
      <c r="O32" s="236"/>
      <c r="P32" s="248"/>
      <c r="Q32" s="1"/>
      <c r="R32" s="1"/>
    </row>
    <row r="33" spans="1:19" ht="17.399999999999999" customHeight="1" x14ac:dyDescent="0.4">
      <c r="A33" s="1"/>
      <c r="B33" s="221"/>
      <c r="C33" s="301"/>
      <c r="D33" s="292" t="s">
        <v>17</v>
      </c>
      <c r="E33" s="98" t="s">
        <v>16</v>
      </c>
      <c r="F33" s="99" t="s">
        <v>79</v>
      </c>
      <c r="G33" s="31">
        <v>4</v>
      </c>
      <c r="H33" s="32">
        <v>4</v>
      </c>
      <c r="I33" s="33"/>
      <c r="J33" s="34"/>
      <c r="K33" s="80">
        <v>4</v>
      </c>
      <c r="L33" s="34"/>
      <c r="M33" s="33"/>
      <c r="N33" s="34"/>
      <c r="O33" s="236"/>
      <c r="P33" s="248"/>
      <c r="Q33" s="1"/>
      <c r="R33" s="104"/>
      <c r="S33" t="s">
        <v>118</v>
      </c>
    </row>
    <row r="34" spans="1:19" ht="17.399999999999999" customHeight="1" x14ac:dyDescent="0.4">
      <c r="A34" s="1"/>
      <c r="B34" s="221"/>
      <c r="C34" s="301"/>
      <c r="D34" s="293"/>
      <c r="E34" s="100" t="s">
        <v>13</v>
      </c>
      <c r="F34" s="101" t="s">
        <v>108</v>
      </c>
      <c r="G34" s="10">
        <v>4</v>
      </c>
      <c r="H34" s="11">
        <v>4</v>
      </c>
      <c r="I34" s="12"/>
      <c r="J34" s="13"/>
      <c r="K34" s="80">
        <v>4</v>
      </c>
      <c r="L34" s="34"/>
      <c r="M34" s="33"/>
      <c r="N34" s="34"/>
      <c r="O34" s="236"/>
      <c r="P34" s="248"/>
      <c r="Q34" s="1"/>
      <c r="R34" s="113"/>
      <c r="S34" t="s">
        <v>119</v>
      </c>
    </row>
    <row r="35" spans="1:19" ht="17.399999999999999" customHeight="1" x14ac:dyDescent="0.4">
      <c r="A35" s="1"/>
      <c r="B35" s="221"/>
      <c r="C35" s="301"/>
      <c r="D35" s="294" t="s">
        <v>18</v>
      </c>
      <c r="E35" s="9" t="s">
        <v>6</v>
      </c>
      <c r="F35" s="72" t="s">
        <v>31</v>
      </c>
      <c r="G35" s="10">
        <v>4</v>
      </c>
      <c r="H35" s="11">
        <v>4</v>
      </c>
      <c r="I35" s="12"/>
      <c r="J35" s="13"/>
      <c r="K35" s="80">
        <v>4</v>
      </c>
      <c r="L35" s="34"/>
      <c r="M35" s="33"/>
      <c r="N35" s="34"/>
      <c r="O35" s="236"/>
      <c r="P35" s="248"/>
      <c r="Q35" s="1"/>
      <c r="R35" s="120"/>
      <c r="S35" t="s">
        <v>128</v>
      </c>
    </row>
    <row r="36" spans="1:19" ht="17.399999999999999" customHeight="1" thickBot="1" x14ac:dyDescent="0.45">
      <c r="A36" s="1"/>
      <c r="B36" s="221"/>
      <c r="C36" s="301"/>
      <c r="D36" s="295"/>
      <c r="E36" s="9" t="s">
        <v>60</v>
      </c>
      <c r="F36" s="72" t="s">
        <v>70</v>
      </c>
      <c r="G36" s="10">
        <v>4</v>
      </c>
      <c r="H36" s="11">
        <v>4</v>
      </c>
      <c r="I36" s="12"/>
      <c r="J36" s="13"/>
      <c r="K36" s="80">
        <v>4</v>
      </c>
      <c r="L36" s="34"/>
      <c r="M36" s="33"/>
      <c r="N36" s="34"/>
      <c r="O36" s="236"/>
      <c r="P36" s="248"/>
      <c r="Q36" s="1"/>
      <c r="R36" s="1"/>
    </row>
    <row r="37" spans="1:19" ht="17.399999999999999" customHeight="1" thickBot="1" x14ac:dyDescent="0.45">
      <c r="A37" s="1"/>
      <c r="B37" s="221"/>
      <c r="C37" s="301"/>
      <c r="D37" s="294" t="s">
        <v>71</v>
      </c>
      <c r="E37" s="30" t="s">
        <v>6</v>
      </c>
      <c r="F37" s="71" t="s">
        <v>72</v>
      </c>
      <c r="G37" s="31">
        <v>4</v>
      </c>
      <c r="H37" s="32">
        <v>4</v>
      </c>
      <c r="I37" s="33"/>
      <c r="J37" s="34"/>
      <c r="K37" s="80">
        <v>4</v>
      </c>
      <c r="L37" s="34"/>
      <c r="M37" s="33"/>
      <c r="N37" s="34"/>
      <c r="O37" s="236"/>
      <c r="P37" s="248"/>
      <c r="Q37" s="1"/>
      <c r="R37" s="136"/>
      <c r="S37" t="s">
        <v>129</v>
      </c>
    </row>
    <row r="38" spans="1:19" ht="17.399999999999999" customHeight="1" x14ac:dyDescent="0.4">
      <c r="A38" s="1"/>
      <c r="B38" s="221"/>
      <c r="C38" s="301"/>
      <c r="D38" s="295"/>
      <c r="E38" s="30" t="s">
        <v>13</v>
      </c>
      <c r="F38" s="71" t="s">
        <v>73</v>
      </c>
      <c r="G38" s="31">
        <v>4</v>
      </c>
      <c r="H38" s="32">
        <v>4</v>
      </c>
      <c r="I38" s="33"/>
      <c r="J38" s="34"/>
      <c r="K38" s="80"/>
      <c r="L38" s="34"/>
      <c r="M38" s="33"/>
      <c r="N38" s="34"/>
      <c r="O38" s="236"/>
      <c r="P38" s="248"/>
      <c r="Q38" s="1"/>
      <c r="R38" s="1"/>
    </row>
    <row r="39" spans="1:19" ht="17.399999999999999" customHeight="1" x14ac:dyDescent="0.4">
      <c r="A39" s="1"/>
      <c r="B39" s="221"/>
      <c r="C39" s="301"/>
      <c r="D39" s="105" t="s">
        <v>74</v>
      </c>
      <c r="E39" s="106" t="s">
        <v>6</v>
      </c>
      <c r="F39" s="107" t="s">
        <v>105</v>
      </c>
      <c r="G39" s="10">
        <v>4</v>
      </c>
      <c r="H39" s="11">
        <v>4</v>
      </c>
      <c r="I39" s="33"/>
      <c r="J39" s="34"/>
      <c r="K39" s="94"/>
      <c r="L39" s="34"/>
      <c r="M39" s="33"/>
      <c r="N39" s="34"/>
      <c r="O39" s="236"/>
      <c r="P39" s="248"/>
      <c r="Q39" s="1"/>
      <c r="R39" s="1"/>
    </row>
    <row r="40" spans="1:19" ht="17.399999999999999" customHeight="1" x14ac:dyDescent="0.4">
      <c r="A40" s="1"/>
      <c r="B40" s="221"/>
      <c r="C40" s="301"/>
      <c r="D40" s="90" t="s">
        <v>35</v>
      </c>
      <c r="E40" s="9" t="s">
        <v>16</v>
      </c>
      <c r="F40" s="73" t="s">
        <v>35</v>
      </c>
      <c r="G40" s="38">
        <v>4</v>
      </c>
      <c r="H40" s="39">
        <v>3</v>
      </c>
      <c r="I40" s="35"/>
      <c r="J40" s="36"/>
      <c r="K40" s="40" t="s">
        <v>21</v>
      </c>
      <c r="L40" s="13"/>
      <c r="M40" s="12"/>
      <c r="N40" s="13"/>
      <c r="O40" s="228">
        <v>6</v>
      </c>
      <c r="P40" s="248"/>
      <c r="Q40" s="1"/>
      <c r="R40" s="1"/>
    </row>
    <row r="41" spans="1:19" ht="31.2" x14ac:dyDescent="0.4">
      <c r="A41" s="1"/>
      <c r="B41" s="221"/>
      <c r="C41" s="301"/>
      <c r="D41" s="9" t="s">
        <v>75</v>
      </c>
      <c r="E41" s="9" t="s">
        <v>6</v>
      </c>
      <c r="F41" s="73" t="s">
        <v>76</v>
      </c>
      <c r="G41" s="38">
        <v>4</v>
      </c>
      <c r="H41" s="39">
        <v>3</v>
      </c>
      <c r="I41" s="12"/>
      <c r="J41" s="13"/>
      <c r="K41" s="42" t="s">
        <v>112</v>
      </c>
      <c r="L41" s="43"/>
      <c r="M41" s="12"/>
      <c r="N41" s="13"/>
      <c r="O41" s="229"/>
      <c r="P41" s="248"/>
      <c r="Q41" s="1"/>
      <c r="R41" s="1"/>
    </row>
    <row r="42" spans="1:19" ht="17.399999999999999" customHeight="1" x14ac:dyDescent="0.4">
      <c r="A42" s="1"/>
      <c r="B42" s="221"/>
      <c r="C42" s="301"/>
      <c r="D42" s="294" t="s">
        <v>15</v>
      </c>
      <c r="E42" s="44" t="s">
        <v>16</v>
      </c>
      <c r="F42" s="74" t="s">
        <v>77</v>
      </c>
      <c r="G42" s="45">
        <v>4</v>
      </c>
      <c r="H42" s="46">
        <v>4</v>
      </c>
      <c r="I42" s="12"/>
      <c r="J42" s="13"/>
      <c r="K42" s="12"/>
      <c r="L42" s="47" t="s">
        <v>65</v>
      </c>
      <c r="M42" s="12"/>
      <c r="N42" s="13"/>
      <c r="O42" s="228">
        <v>24</v>
      </c>
      <c r="P42" s="248"/>
      <c r="Q42" s="1"/>
      <c r="R42" s="1"/>
    </row>
    <row r="43" spans="1:19" ht="17.399999999999999" customHeight="1" x14ac:dyDescent="0.4">
      <c r="A43" s="1"/>
      <c r="B43" s="221"/>
      <c r="C43" s="301"/>
      <c r="D43" s="295"/>
      <c r="E43" s="44" t="s">
        <v>7</v>
      </c>
      <c r="F43" s="74" t="s">
        <v>78</v>
      </c>
      <c r="G43" s="45">
        <v>4</v>
      </c>
      <c r="H43" s="46">
        <v>4</v>
      </c>
      <c r="I43" s="12"/>
      <c r="J43" s="13"/>
      <c r="K43" s="12"/>
      <c r="L43" s="81">
        <v>4</v>
      </c>
      <c r="M43" s="12"/>
      <c r="N43" s="13"/>
      <c r="O43" s="236"/>
      <c r="P43" s="248"/>
      <c r="Q43" s="1"/>
      <c r="R43" s="1"/>
    </row>
    <row r="44" spans="1:19" ht="17.399999999999999" customHeight="1" x14ac:dyDescent="0.4">
      <c r="A44" s="1"/>
      <c r="B44" s="221"/>
      <c r="C44" s="301"/>
      <c r="D44" s="292" t="s">
        <v>17</v>
      </c>
      <c r="E44" s="102" t="s">
        <v>6</v>
      </c>
      <c r="F44" s="86" t="s">
        <v>68</v>
      </c>
      <c r="G44" s="45">
        <v>4</v>
      </c>
      <c r="H44" s="46">
        <v>4</v>
      </c>
      <c r="I44" s="12"/>
      <c r="J44" s="13"/>
      <c r="K44" s="12"/>
      <c r="L44" s="82">
        <v>4</v>
      </c>
      <c r="M44" s="12"/>
      <c r="N44" s="13"/>
      <c r="O44" s="236"/>
      <c r="P44" s="248"/>
      <c r="Q44" s="1"/>
      <c r="R44" s="1"/>
    </row>
    <row r="45" spans="1:19" ht="17.399999999999999" customHeight="1" x14ac:dyDescent="0.4">
      <c r="A45" s="1"/>
      <c r="B45" s="221"/>
      <c r="C45" s="301"/>
      <c r="D45" s="293"/>
      <c r="E45" s="87" t="s">
        <v>13</v>
      </c>
      <c r="F45" s="86" t="s">
        <v>69</v>
      </c>
      <c r="G45" s="45">
        <v>4</v>
      </c>
      <c r="H45" s="46">
        <v>4</v>
      </c>
      <c r="I45" s="12"/>
      <c r="J45" s="13"/>
      <c r="K45" s="12"/>
      <c r="L45" s="82">
        <v>4</v>
      </c>
      <c r="M45" s="12"/>
      <c r="N45" s="13"/>
      <c r="O45" s="236"/>
      <c r="P45" s="248"/>
      <c r="Q45" s="1"/>
      <c r="R45" s="1"/>
    </row>
    <row r="46" spans="1:19" ht="17.399999999999999" customHeight="1" x14ac:dyDescent="0.4">
      <c r="A46" s="1"/>
      <c r="B46" s="221"/>
      <c r="C46" s="301"/>
      <c r="D46" s="294" t="s">
        <v>18</v>
      </c>
      <c r="E46" s="44" t="s">
        <v>6</v>
      </c>
      <c r="F46" s="74" t="s">
        <v>81</v>
      </c>
      <c r="G46" s="45">
        <v>4</v>
      </c>
      <c r="H46" s="46">
        <v>4</v>
      </c>
      <c r="I46" s="12"/>
      <c r="J46" s="13"/>
      <c r="K46" s="12"/>
      <c r="L46" s="82">
        <v>4</v>
      </c>
      <c r="M46" s="12"/>
      <c r="N46" s="13"/>
      <c r="O46" s="236"/>
      <c r="P46" s="248"/>
      <c r="Q46" s="1"/>
      <c r="R46" s="1"/>
    </row>
    <row r="47" spans="1:19" ht="17.399999999999999" customHeight="1" x14ac:dyDescent="0.4">
      <c r="A47" s="1"/>
      <c r="B47" s="221"/>
      <c r="C47" s="301"/>
      <c r="D47" s="295"/>
      <c r="E47" s="44" t="s">
        <v>13</v>
      </c>
      <c r="F47" s="74" t="s">
        <v>36</v>
      </c>
      <c r="G47" s="45">
        <v>4</v>
      </c>
      <c r="H47" s="46">
        <v>4</v>
      </c>
      <c r="I47" s="12"/>
      <c r="J47" s="13"/>
      <c r="K47" s="12"/>
      <c r="L47" s="82">
        <v>4</v>
      </c>
      <c r="M47" s="12"/>
      <c r="N47" s="13"/>
      <c r="O47" s="236"/>
      <c r="P47" s="248"/>
      <c r="Q47" s="1"/>
      <c r="R47" s="1"/>
    </row>
    <row r="48" spans="1:19" ht="17.399999999999999" customHeight="1" x14ac:dyDescent="0.4">
      <c r="A48" s="1"/>
      <c r="B48" s="221"/>
      <c r="C48" s="301"/>
      <c r="D48" s="294" t="s">
        <v>71</v>
      </c>
      <c r="E48" s="44" t="s">
        <v>13</v>
      </c>
      <c r="F48" s="74" t="s">
        <v>82</v>
      </c>
      <c r="G48" s="45">
        <v>4</v>
      </c>
      <c r="H48" s="46">
        <v>4</v>
      </c>
      <c r="I48" s="12"/>
      <c r="J48" s="13"/>
      <c r="K48" s="12"/>
      <c r="L48" s="82">
        <v>4</v>
      </c>
      <c r="M48" s="12"/>
      <c r="N48" s="13"/>
      <c r="O48" s="236"/>
      <c r="P48" s="248"/>
      <c r="Q48" s="1"/>
      <c r="R48" s="1"/>
    </row>
    <row r="49" spans="1:18" ht="17.399999999999999" customHeight="1" x14ac:dyDescent="0.4">
      <c r="A49" s="1"/>
      <c r="B49" s="221"/>
      <c r="C49" s="301"/>
      <c r="D49" s="295"/>
      <c r="E49" s="44" t="s">
        <v>60</v>
      </c>
      <c r="F49" s="74" t="s">
        <v>83</v>
      </c>
      <c r="G49" s="45">
        <v>4</v>
      </c>
      <c r="H49" s="46">
        <v>4</v>
      </c>
      <c r="I49" s="12"/>
      <c r="J49" s="13"/>
      <c r="K49" s="12"/>
      <c r="L49" s="93"/>
      <c r="M49" s="12"/>
      <c r="N49" s="13"/>
      <c r="O49" s="236"/>
      <c r="P49" s="248"/>
      <c r="Q49" s="1"/>
      <c r="R49" s="1"/>
    </row>
    <row r="50" spans="1:18" ht="17.399999999999999" customHeight="1" x14ac:dyDescent="0.4">
      <c r="A50" s="1"/>
      <c r="B50" s="221"/>
      <c r="C50" s="301"/>
      <c r="D50" s="105" t="s">
        <v>74</v>
      </c>
      <c r="E50" s="108" t="s">
        <v>13</v>
      </c>
      <c r="F50" s="109" t="s">
        <v>106</v>
      </c>
      <c r="G50" s="45">
        <v>4</v>
      </c>
      <c r="H50" s="46">
        <v>4</v>
      </c>
      <c r="I50" s="12"/>
      <c r="J50" s="13"/>
      <c r="K50" s="12"/>
      <c r="L50" s="93"/>
      <c r="M50" s="12"/>
      <c r="N50" s="13"/>
      <c r="O50" s="236"/>
      <c r="P50" s="248"/>
      <c r="Q50" s="1"/>
      <c r="R50" s="1"/>
    </row>
    <row r="51" spans="1:18" ht="17.399999999999999" customHeight="1" x14ac:dyDescent="0.4">
      <c r="A51" s="1"/>
      <c r="B51" s="221"/>
      <c r="C51" s="301"/>
      <c r="D51" s="90" t="s">
        <v>35</v>
      </c>
      <c r="E51" s="9" t="s">
        <v>13</v>
      </c>
      <c r="F51" s="73" t="s">
        <v>84</v>
      </c>
      <c r="G51" s="10">
        <v>4</v>
      </c>
      <c r="H51" s="11">
        <v>3</v>
      </c>
      <c r="I51" s="12"/>
      <c r="J51" s="13"/>
      <c r="K51" s="12"/>
      <c r="L51" s="48" t="s">
        <v>21</v>
      </c>
      <c r="M51" s="12"/>
      <c r="N51" s="13"/>
      <c r="O51" s="228">
        <v>6</v>
      </c>
      <c r="P51" s="248"/>
      <c r="Q51" s="1"/>
      <c r="R51" s="1"/>
    </row>
    <row r="52" spans="1:18" ht="31.8" thickBot="1" x14ac:dyDescent="0.45">
      <c r="A52" s="1"/>
      <c r="B52" s="221"/>
      <c r="C52" s="301"/>
      <c r="D52" s="41" t="s">
        <v>75</v>
      </c>
      <c r="E52" s="9" t="s">
        <v>13</v>
      </c>
      <c r="F52" s="73" t="s">
        <v>85</v>
      </c>
      <c r="G52" s="10">
        <v>4</v>
      </c>
      <c r="H52" s="11">
        <v>3</v>
      </c>
      <c r="I52" s="12"/>
      <c r="J52" s="13"/>
      <c r="K52" s="49"/>
      <c r="L52" s="48" t="s">
        <v>112</v>
      </c>
      <c r="M52" s="91"/>
      <c r="N52" s="13"/>
      <c r="O52" s="229"/>
      <c r="P52" s="248"/>
      <c r="Q52" s="1"/>
      <c r="R52" s="1"/>
    </row>
    <row r="53" spans="1:18" ht="17.399999999999999" customHeight="1" x14ac:dyDescent="0.4">
      <c r="A53" s="1"/>
      <c r="B53" s="221"/>
      <c r="C53" s="301"/>
      <c r="D53" s="294" t="s">
        <v>15</v>
      </c>
      <c r="E53" s="50" t="s">
        <v>6</v>
      </c>
      <c r="F53" s="74" t="s">
        <v>86</v>
      </c>
      <c r="G53" s="51">
        <v>4</v>
      </c>
      <c r="H53" s="52">
        <v>3</v>
      </c>
      <c r="I53" s="12"/>
      <c r="J53" s="13"/>
      <c r="K53" s="14"/>
      <c r="L53" s="125"/>
      <c r="M53" s="127" t="s">
        <v>114</v>
      </c>
      <c r="N53" s="123"/>
      <c r="O53" s="201">
        <v>24</v>
      </c>
      <c r="P53" s="248"/>
      <c r="Q53" s="1"/>
      <c r="R53" s="1"/>
    </row>
    <row r="54" spans="1:18" ht="17.399999999999999" customHeight="1" x14ac:dyDescent="0.4">
      <c r="A54" s="1"/>
      <c r="B54" s="221"/>
      <c r="C54" s="301"/>
      <c r="D54" s="295"/>
      <c r="E54" s="44" t="s">
        <v>60</v>
      </c>
      <c r="F54" s="74" t="s">
        <v>87</v>
      </c>
      <c r="G54" s="45">
        <v>4</v>
      </c>
      <c r="H54" s="46">
        <v>3</v>
      </c>
      <c r="I54" s="12"/>
      <c r="J54" s="13"/>
      <c r="K54" s="12"/>
      <c r="L54" s="97"/>
      <c r="M54" s="128">
        <v>3</v>
      </c>
      <c r="N54" s="124"/>
      <c r="O54" s="202"/>
      <c r="P54" s="248"/>
      <c r="Q54" s="1"/>
      <c r="R54" s="1"/>
    </row>
    <row r="55" spans="1:18" ht="17.399999999999999" customHeight="1" x14ac:dyDescent="0.4">
      <c r="A55" s="1"/>
      <c r="B55" s="221"/>
      <c r="C55" s="301"/>
      <c r="D55" s="292" t="s">
        <v>17</v>
      </c>
      <c r="E55" s="87" t="s">
        <v>6</v>
      </c>
      <c r="F55" s="86" t="s">
        <v>88</v>
      </c>
      <c r="G55" s="45">
        <v>4</v>
      </c>
      <c r="H55" s="46">
        <v>3</v>
      </c>
      <c r="I55" s="12"/>
      <c r="J55" s="13"/>
      <c r="K55" s="12"/>
      <c r="L55" s="97"/>
      <c r="M55" s="129">
        <v>3</v>
      </c>
      <c r="N55" s="124"/>
      <c r="O55" s="202"/>
      <c r="P55" s="248"/>
      <c r="Q55" s="1"/>
      <c r="R55" s="1"/>
    </row>
    <row r="56" spans="1:18" ht="17.399999999999999" customHeight="1" x14ac:dyDescent="0.4">
      <c r="A56" s="1"/>
      <c r="B56" s="221"/>
      <c r="C56" s="301"/>
      <c r="D56" s="298"/>
      <c r="E56" s="87" t="s">
        <v>13</v>
      </c>
      <c r="F56" s="86" t="s">
        <v>80</v>
      </c>
      <c r="G56" s="45">
        <v>4</v>
      </c>
      <c r="H56" s="46">
        <v>3</v>
      </c>
      <c r="I56" s="12"/>
      <c r="J56" s="13"/>
      <c r="K56" s="12"/>
      <c r="L56" s="97"/>
      <c r="M56" s="129">
        <v>3</v>
      </c>
      <c r="N56" s="124"/>
      <c r="O56" s="202"/>
      <c r="P56" s="248"/>
      <c r="Q56" s="1"/>
      <c r="R56" s="1"/>
    </row>
    <row r="57" spans="1:18" ht="17.399999999999999" customHeight="1" x14ac:dyDescent="0.35">
      <c r="A57" s="1"/>
      <c r="B57" s="221"/>
      <c r="C57" s="301"/>
      <c r="D57" s="294" t="s">
        <v>18</v>
      </c>
      <c r="E57" s="44" t="s">
        <v>6</v>
      </c>
      <c r="F57" s="95" t="s">
        <v>32</v>
      </c>
      <c r="G57" s="45">
        <v>4</v>
      </c>
      <c r="H57" s="46">
        <v>3</v>
      </c>
      <c r="I57" s="12"/>
      <c r="J57" s="13"/>
      <c r="K57" s="12"/>
      <c r="L57" s="97"/>
      <c r="M57" s="129">
        <v>3</v>
      </c>
      <c r="N57" s="124"/>
      <c r="O57" s="202"/>
      <c r="P57" s="248"/>
      <c r="Q57" s="1"/>
      <c r="R57" s="1"/>
    </row>
    <row r="58" spans="1:18" ht="17.399999999999999" customHeight="1" x14ac:dyDescent="0.35">
      <c r="A58" s="1"/>
      <c r="B58" s="221"/>
      <c r="C58" s="301"/>
      <c r="D58" s="295"/>
      <c r="E58" s="44" t="s">
        <v>13</v>
      </c>
      <c r="F58" s="95" t="s">
        <v>89</v>
      </c>
      <c r="G58" s="45">
        <v>4</v>
      </c>
      <c r="H58" s="46">
        <v>3</v>
      </c>
      <c r="I58" s="12"/>
      <c r="J58" s="13"/>
      <c r="K58" s="12"/>
      <c r="L58" s="97"/>
      <c r="M58" s="129">
        <v>3</v>
      </c>
      <c r="N58" s="124"/>
      <c r="O58" s="202"/>
      <c r="P58" s="248"/>
      <c r="Q58" s="1"/>
      <c r="R58" s="1"/>
    </row>
    <row r="59" spans="1:18" ht="17.399999999999999" customHeight="1" x14ac:dyDescent="0.4">
      <c r="A59" s="1"/>
      <c r="B59" s="221"/>
      <c r="C59" s="301"/>
      <c r="D59" s="294" t="s">
        <v>20</v>
      </c>
      <c r="E59" s="44" t="s">
        <v>16</v>
      </c>
      <c r="F59" s="74" t="s">
        <v>90</v>
      </c>
      <c r="G59" s="45">
        <v>4</v>
      </c>
      <c r="H59" s="46">
        <v>3</v>
      </c>
      <c r="I59" s="12"/>
      <c r="J59" s="13"/>
      <c r="K59" s="12"/>
      <c r="L59" s="97"/>
      <c r="M59" s="129">
        <v>3</v>
      </c>
      <c r="N59" s="124"/>
      <c r="O59" s="202"/>
      <c r="P59" s="248"/>
      <c r="Q59" s="1"/>
      <c r="R59" s="1"/>
    </row>
    <row r="60" spans="1:18" ht="17.399999999999999" customHeight="1" x14ac:dyDescent="0.4">
      <c r="A60" s="1"/>
      <c r="B60" s="221"/>
      <c r="C60" s="301"/>
      <c r="D60" s="299"/>
      <c r="E60" s="44" t="s">
        <v>13</v>
      </c>
      <c r="F60" s="74" t="s">
        <v>91</v>
      </c>
      <c r="G60" s="45">
        <v>4</v>
      </c>
      <c r="H60" s="46">
        <v>3</v>
      </c>
      <c r="I60" s="12"/>
      <c r="J60" s="13"/>
      <c r="K60" s="12"/>
      <c r="L60" s="97"/>
      <c r="M60" s="129">
        <v>3</v>
      </c>
      <c r="N60" s="124"/>
      <c r="O60" s="202"/>
      <c r="P60" s="248"/>
      <c r="Q60" s="1"/>
      <c r="R60" s="1"/>
    </row>
    <row r="61" spans="1:18" ht="17.399999999999999" customHeight="1" x14ac:dyDescent="0.4">
      <c r="A61" s="1"/>
      <c r="B61" s="221"/>
      <c r="C61" s="301"/>
      <c r="D61" s="295"/>
      <c r="E61" s="44" t="s">
        <v>60</v>
      </c>
      <c r="F61" s="74" t="s">
        <v>92</v>
      </c>
      <c r="G61" s="45">
        <v>4</v>
      </c>
      <c r="H61" s="46">
        <v>3</v>
      </c>
      <c r="I61" s="55"/>
      <c r="J61" s="56"/>
      <c r="K61" s="55"/>
      <c r="L61" s="126"/>
      <c r="M61" s="129">
        <v>3</v>
      </c>
      <c r="N61" s="124"/>
      <c r="O61" s="202"/>
      <c r="P61" s="248"/>
      <c r="Q61" s="1"/>
      <c r="R61" s="1"/>
    </row>
    <row r="62" spans="1:18" ht="17.399999999999999" customHeight="1" x14ac:dyDescent="0.4">
      <c r="A62" s="1"/>
      <c r="B62" s="221"/>
      <c r="C62" s="301"/>
      <c r="D62" s="304" t="s">
        <v>19</v>
      </c>
      <c r="E62" s="108" t="s">
        <v>13</v>
      </c>
      <c r="F62" s="109" t="s">
        <v>107</v>
      </c>
      <c r="G62" s="45">
        <v>4</v>
      </c>
      <c r="H62" s="46">
        <v>3</v>
      </c>
      <c r="I62" s="55"/>
      <c r="J62" s="56"/>
      <c r="K62" s="55"/>
      <c r="L62" s="126"/>
      <c r="M62" s="129"/>
      <c r="N62" s="124"/>
      <c r="O62" s="202"/>
      <c r="P62" s="248"/>
      <c r="Q62" s="1"/>
      <c r="R62" s="1"/>
    </row>
    <row r="63" spans="1:18" ht="17.399999999999999" customHeight="1" x14ac:dyDescent="0.4">
      <c r="A63" s="1"/>
      <c r="B63" s="221"/>
      <c r="C63" s="301"/>
      <c r="D63" s="305"/>
      <c r="E63" s="108" t="s">
        <v>60</v>
      </c>
      <c r="F63" s="109" t="s">
        <v>109</v>
      </c>
      <c r="G63" s="51">
        <v>4</v>
      </c>
      <c r="H63" s="57">
        <v>3</v>
      </c>
      <c r="I63" s="58"/>
      <c r="J63" s="56"/>
      <c r="K63" s="55"/>
      <c r="L63" s="126"/>
      <c r="M63" s="129"/>
      <c r="N63" s="124"/>
      <c r="O63" s="202"/>
      <c r="P63" s="248"/>
      <c r="Q63" s="1"/>
      <c r="R63" s="1"/>
    </row>
    <row r="64" spans="1:18" ht="17.399999999999999" customHeight="1" x14ac:dyDescent="0.4">
      <c r="A64" s="1"/>
      <c r="B64" s="221"/>
      <c r="C64" s="301"/>
      <c r="D64" s="37" t="s">
        <v>35</v>
      </c>
      <c r="E64" s="44" t="s">
        <v>13</v>
      </c>
      <c r="F64" s="75" t="s">
        <v>93</v>
      </c>
      <c r="G64" s="44">
        <v>4</v>
      </c>
      <c r="H64" s="57">
        <v>3</v>
      </c>
      <c r="I64" s="58"/>
      <c r="J64" s="56"/>
      <c r="K64" s="55"/>
      <c r="L64" s="126"/>
      <c r="M64" s="129"/>
      <c r="N64" s="124"/>
      <c r="O64" s="202"/>
      <c r="P64" s="248"/>
      <c r="Q64" s="1"/>
      <c r="R64" s="1"/>
    </row>
    <row r="65" spans="1:18" ht="17.399999999999999" customHeight="1" x14ac:dyDescent="0.4">
      <c r="A65" s="1"/>
      <c r="B65" s="221"/>
      <c r="C65" s="301"/>
      <c r="D65" s="41" t="s">
        <v>75</v>
      </c>
      <c r="E65" s="44" t="s">
        <v>60</v>
      </c>
      <c r="F65" s="75" t="s">
        <v>94</v>
      </c>
      <c r="G65" s="44">
        <v>4</v>
      </c>
      <c r="H65" s="57">
        <v>3</v>
      </c>
      <c r="I65" s="58"/>
      <c r="J65" s="56"/>
      <c r="K65" s="55"/>
      <c r="L65" s="126"/>
      <c r="M65" s="129"/>
      <c r="N65" s="124"/>
      <c r="O65" s="202"/>
      <c r="P65" s="248"/>
      <c r="Q65" s="1"/>
      <c r="R65" s="1"/>
    </row>
    <row r="66" spans="1:18" ht="17.399999999999999" customHeight="1" thickBot="1" x14ac:dyDescent="0.45">
      <c r="A66" s="1"/>
      <c r="B66" s="221"/>
      <c r="C66" s="301"/>
      <c r="D66" s="114" t="s">
        <v>37</v>
      </c>
      <c r="E66" s="115" t="s">
        <v>13</v>
      </c>
      <c r="F66" s="116" t="s">
        <v>116</v>
      </c>
      <c r="G66" s="44">
        <v>3</v>
      </c>
      <c r="H66" s="57">
        <v>3</v>
      </c>
      <c r="I66" s="58"/>
      <c r="J66" s="56"/>
      <c r="K66" s="55"/>
      <c r="L66" s="126"/>
      <c r="M66" s="130"/>
      <c r="N66" s="132"/>
      <c r="O66" s="241"/>
      <c r="P66" s="248"/>
      <c r="Q66" s="1"/>
      <c r="R66" s="1"/>
    </row>
    <row r="67" spans="1:18" ht="17.399999999999999" customHeight="1" x14ac:dyDescent="0.4">
      <c r="A67" s="1"/>
      <c r="B67" s="221"/>
      <c r="C67" s="301"/>
      <c r="D67" s="96" t="s">
        <v>15</v>
      </c>
      <c r="E67" s="16" t="s">
        <v>60</v>
      </c>
      <c r="F67" s="75" t="s">
        <v>110</v>
      </c>
      <c r="G67" s="16">
        <v>4</v>
      </c>
      <c r="H67" s="54">
        <v>3</v>
      </c>
      <c r="I67" s="58"/>
      <c r="J67" s="56"/>
      <c r="K67" s="55"/>
      <c r="L67" s="56"/>
      <c r="M67" s="131"/>
      <c r="N67" s="133" t="s">
        <v>114</v>
      </c>
      <c r="O67" s="300">
        <v>24</v>
      </c>
      <c r="P67" s="248"/>
      <c r="Q67" s="1"/>
      <c r="R67" s="1"/>
    </row>
    <row r="68" spans="1:18" ht="17.399999999999999" customHeight="1" x14ac:dyDescent="0.4">
      <c r="A68" s="1"/>
      <c r="B68" s="221"/>
      <c r="C68" s="301"/>
      <c r="D68" s="103" t="s">
        <v>17</v>
      </c>
      <c r="E68" s="88" t="s">
        <v>60</v>
      </c>
      <c r="F68" s="89" t="s">
        <v>111</v>
      </c>
      <c r="G68" s="16">
        <v>4</v>
      </c>
      <c r="H68" s="54">
        <v>3</v>
      </c>
      <c r="I68" s="58"/>
      <c r="J68" s="56"/>
      <c r="K68" s="55"/>
      <c r="L68" s="56"/>
      <c r="M68" s="131"/>
      <c r="N68" s="134">
        <v>3</v>
      </c>
      <c r="O68" s="291"/>
      <c r="P68" s="248"/>
      <c r="Q68" s="1"/>
      <c r="R68" s="1"/>
    </row>
    <row r="69" spans="1:18" ht="17.399999999999999" customHeight="1" x14ac:dyDescent="0.4">
      <c r="A69" s="1"/>
      <c r="B69" s="221"/>
      <c r="C69" s="301"/>
      <c r="D69" s="306" t="s">
        <v>18</v>
      </c>
      <c r="E69" s="16" t="s">
        <v>13</v>
      </c>
      <c r="F69" s="76" t="s">
        <v>95</v>
      </c>
      <c r="G69" s="16">
        <v>4</v>
      </c>
      <c r="H69" s="54">
        <v>3</v>
      </c>
      <c r="I69" s="58"/>
      <c r="J69" s="56"/>
      <c r="K69" s="55"/>
      <c r="L69" s="56"/>
      <c r="M69" s="49"/>
      <c r="N69" s="134">
        <v>3</v>
      </c>
      <c r="O69" s="291"/>
      <c r="P69" s="248"/>
      <c r="Q69" s="1"/>
      <c r="R69" s="1"/>
    </row>
    <row r="70" spans="1:18" ht="17.399999999999999" customHeight="1" x14ac:dyDescent="0.4">
      <c r="A70" s="1"/>
      <c r="B70" s="221"/>
      <c r="C70" s="301"/>
      <c r="D70" s="307"/>
      <c r="E70" s="16" t="s">
        <v>60</v>
      </c>
      <c r="F70" s="76" t="s">
        <v>96</v>
      </c>
      <c r="G70" s="16">
        <v>4</v>
      </c>
      <c r="H70" s="54">
        <v>3</v>
      </c>
      <c r="I70" s="58"/>
      <c r="J70" s="56"/>
      <c r="K70" s="55"/>
      <c r="L70" s="56"/>
      <c r="M70" s="49"/>
      <c r="N70" s="134">
        <v>3</v>
      </c>
      <c r="O70" s="291"/>
      <c r="P70" s="248"/>
      <c r="Q70" s="1"/>
      <c r="R70" s="1"/>
    </row>
    <row r="71" spans="1:18" ht="17.399999999999999" customHeight="1" x14ac:dyDescent="0.4">
      <c r="A71" s="1"/>
      <c r="B71" s="221"/>
      <c r="C71" s="301"/>
      <c r="D71" s="308" t="s">
        <v>10</v>
      </c>
      <c r="E71" s="16" t="s">
        <v>13</v>
      </c>
      <c r="F71" s="76" t="s">
        <v>97</v>
      </c>
      <c r="G71" s="16">
        <v>4</v>
      </c>
      <c r="H71" s="54">
        <v>3</v>
      </c>
      <c r="I71" s="58"/>
      <c r="J71" s="56"/>
      <c r="K71" s="55"/>
      <c r="L71" s="56"/>
      <c r="M71" s="49"/>
      <c r="N71" s="134">
        <v>3</v>
      </c>
      <c r="O71" s="291"/>
      <c r="P71" s="248"/>
      <c r="Q71" s="1"/>
      <c r="R71" s="1"/>
    </row>
    <row r="72" spans="1:18" ht="17.399999999999999" customHeight="1" x14ac:dyDescent="0.4">
      <c r="A72" s="1"/>
      <c r="B72" s="221"/>
      <c r="C72" s="301"/>
      <c r="D72" s="309"/>
      <c r="E72" s="16" t="s">
        <v>60</v>
      </c>
      <c r="F72" s="76" t="s">
        <v>98</v>
      </c>
      <c r="G72" s="16">
        <v>4</v>
      </c>
      <c r="H72" s="54">
        <v>3</v>
      </c>
      <c r="I72" s="61"/>
      <c r="J72" s="13"/>
      <c r="K72" s="12"/>
      <c r="L72" s="13"/>
      <c r="M72" s="49"/>
      <c r="N72" s="134">
        <v>3</v>
      </c>
      <c r="O72" s="291"/>
      <c r="P72" s="248"/>
      <c r="Q72" s="1"/>
      <c r="R72" s="1"/>
    </row>
    <row r="73" spans="1:18" ht="17.399999999999999" customHeight="1" x14ac:dyDescent="0.4">
      <c r="A73" s="1"/>
      <c r="B73" s="221"/>
      <c r="C73" s="301"/>
      <c r="D73" s="110" t="s">
        <v>19</v>
      </c>
      <c r="E73" s="111" t="s">
        <v>60</v>
      </c>
      <c r="F73" s="112" t="s">
        <v>109</v>
      </c>
      <c r="G73" s="16">
        <v>4</v>
      </c>
      <c r="H73" s="54">
        <v>3</v>
      </c>
      <c r="I73" s="61"/>
      <c r="J73" s="13"/>
      <c r="K73" s="12"/>
      <c r="L73" s="13"/>
      <c r="M73" s="49"/>
      <c r="N73" s="134">
        <v>3</v>
      </c>
      <c r="O73" s="291"/>
      <c r="P73" s="248"/>
      <c r="Q73" s="1"/>
      <c r="R73" s="1"/>
    </row>
    <row r="74" spans="1:18" ht="17.399999999999999" customHeight="1" x14ac:dyDescent="0.4">
      <c r="A74" s="1"/>
      <c r="B74" s="221"/>
      <c r="C74" s="301"/>
      <c r="D74" s="90" t="s">
        <v>35</v>
      </c>
      <c r="E74" s="16" t="s">
        <v>60</v>
      </c>
      <c r="F74" s="76" t="s">
        <v>99</v>
      </c>
      <c r="G74" s="16">
        <v>4</v>
      </c>
      <c r="H74" s="54">
        <v>3</v>
      </c>
      <c r="I74" s="61"/>
      <c r="J74" s="13"/>
      <c r="K74" s="12"/>
      <c r="L74" s="13"/>
      <c r="M74" s="49"/>
      <c r="N74" s="134">
        <v>3</v>
      </c>
      <c r="O74" s="291"/>
      <c r="P74" s="248"/>
      <c r="Q74" s="1"/>
      <c r="R74" s="1"/>
    </row>
    <row r="75" spans="1:18" ht="17.399999999999999" customHeight="1" x14ac:dyDescent="0.4">
      <c r="A75" s="1"/>
      <c r="B75" s="221"/>
      <c r="C75" s="301"/>
      <c r="D75" s="210" t="s">
        <v>75</v>
      </c>
      <c r="E75" s="16" t="s">
        <v>13</v>
      </c>
      <c r="F75" s="76" t="s">
        <v>100</v>
      </c>
      <c r="G75" s="16">
        <v>4</v>
      </c>
      <c r="H75" s="54">
        <v>3</v>
      </c>
      <c r="I75" s="61"/>
      <c r="J75" s="13"/>
      <c r="K75" s="12"/>
      <c r="L75" s="13"/>
      <c r="M75" s="49"/>
      <c r="N75" s="134">
        <v>3</v>
      </c>
      <c r="O75" s="291"/>
      <c r="P75" s="248"/>
      <c r="Q75" s="1"/>
      <c r="R75" s="1"/>
    </row>
    <row r="76" spans="1:18" ht="17.399999999999999" customHeight="1" x14ac:dyDescent="0.4">
      <c r="A76" s="1"/>
      <c r="B76" s="221"/>
      <c r="C76" s="301"/>
      <c r="D76" s="224"/>
      <c r="E76" s="16" t="s">
        <v>60</v>
      </c>
      <c r="F76" s="76" t="s">
        <v>101</v>
      </c>
      <c r="G76" s="16">
        <v>4</v>
      </c>
      <c r="H76" s="54">
        <v>3</v>
      </c>
      <c r="I76" s="61"/>
      <c r="J76" s="13"/>
      <c r="K76" s="12"/>
      <c r="L76" s="13"/>
      <c r="M76" s="49"/>
      <c r="N76" s="134"/>
      <c r="O76" s="291"/>
      <c r="P76" s="248"/>
      <c r="Q76" s="1"/>
      <c r="R76" s="1"/>
    </row>
    <row r="77" spans="1:18" ht="17.399999999999999" customHeight="1" thickBot="1" x14ac:dyDescent="0.45">
      <c r="A77" s="1"/>
      <c r="B77" s="221"/>
      <c r="C77" s="312"/>
      <c r="D77" s="117" t="s">
        <v>37</v>
      </c>
      <c r="E77" s="118" t="s">
        <v>60</v>
      </c>
      <c r="F77" s="119" t="s">
        <v>115</v>
      </c>
      <c r="G77" s="16">
        <v>3</v>
      </c>
      <c r="H77" s="54">
        <v>3</v>
      </c>
      <c r="I77" s="61"/>
      <c r="J77" s="13"/>
      <c r="K77" s="12"/>
      <c r="L77" s="13"/>
      <c r="M77" s="49"/>
      <c r="N77" s="135"/>
      <c r="O77" s="311"/>
      <c r="P77" s="248"/>
      <c r="Q77" s="1"/>
      <c r="R77" s="1"/>
    </row>
    <row r="78" spans="1:18" ht="17.399999999999999" customHeight="1" x14ac:dyDescent="0.4">
      <c r="A78" s="1"/>
      <c r="B78" s="230" t="s">
        <v>39</v>
      </c>
      <c r="C78" s="310"/>
      <c r="D78" s="231"/>
      <c r="E78" s="231"/>
      <c r="F78" s="231"/>
      <c r="G78" s="231"/>
      <c r="H78" s="232"/>
      <c r="I78" s="7">
        <v>30</v>
      </c>
      <c r="J78" s="8">
        <v>30</v>
      </c>
      <c r="K78" s="62">
        <v>31</v>
      </c>
      <c r="L78" s="4">
        <v>31</v>
      </c>
      <c r="M78" s="4">
        <v>26</v>
      </c>
      <c r="N78" s="30">
        <v>26</v>
      </c>
      <c r="O78" s="4">
        <f>SUM(I78:N78)</f>
        <v>174</v>
      </c>
      <c r="P78" s="8">
        <f>SUM(P5:P30)</f>
        <v>84</v>
      </c>
      <c r="Q78" s="1"/>
      <c r="R78" s="1"/>
    </row>
    <row r="79" spans="1:18" ht="17.399999999999999" customHeight="1" x14ac:dyDescent="0.4">
      <c r="A79" s="1"/>
      <c r="B79" s="233" t="s">
        <v>14</v>
      </c>
      <c r="C79" s="302"/>
      <c r="D79" s="234"/>
      <c r="E79" s="234"/>
      <c r="F79" s="234"/>
      <c r="G79" s="234"/>
      <c r="H79" s="235"/>
      <c r="I79" s="12">
        <v>3</v>
      </c>
      <c r="J79" s="13">
        <v>3</v>
      </c>
      <c r="K79" s="61">
        <v>3</v>
      </c>
      <c r="L79" s="9">
        <v>3</v>
      </c>
      <c r="M79" s="9">
        <v>3</v>
      </c>
      <c r="N79" s="9">
        <v>3</v>
      </c>
      <c r="O79" s="9">
        <f>SUM(I79:N79)</f>
        <v>18</v>
      </c>
      <c r="P79" s="13">
        <v>18</v>
      </c>
      <c r="Q79" s="1"/>
      <c r="R79" s="1"/>
    </row>
    <row r="80" spans="1:18" ht="17.399999999999999" customHeight="1" thickBot="1" x14ac:dyDescent="0.45">
      <c r="A80" s="1"/>
      <c r="B80" s="198" t="s">
        <v>40</v>
      </c>
      <c r="C80" s="303"/>
      <c r="D80" s="199"/>
      <c r="E80" s="199"/>
      <c r="F80" s="199"/>
      <c r="G80" s="199"/>
      <c r="H80" s="200"/>
      <c r="I80" s="23">
        <f t="shared" ref="I80:N80" si="0">I78+I79</f>
        <v>33</v>
      </c>
      <c r="J80" s="24">
        <f t="shared" si="0"/>
        <v>33</v>
      </c>
      <c r="K80" s="63">
        <f t="shared" si="0"/>
        <v>34</v>
      </c>
      <c r="L80" s="20">
        <f t="shared" si="0"/>
        <v>34</v>
      </c>
      <c r="M80" s="20">
        <f t="shared" si="0"/>
        <v>29</v>
      </c>
      <c r="N80" s="20">
        <f t="shared" si="0"/>
        <v>29</v>
      </c>
      <c r="O80" s="20">
        <f>SUM(I80:N80)</f>
        <v>192</v>
      </c>
      <c r="P80" s="24"/>
      <c r="Q80" s="1"/>
      <c r="R80" s="1"/>
    </row>
    <row r="81" spans="1:18" x14ac:dyDescent="0.4">
      <c r="A81" s="1"/>
      <c r="B81" s="64"/>
      <c r="C81" s="64"/>
      <c r="D81" s="43"/>
      <c r="E81" s="64"/>
      <c r="F81" s="43"/>
      <c r="G81" s="64"/>
      <c r="H81" s="64"/>
      <c r="I81" s="64"/>
      <c r="J81" s="64"/>
      <c r="K81" s="43"/>
      <c r="L81" s="43"/>
      <c r="M81" s="64"/>
      <c r="N81" s="64"/>
      <c r="O81" s="43"/>
      <c r="P81" s="43"/>
      <c r="Q81" s="1"/>
      <c r="R81" s="1"/>
    </row>
    <row r="82" spans="1:18" x14ac:dyDescent="0.4">
      <c r="A82" s="1"/>
      <c r="B82" s="64"/>
      <c r="C82" s="64"/>
      <c r="D82" s="43"/>
      <c r="E82" s="64"/>
      <c r="F82" s="43"/>
      <c r="G82" s="64"/>
      <c r="H82" s="64"/>
      <c r="I82" s="64"/>
      <c r="J82" s="64"/>
      <c r="K82" s="43"/>
      <c r="L82" s="43"/>
      <c r="M82" s="64"/>
      <c r="N82" s="64"/>
      <c r="O82" s="43"/>
      <c r="P82" s="43"/>
      <c r="Q82" s="1"/>
      <c r="R82" s="1"/>
    </row>
    <row r="83" spans="1:18" x14ac:dyDescent="0.4">
      <c r="A83" s="1"/>
      <c r="B83" s="64"/>
      <c r="C83" s="64"/>
      <c r="D83" s="43"/>
      <c r="E83" s="64"/>
      <c r="F83" s="43"/>
      <c r="G83" s="64"/>
      <c r="H83" s="64"/>
      <c r="I83" s="64"/>
      <c r="J83" s="64"/>
      <c r="K83" s="43"/>
      <c r="L83" s="43"/>
      <c r="M83" s="64"/>
      <c r="N83" s="64"/>
      <c r="O83" s="43"/>
      <c r="P83" s="43"/>
      <c r="Q83" s="1"/>
      <c r="R83" s="1"/>
    </row>
    <row r="84" spans="1:18" x14ac:dyDescent="0.4">
      <c r="A84" s="1"/>
      <c r="B84" s="64"/>
      <c r="D84" s="43"/>
      <c r="E84" s="64"/>
      <c r="F84" s="43"/>
      <c r="G84" s="64"/>
      <c r="H84" s="64"/>
      <c r="I84" s="64"/>
      <c r="J84" s="64"/>
      <c r="K84" s="43"/>
      <c r="L84" s="43"/>
      <c r="M84" s="64"/>
      <c r="N84" s="64"/>
      <c r="O84" s="43"/>
      <c r="P84" s="43"/>
      <c r="Q84" s="1"/>
      <c r="R84" s="1"/>
    </row>
  </sheetData>
  <mergeCells count="69">
    <mergeCell ref="C31:C77"/>
    <mergeCell ref="C5:C30"/>
    <mergeCell ref="B1:P1"/>
    <mergeCell ref="B2:P2"/>
    <mergeCell ref="B3:B4"/>
    <mergeCell ref="D3:D4"/>
    <mergeCell ref="E3:F4"/>
    <mergeCell ref="G3:G4"/>
    <mergeCell ref="H3:H4"/>
    <mergeCell ref="I3:J3"/>
    <mergeCell ref="K3:L3"/>
    <mergeCell ref="M3:N3"/>
    <mergeCell ref="O3:O4"/>
    <mergeCell ref="P3:P4"/>
    <mergeCell ref="C3:C4"/>
    <mergeCell ref="B5:B30"/>
    <mergeCell ref="D5:D6"/>
    <mergeCell ref="O5:O6"/>
    <mergeCell ref="P5:P6"/>
    <mergeCell ref="D7:D8"/>
    <mergeCell ref="O7:O8"/>
    <mergeCell ref="P7:P8"/>
    <mergeCell ref="D9:D10"/>
    <mergeCell ref="O9:O10"/>
    <mergeCell ref="P9:P10"/>
    <mergeCell ref="D11:D14"/>
    <mergeCell ref="O11:O12"/>
    <mergeCell ref="P11:P12"/>
    <mergeCell ref="O13:O14"/>
    <mergeCell ref="P13:P14"/>
    <mergeCell ref="D15:D18"/>
    <mergeCell ref="O15:O18"/>
    <mergeCell ref="P15:P18"/>
    <mergeCell ref="D19:D24"/>
    <mergeCell ref="O19:O24"/>
    <mergeCell ref="P19:P24"/>
    <mergeCell ref="D25:D28"/>
    <mergeCell ref="O25:O28"/>
    <mergeCell ref="P25:P28"/>
    <mergeCell ref="D29:D30"/>
    <mergeCell ref="O29:O30"/>
    <mergeCell ref="P29:P30"/>
    <mergeCell ref="P31:P77"/>
    <mergeCell ref="D33:D34"/>
    <mergeCell ref="D35:D36"/>
    <mergeCell ref="D37:D38"/>
    <mergeCell ref="O40:O41"/>
    <mergeCell ref="D42:D43"/>
    <mergeCell ref="O42:O50"/>
    <mergeCell ref="D44:D45"/>
    <mergeCell ref="D46:D47"/>
    <mergeCell ref="D48:D49"/>
    <mergeCell ref="O51:O52"/>
    <mergeCell ref="B79:H79"/>
    <mergeCell ref="B80:H80"/>
    <mergeCell ref="D62:D63"/>
    <mergeCell ref="O53:O66"/>
    <mergeCell ref="D75:D76"/>
    <mergeCell ref="O67:O77"/>
    <mergeCell ref="D69:D70"/>
    <mergeCell ref="D71:D72"/>
    <mergeCell ref="B78:H78"/>
    <mergeCell ref="D53:D54"/>
    <mergeCell ref="D55:D56"/>
    <mergeCell ref="D57:D58"/>
    <mergeCell ref="D59:D61"/>
    <mergeCell ref="B31:B77"/>
    <mergeCell ref="D31:D32"/>
    <mergeCell ref="O31:O39"/>
  </mergeCells>
  <phoneticPr fontId="1" type="noConversion"/>
  <pageMargins left="0.7" right="0.7" top="0.75" bottom="0.75" header="0.3" footer="0.3"/>
  <pageSetup paperSize="9" scale="5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0782-4FB9-4C17-9882-5D3DA9FE9E6C}">
  <sheetPr>
    <pageSetUpPr fitToPage="1"/>
  </sheetPr>
  <dimension ref="A1:R83"/>
  <sheetViews>
    <sheetView topLeftCell="B1" zoomScale="80" zoomScaleNormal="80" workbookViewId="0">
      <selection activeCell="R12" sqref="R12"/>
    </sheetView>
  </sheetViews>
  <sheetFormatPr defaultRowHeight="17.399999999999999" x14ac:dyDescent="0.4"/>
  <cols>
    <col min="1" max="1" width="1.8984375" customWidth="1"/>
    <col min="2" max="2" width="4" customWidth="1"/>
    <col min="3" max="3" width="14.3984375" customWidth="1"/>
    <col min="4" max="4" width="9.3984375" customWidth="1"/>
    <col min="5" max="5" width="53.8984375" customWidth="1"/>
    <col min="6" max="7" width="4.3984375" customWidth="1"/>
    <col min="8" max="13" width="5.19921875" customWidth="1"/>
    <col min="14" max="14" width="4.3984375" customWidth="1"/>
    <col min="15" max="15" width="4.69921875" customWidth="1"/>
    <col min="16" max="16" width="2.796875" customWidth="1"/>
  </cols>
  <sheetData>
    <row r="1" spans="1:17" ht="31.95" customHeight="1" x14ac:dyDescent="0.4">
      <c r="A1" s="1"/>
      <c r="B1" s="261" t="s">
        <v>117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1"/>
      <c r="Q1" s="1"/>
    </row>
    <row r="2" spans="1:17" ht="22.2" customHeight="1" thickBot="1" x14ac:dyDescent="0.45">
      <c r="A2" s="1"/>
      <c r="B2" s="262" t="s">
        <v>22</v>
      </c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1"/>
      <c r="Q2" s="1"/>
    </row>
    <row r="3" spans="1:17" ht="19.95" customHeight="1" x14ac:dyDescent="0.4">
      <c r="A3" s="1"/>
      <c r="B3" s="264" t="s">
        <v>25</v>
      </c>
      <c r="C3" s="266" t="s">
        <v>26</v>
      </c>
      <c r="D3" s="266" t="s">
        <v>0</v>
      </c>
      <c r="E3" s="266"/>
      <c r="F3" s="266" t="s">
        <v>23</v>
      </c>
      <c r="G3" s="268" t="s">
        <v>102</v>
      </c>
      <c r="H3" s="270" t="s">
        <v>27</v>
      </c>
      <c r="I3" s="271"/>
      <c r="J3" s="270" t="s">
        <v>1</v>
      </c>
      <c r="K3" s="271"/>
      <c r="L3" s="270" t="s">
        <v>2</v>
      </c>
      <c r="M3" s="271"/>
      <c r="N3" s="272" t="s">
        <v>41</v>
      </c>
      <c r="O3" s="274" t="s">
        <v>24</v>
      </c>
      <c r="P3" s="1"/>
      <c r="Q3" s="1"/>
    </row>
    <row r="4" spans="1:17" ht="19.95" customHeight="1" thickBot="1" x14ac:dyDescent="0.45">
      <c r="A4" s="1"/>
      <c r="B4" s="265"/>
      <c r="C4" s="267"/>
      <c r="D4" s="267"/>
      <c r="E4" s="267"/>
      <c r="F4" s="267"/>
      <c r="G4" s="269"/>
      <c r="H4" s="2" t="s">
        <v>3</v>
      </c>
      <c r="I4" s="3" t="s">
        <v>4</v>
      </c>
      <c r="J4" s="2" t="s">
        <v>3</v>
      </c>
      <c r="K4" s="3" t="s">
        <v>4</v>
      </c>
      <c r="L4" s="2" t="s">
        <v>3</v>
      </c>
      <c r="M4" s="3" t="s">
        <v>4</v>
      </c>
      <c r="N4" s="273"/>
      <c r="O4" s="275"/>
      <c r="P4" s="1"/>
      <c r="Q4" s="1"/>
    </row>
    <row r="5" spans="1:17" ht="16.5" customHeight="1" x14ac:dyDescent="0.4">
      <c r="A5" s="1"/>
      <c r="B5" s="220" t="s">
        <v>28</v>
      </c>
      <c r="C5" s="260" t="s">
        <v>5</v>
      </c>
      <c r="D5" s="4" t="s">
        <v>29</v>
      </c>
      <c r="E5" s="65" t="s">
        <v>42</v>
      </c>
      <c r="F5" s="5">
        <v>4</v>
      </c>
      <c r="G5" s="6">
        <v>4</v>
      </c>
      <c r="H5" s="7">
        <v>4</v>
      </c>
      <c r="I5" s="8"/>
      <c r="J5" s="7"/>
      <c r="K5" s="8"/>
      <c r="L5" s="7"/>
      <c r="M5" s="8"/>
      <c r="N5" s="225">
        <v>8</v>
      </c>
      <c r="O5" s="253">
        <v>8</v>
      </c>
      <c r="P5" s="1"/>
      <c r="Q5" s="1"/>
    </row>
    <row r="6" spans="1:17" ht="16.5" customHeight="1" x14ac:dyDescent="0.4">
      <c r="A6" s="1"/>
      <c r="B6" s="221"/>
      <c r="C6" s="259"/>
      <c r="D6" s="9" t="s">
        <v>29</v>
      </c>
      <c r="E6" s="66" t="s">
        <v>43</v>
      </c>
      <c r="F6" s="10">
        <v>4</v>
      </c>
      <c r="G6" s="11">
        <v>4</v>
      </c>
      <c r="H6" s="12"/>
      <c r="I6" s="13">
        <v>4</v>
      </c>
      <c r="J6" s="12"/>
      <c r="K6" s="13"/>
      <c r="L6" s="12"/>
      <c r="M6" s="13"/>
      <c r="N6" s="202"/>
      <c r="O6" s="248"/>
      <c r="P6" s="1"/>
      <c r="Q6" s="1"/>
    </row>
    <row r="7" spans="1:17" ht="16.5" customHeight="1" x14ac:dyDescent="0.4">
      <c r="A7" s="1"/>
      <c r="B7" s="221"/>
      <c r="C7" s="259" t="s">
        <v>8</v>
      </c>
      <c r="D7" s="9" t="s">
        <v>29</v>
      </c>
      <c r="E7" s="66" t="s">
        <v>44</v>
      </c>
      <c r="F7" s="10">
        <v>4</v>
      </c>
      <c r="G7" s="11">
        <v>4</v>
      </c>
      <c r="H7" s="12">
        <v>4</v>
      </c>
      <c r="I7" s="13"/>
      <c r="J7" s="12"/>
      <c r="K7" s="13"/>
      <c r="L7" s="12"/>
      <c r="M7" s="13"/>
      <c r="N7" s="201">
        <v>8</v>
      </c>
      <c r="O7" s="247">
        <v>8</v>
      </c>
      <c r="P7" s="1"/>
      <c r="Q7" s="1"/>
    </row>
    <row r="8" spans="1:17" ht="16.5" customHeight="1" x14ac:dyDescent="0.4">
      <c r="A8" s="1"/>
      <c r="B8" s="221"/>
      <c r="C8" s="259"/>
      <c r="D8" s="9" t="s">
        <v>29</v>
      </c>
      <c r="E8" s="66" t="s">
        <v>45</v>
      </c>
      <c r="F8" s="10">
        <v>4</v>
      </c>
      <c r="G8" s="11">
        <v>4</v>
      </c>
      <c r="H8" s="12"/>
      <c r="I8" s="13">
        <v>4</v>
      </c>
      <c r="J8" s="12"/>
      <c r="K8" s="13"/>
      <c r="L8" s="12"/>
      <c r="M8" s="13"/>
      <c r="N8" s="202"/>
      <c r="O8" s="248"/>
      <c r="P8" s="1"/>
      <c r="Q8" s="1"/>
    </row>
    <row r="9" spans="1:17" ht="16.5" customHeight="1" x14ac:dyDescent="0.4">
      <c r="A9" s="1"/>
      <c r="B9" s="221"/>
      <c r="C9" s="259" t="s">
        <v>9</v>
      </c>
      <c r="D9" s="9" t="s">
        <v>29</v>
      </c>
      <c r="E9" s="66" t="s">
        <v>46</v>
      </c>
      <c r="F9" s="10">
        <v>4</v>
      </c>
      <c r="G9" s="11">
        <v>4</v>
      </c>
      <c r="H9" s="12">
        <v>4</v>
      </c>
      <c r="I9" s="13"/>
      <c r="J9" s="12"/>
      <c r="K9" s="13"/>
      <c r="L9" s="12"/>
      <c r="M9" s="13"/>
      <c r="N9" s="201">
        <v>8</v>
      </c>
      <c r="O9" s="247">
        <v>8</v>
      </c>
      <c r="P9" s="1"/>
      <c r="Q9" s="1"/>
    </row>
    <row r="10" spans="1:17" ht="16.5" customHeight="1" x14ac:dyDescent="0.4">
      <c r="A10" s="1"/>
      <c r="B10" s="221"/>
      <c r="C10" s="259"/>
      <c r="D10" s="9" t="s">
        <v>29</v>
      </c>
      <c r="E10" s="66" t="s">
        <v>47</v>
      </c>
      <c r="F10" s="10">
        <v>4</v>
      </c>
      <c r="G10" s="11">
        <v>4</v>
      </c>
      <c r="H10" s="12"/>
      <c r="I10" s="13">
        <v>4</v>
      </c>
      <c r="J10" s="14"/>
      <c r="K10" s="15"/>
      <c r="L10" s="14"/>
      <c r="M10" s="15"/>
      <c r="N10" s="202"/>
      <c r="O10" s="248"/>
      <c r="P10" s="1"/>
      <c r="Q10" s="1"/>
    </row>
    <row r="11" spans="1:17" ht="16.5" customHeight="1" x14ac:dyDescent="0.4">
      <c r="A11" s="1"/>
      <c r="B11" s="221"/>
      <c r="C11" s="210" t="s">
        <v>10</v>
      </c>
      <c r="D11" s="9" t="s">
        <v>29</v>
      </c>
      <c r="E11" s="66" t="s">
        <v>48</v>
      </c>
      <c r="F11" s="10">
        <v>4</v>
      </c>
      <c r="G11" s="11">
        <v>4</v>
      </c>
      <c r="H11" s="12">
        <v>4</v>
      </c>
      <c r="I11" s="13"/>
      <c r="J11" s="14"/>
      <c r="K11" s="15"/>
      <c r="L11" s="14"/>
      <c r="M11" s="15"/>
      <c r="N11" s="201">
        <v>8</v>
      </c>
      <c r="O11" s="257">
        <v>8</v>
      </c>
      <c r="P11" s="1"/>
      <c r="Q11" s="1"/>
    </row>
    <row r="12" spans="1:17" ht="16.5" customHeight="1" x14ac:dyDescent="0.4">
      <c r="A12" s="1"/>
      <c r="B12" s="221"/>
      <c r="C12" s="246"/>
      <c r="D12" s="9" t="s">
        <v>29</v>
      </c>
      <c r="E12" s="66" t="s">
        <v>49</v>
      </c>
      <c r="F12" s="10">
        <v>4</v>
      </c>
      <c r="G12" s="11">
        <v>4</v>
      </c>
      <c r="H12" s="12"/>
      <c r="I12" s="13">
        <v>4</v>
      </c>
      <c r="J12" s="14"/>
      <c r="K12" s="15"/>
      <c r="L12" s="14"/>
      <c r="M12" s="15"/>
      <c r="N12" s="241"/>
      <c r="O12" s="258"/>
      <c r="P12" s="1"/>
      <c r="Q12" s="1"/>
    </row>
    <row r="13" spans="1:17" ht="16.5" customHeight="1" x14ac:dyDescent="0.4">
      <c r="A13" s="1"/>
      <c r="B13" s="221"/>
      <c r="C13" s="246"/>
      <c r="D13" s="9" t="s">
        <v>29</v>
      </c>
      <c r="E13" s="66" t="s">
        <v>50</v>
      </c>
      <c r="F13" s="10">
        <v>3</v>
      </c>
      <c r="G13" s="11">
        <v>3</v>
      </c>
      <c r="H13" s="12">
        <v>3</v>
      </c>
      <c r="I13" s="13"/>
      <c r="J13" s="14"/>
      <c r="K13" s="15"/>
      <c r="L13" s="14"/>
      <c r="M13" s="15"/>
      <c r="N13" s="201">
        <v>6</v>
      </c>
      <c r="O13" s="257">
        <v>6</v>
      </c>
      <c r="P13" s="1"/>
      <c r="Q13" s="1"/>
    </row>
    <row r="14" spans="1:17" ht="16.5" customHeight="1" x14ac:dyDescent="0.4">
      <c r="A14" s="1"/>
      <c r="B14" s="221"/>
      <c r="C14" s="224"/>
      <c r="D14" s="9" t="s">
        <v>29</v>
      </c>
      <c r="E14" s="66" t="s">
        <v>51</v>
      </c>
      <c r="F14" s="10">
        <v>3</v>
      </c>
      <c r="G14" s="11">
        <v>3</v>
      </c>
      <c r="H14" s="12"/>
      <c r="I14" s="13">
        <v>3</v>
      </c>
      <c r="J14" s="14"/>
      <c r="K14" s="15"/>
      <c r="L14" s="14"/>
      <c r="M14" s="15"/>
      <c r="N14" s="241"/>
      <c r="O14" s="258"/>
      <c r="P14" s="1"/>
      <c r="Q14" s="1"/>
    </row>
    <row r="15" spans="1:17" ht="16.5" customHeight="1" x14ac:dyDescent="0.4">
      <c r="A15" s="1"/>
      <c r="B15" s="221"/>
      <c r="C15" s="210" t="s">
        <v>19</v>
      </c>
      <c r="D15" s="9" t="s">
        <v>29</v>
      </c>
      <c r="E15" s="67" t="s">
        <v>52</v>
      </c>
      <c r="F15" s="10">
        <v>4</v>
      </c>
      <c r="G15" s="11">
        <v>4</v>
      </c>
      <c r="H15" s="12">
        <v>4</v>
      </c>
      <c r="I15" s="13"/>
      <c r="J15" s="14"/>
      <c r="K15" s="15"/>
      <c r="L15" s="14"/>
      <c r="M15" s="15"/>
      <c r="N15" s="201">
        <v>10</v>
      </c>
      <c r="O15" s="247">
        <v>10</v>
      </c>
      <c r="P15" s="1"/>
      <c r="Q15" s="1"/>
    </row>
    <row r="16" spans="1:17" ht="16.5" customHeight="1" x14ac:dyDescent="0.4">
      <c r="A16" s="1"/>
      <c r="B16" s="221"/>
      <c r="C16" s="246"/>
      <c r="D16" s="9" t="s">
        <v>29</v>
      </c>
      <c r="E16" s="67" t="s">
        <v>53</v>
      </c>
      <c r="F16" s="10">
        <v>4</v>
      </c>
      <c r="G16" s="11">
        <v>4</v>
      </c>
      <c r="H16" s="12"/>
      <c r="I16" s="13">
        <v>4</v>
      </c>
      <c r="J16" s="14"/>
      <c r="K16" s="15"/>
      <c r="L16" s="14"/>
      <c r="M16" s="15"/>
      <c r="N16" s="202"/>
      <c r="O16" s="248"/>
      <c r="P16" s="1"/>
      <c r="Q16" s="1"/>
    </row>
    <row r="17" spans="1:18" ht="16.5" customHeight="1" x14ac:dyDescent="0.4">
      <c r="A17" s="1"/>
      <c r="B17" s="221"/>
      <c r="C17" s="246"/>
      <c r="D17" s="9" t="s">
        <v>29</v>
      </c>
      <c r="E17" s="67" t="s">
        <v>54</v>
      </c>
      <c r="F17" s="10">
        <v>1</v>
      </c>
      <c r="G17" s="11">
        <v>1</v>
      </c>
      <c r="H17" s="12">
        <v>1</v>
      </c>
      <c r="I17" s="13"/>
      <c r="J17" s="14"/>
      <c r="K17" s="15"/>
      <c r="L17" s="14"/>
      <c r="M17" s="15"/>
      <c r="N17" s="202"/>
      <c r="O17" s="248"/>
      <c r="P17" s="1"/>
      <c r="Q17" s="1"/>
    </row>
    <row r="18" spans="1:18" ht="16.5" customHeight="1" x14ac:dyDescent="0.4">
      <c r="A18" s="1"/>
      <c r="B18" s="221"/>
      <c r="C18" s="224"/>
      <c r="D18" s="9" t="s">
        <v>29</v>
      </c>
      <c r="E18" s="67" t="s">
        <v>55</v>
      </c>
      <c r="F18" s="10">
        <v>1</v>
      </c>
      <c r="G18" s="11">
        <v>1</v>
      </c>
      <c r="H18" s="12"/>
      <c r="I18" s="13">
        <v>1</v>
      </c>
      <c r="J18" s="14"/>
      <c r="K18" s="15"/>
      <c r="L18" s="14"/>
      <c r="M18" s="15"/>
      <c r="N18" s="241"/>
      <c r="O18" s="249"/>
      <c r="P18" s="1"/>
      <c r="Q18" s="1"/>
    </row>
    <row r="19" spans="1:18" ht="16.5" customHeight="1" x14ac:dyDescent="0.4">
      <c r="A19" s="1"/>
      <c r="B19" s="221"/>
      <c r="C19" s="210" t="s">
        <v>11</v>
      </c>
      <c r="D19" s="9" t="s">
        <v>16</v>
      </c>
      <c r="E19" s="67" t="s">
        <v>56</v>
      </c>
      <c r="F19" s="10">
        <v>3</v>
      </c>
      <c r="G19" s="11">
        <v>2</v>
      </c>
      <c r="H19" s="14">
        <v>2</v>
      </c>
      <c r="I19" s="15"/>
      <c r="J19" s="14"/>
      <c r="K19" s="15"/>
      <c r="L19" s="14"/>
      <c r="M19" s="15"/>
      <c r="N19" s="201">
        <v>10</v>
      </c>
      <c r="O19" s="247">
        <v>10</v>
      </c>
      <c r="P19" s="1"/>
      <c r="Q19" s="1"/>
    </row>
    <row r="20" spans="1:18" ht="16.5" customHeight="1" x14ac:dyDescent="0.4">
      <c r="A20" s="1"/>
      <c r="B20" s="221"/>
      <c r="C20" s="246"/>
      <c r="D20" s="9" t="s">
        <v>16</v>
      </c>
      <c r="E20" s="67" t="s">
        <v>57</v>
      </c>
      <c r="F20" s="16">
        <v>3</v>
      </c>
      <c r="G20" s="17">
        <v>2</v>
      </c>
      <c r="H20" s="12"/>
      <c r="I20" s="13">
        <v>2</v>
      </c>
      <c r="J20" s="12"/>
      <c r="K20" s="13"/>
      <c r="L20" s="12"/>
      <c r="M20" s="13"/>
      <c r="N20" s="202"/>
      <c r="O20" s="248"/>
      <c r="P20" s="1"/>
      <c r="Q20" s="1"/>
    </row>
    <row r="21" spans="1:18" ht="16.5" customHeight="1" x14ac:dyDescent="0.4">
      <c r="A21" s="1"/>
      <c r="B21" s="221"/>
      <c r="C21" s="246"/>
      <c r="D21" s="9" t="s">
        <v>13</v>
      </c>
      <c r="E21" s="68" t="s">
        <v>58</v>
      </c>
      <c r="F21" s="16">
        <v>2</v>
      </c>
      <c r="G21" s="17">
        <v>1</v>
      </c>
      <c r="H21" s="12"/>
      <c r="I21" s="13"/>
      <c r="J21" s="12">
        <v>1</v>
      </c>
      <c r="K21" s="13"/>
      <c r="L21" s="12"/>
      <c r="M21" s="13"/>
      <c r="N21" s="202"/>
      <c r="O21" s="248"/>
      <c r="P21" s="1"/>
      <c r="Q21" s="1"/>
    </row>
    <row r="22" spans="1:18" ht="16.5" customHeight="1" x14ac:dyDescent="0.4">
      <c r="A22" s="1"/>
      <c r="B22" s="221"/>
      <c r="C22" s="246"/>
      <c r="D22" s="9" t="s">
        <v>13</v>
      </c>
      <c r="E22" s="68" t="s">
        <v>59</v>
      </c>
      <c r="F22" s="16">
        <v>2</v>
      </c>
      <c r="G22" s="17">
        <v>1</v>
      </c>
      <c r="H22" s="12"/>
      <c r="I22" s="13"/>
      <c r="J22" s="12"/>
      <c r="K22" s="13">
        <v>1</v>
      </c>
      <c r="L22" s="12"/>
      <c r="M22" s="13"/>
      <c r="N22" s="202"/>
      <c r="O22" s="248"/>
      <c r="P22" s="1"/>
      <c r="Q22" s="1"/>
    </row>
    <row r="23" spans="1:18" ht="16.5" customHeight="1" x14ac:dyDescent="0.4">
      <c r="A23" s="1"/>
      <c r="B23" s="221"/>
      <c r="C23" s="246"/>
      <c r="D23" s="9" t="s">
        <v>60</v>
      </c>
      <c r="E23" s="68" t="s">
        <v>61</v>
      </c>
      <c r="F23" s="16">
        <v>3</v>
      </c>
      <c r="G23" s="17">
        <v>2</v>
      </c>
      <c r="H23" s="12"/>
      <c r="I23" s="13"/>
      <c r="J23" s="12"/>
      <c r="K23" s="13"/>
      <c r="L23" s="12">
        <v>2</v>
      </c>
      <c r="M23" s="13"/>
      <c r="N23" s="202"/>
      <c r="O23" s="248"/>
      <c r="P23" s="1"/>
      <c r="Q23" s="1"/>
    </row>
    <row r="24" spans="1:18" ht="16.5" customHeight="1" x14ac:dyDescent="0.4">
      <c r="A24" s="1"/>
      <c r="B24" s="221"/>
      <c r="C24" s="224"/>
      <c r="D24" s="9" t="s">
        <v>60</v>
      </c>
      <c r="E24" s="68" t="s">
        <v>62</v>
      </c>
      <c r="F24" s="16">
        <v>3</v>
      </c>
      <c r="G24" s="17">
        <v>2</v>
      </c>
      <c r="H24" s="12"/>
      <c r="I24" s="13"/>
      <c r="J24" s="12"/>
      <c r="K24" s="13"/>
      <c r="L24" s="12"/>
      <c r="M24" s="13">
        <v>2</v>
      </c>
      <c r="N24" s="241"/>
      <c r="O24" s="249"/>
      <c r="P24" s="1"/>
      <c r="Q24" s="1"/>
    </row>
    <row r="25" spans="1:18" ht="16.5" customHeight="1" x14ac:dyDescent="0.4">
      <c r="A25" s="1"/>
      <c r="B25" s="221"/>
      <c r="C25" s="313" t="s">
        <v>37</v>
      </c>
      <c r="D25" s="137" t="s">
        <v>16</v>
      </c>
      <c r="E25" s="138" t="s">
        <v>33</v>
      </c>
      <c r="F25" s="16">
        <v>3</v>
      </c>
      <c r="G25" s="17">
        <v>2</v>
      </c>
      <c r="H25" s="139">
        <v>3</v>
      </c>
      <c r="I25" s="13"/>
      <c r="J25" s="12"/>
      <c r="K25" s="13"/>
      <c r="L25" s="12"/>
      <c r="M25" s="13"/>
      <c r="N25" s="201">
        <v>6</v>
      </c>
      <c r="O25" s="247">
        <v>10</v>
      </c>
      <c r="P25" s="1"/>
      <c r="Q25" s="1"/>
    </row>
    <row r="26" spans="1:18" ht="16.5" customHeight="1" x14ac:dyDescent="0.4">
      <c r="A26" s="1"/>
      <c r="B26" s="221"/>
      <c r="C26" s="314"/>
      <c r="D26" s="137" t="s">
        <v>16</v>
      </c>
      <c r="E26" s="138" t="s">
        <v>113</v>
      </c>
      <c r="F26" s="10">
        <v>3</v>
      </c>
      <c r="G26" s="11">
        <v>2</v>
      </c>
      <c r="H26" s="18"/>
      <c r="I26" s="140">
        <v>3</v>
      </c>
      <c r="J26" s="14"/>
      <c r="K26" s="15"/>
      <c r="L26" s="25"/>
      <c r="M26" s="26"/>
      <c r="N26" s="202"/>
      <c r="O26" s="248"/>
      <c r="P26" s="1"/>
      <c r="Q26" s="1"/>
    </row>
    <row r="27" spans="1:18" ht="16.5" customHeight="1" x14ac:dyDescent="0.4">
      <c r="A27" s="1"/>
      <c r="B27" s="221"/>
      <c r="C27" s="314"/>
      <c r="D27" s="137" t="s">
        <v>6</v>
      </c>
      <c r="E27" s="138" t="s">
        <v>12</v>
      </c>
      <c r="F27" s="10">
        <v>3</v>
      </c>
      <c r="G27" s="11">
        <v>3</v>
      </c>
      <c r="H27" s="18"/>
      <c r="I27" s="19"/>
      <c r="J27" s="14"/>
      <c r="K27" s="15"/>
      <c r="L27" s="14"/>
      <c r="M27" s="15"/>
      <c r="N27" s="202"/>
      <c r="O27" s="248"/>
      <c r="P27" s="1"/>
      <c r="Q27" s="1"/>
    </row>
    <row r="28" spans="1:18" ht="16.5" customHeight="1" x14ac:dyDescent="0.4">
      <c r="A28" s="1"/>
      <c r="B28" s="221"/>
      <c r="C28" s="315"/>
      <c r="D28" s="137" t="s">
        <v>7</v>
      </c>
      <c r="E28" s="138" t="s">
        <v>103</v>
      </c>
      <c r="F28" s="10">
        <v>3</v>
      </c>
      <c r="G28" s="11">
        <v>3</v>
      </c>
      <c r="H28" s="18"/>
      <c r="I28" s="19"/>
      <c r="J28" s="14"/>
      <c r="K28" s="15"/>
      <c r="L28" s="14"/>
      <c r="M28" s="15"/>
      <c r="N28" s="241"/>
      <c r="O28" s="249"/>
      <c r="P28" s="1"/>
      <c r="Q28" s="1"/>
    </row>
    <row r="29" spans="1:18" ht="16.5" customHeight="1" thickBot="1" x14ac:dyDescent="0.45">
      <c r="A29" s="1"/>
      <c r="B29" s="221"/>
      <c r="C29" s="141" t="s">
        <v>34</v>
      </c>
      <c r="D29" s="142" t="s">
        <v>16</v>
      </c>
      <c r="E29" s="143" t="s">
        <v>63</v>
      </c>
      <c r="F29" s="10">
        <v>3</v>
      </c>
      <c r="G29" s="11">
        <v>2</v>
      </c>
      <c r="H29" s="144">
        <v>2</v>
      </c>
      <c r="I29" s="13"/>
      <c r="J29" s="14"/>
      <c r="K29" s="15"/>
      <c r="L29" s="77"/>
      <c r="M29" s="78"/>
      <c r="N29" s="91">
        <v>2</v>
      </c>
      <c r="O29" s="92">
        <v>16</v>
      </c>
      <c r="P29" s="1"/>
      <c r="Q29" s="1"/>
    </row>
    <row r="30" spans="1:18" ht="16.5" customHeight="1" x14ac:dyDescent="0.4">
      <c r="A30" s="1"/>
      <c r="B30" s="220" t="s">
        <v>38</v>
      </c>
      <c r="C30" s="316" t="s">
        <v>15</v>
      </c>
      <c r="D30" s="4" t="s">
        <v>6</v>
      </c>
      <c r="E30" s="70" t="s">
        <v>30</v>
      </c>
      <c r="F30" s="5">
        <v>4</v>
      </c>
      <c r="G30" s="6">
        <v>4</v>
      </c>
      <c r="H30" s="7"/>
      <c r="I30" s="8"/>
      <c r="J30" s="29" t="s">
        <v>65</v>
      </c>
      <c r="K30" s="8"/>
      <c r="L30" s="7"/>
      <c r="M30" s="8"/>
      <c r="N30" s="225">
        <v>24</v>
      </c>
      <c r="O30" s="253">
        <f>N30+N39+N50+N52+N66</f>
        <v>84</v>
      </c>
      <c r="P30" s="1"/>
      <c r="Q30" s="1"/>
    </row>
    <row r="31" spans="1:18" ht="16.5" customHeight="1" x14ac:dyDescent="0.4">
      <c r="A31" s="1"/>
      <c r="B31" s="221"/>
      <c r="C31" s="295"/>
      <c r="D31" s="30" t="s">
        <v>13</v>
      </c>
      <c r="E31" s="71" t="s">
        <v>66</v>
      </c>
      <c r="F31" s="31">
        <v>4</v>
      </c>
      <c r="G31" s="32">
        <v>4</v>
      </c>
      <c r="H31" s="33"/>
      <c r="I31" s="34"/>
      <c r="J31" s="79">
        <v>4</v>
      </c>
      <c r="K31" s="34"/>
      <c r="L31" s="33"/>
      <c r="M31" s="34"/>
      <c r="N31" s="236"/>
      <c r="O31" s="248"/>
      <c r="P31" s="1"/>
    </row>
    <row r="32" spans="1:18" ht="16.5" customHeight="1" x14ac:dyDescent="0.4">
      <c r="A32" s="1"/>
      <c r="B32" s="221"/>
      <c r="C32" s="292" t="s">
        <v>17</v>
      </c>
      <c r="D32" s="98" t="s">
        <v>16</v>
      </c>
      <c r="E32" s="99" t="s">
        <v>79</v>
      </c>
      <c r="F32" s="31">
        <v>4</v>
      </c>
      <c r="G32" s="32">
        <v>4</v>
      </c>
      <c r="H32" s="33"/>
      <c r="I32" s="34"/>
      <c r="J32" s="80">
        <v>4</v>
      </c>
      <c r="K32" s="34"/>
      <c r="L32" s="33"/>
      <c r="M32" s="34"/>
      <c r="N32" s="236"/>
      <c r="O32" s="248"/>
      <c r="P32" s="1"/>
      <c r="Q32" s="104"/>
      <c r="R32" t="s">
        <v>118</v>
      </c>
    </row>
    <row r="33" spans="1:18" ht="16.5" customHeight="1" x14ac:dyDescent="0.4">
      <c r="A33" s="1"/>
      <c r="B33" s="221"/>
      <c r="C33" s="293"/>
      <c r="D33" s="100" t="s">
        <v>13</v>
      </c>
      <c r="E33" s="101" t="s">
        <v>108</v>
      </c>
      <c r="F33" s="10">
        <v>4</v>
      </c>
      <c r="G33" s="11">
        <v>4</v>
      </c>
      <c r="H33" s="12"/>
      <c r="I33" s="13"/>
      <c r="J33" s="80">
        <v>4</v>
      </c>
      <c r="K33" s="34"/>
      <c r="L33" s="33"/>
      <c r="M33" s="34"/>
      <c r="N33" s="236"/>
      <c r="O33" s="248"/>
      <c r="P33" s="1"/>
      <c r="Q33" s="113"/>
      <c r="R33" t="s">
        <v>119</v>
      </c>
    </row>
    <row r="34" spans="1:18" ht="16.5" customHeight="1" x14ac:dyDescent="0.4">
      <c r="A34" s="1"/>
      <c r="B34" s="221"/>
      <c r="C34" s="294" t="s">
        <v>18</v>
      </c>
      <c r="D34" s="9" t="s">
        <v>6</v>
      </c>
      <c r="E34" s="72" t="s">
        <v>31</v>
      </c>
      <c r="F34" s="10">
        <v>4</v>
      </c>
      <c r="G34" s="11">
        <v>4</v>
      </c>
      <c r="H34" s="12"/>
      <c r="I34" s="13"/>
      <c r="J34" s="80">
        <v>4</v>
      </c>
      <c r="K34" s="34"/>
      <c r="L34" s="33"/>
      <c r="M34" s="34"/>
      <c r="N34" s="236"/>
      <c r="O34" s="248"/>
      <c r="P34" s="1"/>
      <c r="Q34" s="120"/>
      <c r="R34" t="s">
        <v>128</v>
      </c>
    </row>
    <row r="35" spans="1:18" ht="16.5" customHeight="1" x14ac:dyDescent="0.4">
      <c r="A35" s="1"/>
      <c r="B35" s="221"/>
      <c r="C35" s="295"/>
      <c r="D35" s="9" t="s">
        <v>60</v>
      </c>
      <c r="E35" s="72" t="s">
        <v>70</v>
      </c>
      <c r="F35" s="10">
        <v>4</v>
      </c>
      <c r="G35" s="11">
        <v>4</v>
      </c>
      <c r="H35" s="12"/>
      <c r="I35" s="13"/>
      <c r="J35" s="80">
        <v>4</v>
      </c>
      <c r="K35" s="34"/>
      <c r="L35" s="33"/>
      <c r="M35" s="34"/>
      <c r="N35" s="236"/>
      <c r="O35" s="248"/>
      <c r="P35" s="1"/>
      <c r="Q35" s="145"/>
      <c r="R35" t="s">
        <v>127</v>
      </c>
    </row>
    <row r="36" spans="1:18" ht="16.5" customHeight="1" thickBot="1" x14ac:dyDescent="0.45">
      <c r="A36" s="1"/>
      <c r="B36" s="221"/>
      <c r="C36" s="294" t="s">
        <v>71</v>
      </c>
      <c r="D36" s="30" t="s">
        <v>6</v>
      </c>
      <c r="E36" s="71" t="s">
        <v>72</v>
      </c>
      <c r="F36" s="31">
        <v>4</v>
      </c>
      <c r="G36" s="32">
        <v>4</v>
      </c>
      <c r="H36" s="33"/>
      <c r="I36" s="34"/>
      <c r="J36" s="80">
        <v>4</v>
      </c>
      <c r="K36" s="34"/>
      <c r="L36" s="33"/>
      <c r="M36" s="34"/>
      <c r="N36" s="236"/>
      <c r="O36" s="248"/>
      <c r="P36" s="1"/>
      <c r="Q36" s="1"/>
    </row>
    <row r="37" spans="1:18" ht="16.5" customHeight="1" thickBot="1" x14ac:dyDescent="0.45">
      <c r="A37" s="1"/>
      <c r="B37" s="221"/>
      <c r="C37" s="295"/>
      <c r="D37" s="30" t="s">
        <v>13</v>
      </c>
      <c r="E37" s="71" t="s">
        <v>73</v>
      </c>
      <c r="F37" s="31">
        <v>4</v>
      </c>
      <c r="G37" s="32">
        <v>4</v>
      </c>
      <c r="H37" s="33"/>
      <c r="I37" s="34"/>
      <c r="J37" s="80"/>
      <c r="K37" s="34"/>
      <c r="L37" s="33"/>
      <c r="M37" s="34"/>
      <c r="N37" s="236"/>
      <c r="O37" s="248"/>
      <c r="P37" s="1"/>
      <c r="Q37" s="136"/>
      <c r="R37" t="s">
        <v>130</v>
      </c>
    </row>
    <row r="38" spans="1:18" ht="16.5" customHeight="1" x14ac:dyDescent="0.4">
      <c r="A38" s="1"/>
      <c r="B38" s="221"/>
      <c r="C38" s="105" t="s">
        <v>74</v>
      </c>
      <c r="D38" s="106" t="s">
        <v>6</v>
      </c>
      <c r="E38" s="107" t="s">
        <v>105</v>
      </c>
      <c r="F38" s="10">
        <v>4</v>
      </c>
      <c r="G38" s="11">
        <v>4</v>
      </c>
      <c r="H38" s="33"/>
      <c r="I38" s="34"/>
      <c r="J38" s="94"/>
      <c r="K38" s="34"/>
      <c r="L38" s="33"/>
      <c r="M38" s="34"/>
      <c r="N38" s="236"/>
      <c r="O38" s="248"/>
      <c r="P38" s="1"/>
      <c r="Q38" s="1"/>
    </row>
    <row r="39" spans="1:18" ht="16.5" customHeight="1" x14ac:dyDescent="0.4">
      <c r="A39" s="1"/>
      <c r="B39" s="221"/>
      <c r="C39" s="90" t="s">
        <v>35</v>
      </c>
      <c r="D39" s="9" t="s">
        <v>16</v>
      </c>
      <c r="E39" s="73" t="s">
        <v>35</v>
      </c>
      <c r="F39" s="38">
        <v>4</v>
      </c>
      <c r="G39" s="39">
        <v>3</v>
      </c>
      <c r="H39" s="35"/>
      <c r="I39" s="36"/>
      <c r="J39" s="40" t="s">
        <v>21</v>
      </c>
      <c r="K39" s="13"/>
      <c r="L39" s="12"/>
      <c r="M39" s="13"/>
      <c r="N39" s="228">
        <v>6</v>
      </c>
      <c r="O39" s="248"/>
      <c r="P39" s="1"/>
      <c r="Q39" s="1"/>
    </row>
    <row r="40" spans="1:18" ht="31.2" x14ac:dyDescent="0.4">
      <c r="A40" s="1"/>
      <c r="B40" s="221"/>
      <c r="C40" s="9" t="s">
        <v>75</v>
      </c>
      <c r="D40" s="9" t="s">
        <v>6</v>
      </c>
      <c r="E40" s="73" t="s">
        <v>76</v>
      </c>
      <c r="F40" s="38">
        <v>4</v>
      </c>
      <c r="G40" s="39">
        <v>3</v>
      </c>
      <c r="H40" s="12"/>
      <c r="I40" s="13"/>
      <c r="J40" s="42" t="s">
        <v>112</v>
      </c>
      <c r="K40" s="43"/>
      <c r="L40" s="12"/>
      <c r="M40" s="13"/>
      <c r="N40" s="229"/>
      <c r="O40" s="248"/>
      <c r="P40" s="1"/>
      <c r="Q40" s="1"/>
    </row>
    <row r="41" spans="1:18" ht="16.5" customHeight="1" x14ac:dyDescent="0.4">
      <c r="A41" s="1"/>
      <c r="B41" s="221"/>
      <c r="C41" s="294" t="s">
        <v>15</v>
      </c>
      <c r="D41" s="44" t="s">
        <v>16</v>
      </c>
      <c r="E41" s="74" t="s">
        <v>77</v>
      </c>
      <c r="F41" s="45">
        <v>4</v>
      </c>
      <c r="G41" s="46">
        <v>4</v>
      </c>
      <c r="H41" s="12"/>
      <c r="I41" s="13"/>
      <c r="J41" s="12"/>
      <c r="K41" s="47" t="s">
        <v>65</v>
      </c>
      <c r="L41" s="12"/>
      <c r="M41" s="13"/>
      <c r="N41" s="228">
        <v>24</v>
      </c>
      <c r="O41" s="248"/>
      <c r="P41" s="1"/>
      <c r="Q41" s="1"/>
    </row>
    <row r="42" spans="1:18" ht="16.5" customHeight="1" x14ac:dyDescent="0.4">
      <c r="A42" s="1"/>
      <c r="B42" s="221"/>
      <c r="C42" s="295"/>
      <c r="D42" s="44" t="s">
        <v>7</v>
      </c>
      <c r="E42" s="74" t="s">
        <v>78</v>
      </c>
      <c r="F42" s="45">
        <v>4</v>
      </c>
      <c r="G42" s="46">
        <v>4</v>
      </c>
      <c r="H42" s="12"/>
      <c r="I42" s="13"/>
      <c r="J42" s="12"/>
      <c r="K42" s="81">
        <v>4</v>
      </c>
      <c r="L42" s="12"/>
      <c r="M42" s="13"/>
      <c r="N42" s="236"/>
      <c r="O42" s="248"/>
      <c r="P42" s="1"/>
      <c r="Q42" s="1"/>
    </row>
    <row r="43" spans="1:18" ht="16.5" customHeight="1" x14ac:dyDescent="0.4">
      <c r="A43" s="1"/>
      <c r="B43" s="221"/>
      <c r="C43" s="292" t="s">
        <v>17</v>
      </c>
      <c r="D43" s="102" t="s">
        <v>6</v>
      </c>
      <c r="E43" s="86" t="s">
        <v>68</v>
      </c>
      <c r="F43" s="45">
        <v>4</v>
      </c>
      <c r="G43" s="46">
        <v>4</v>
      </c>
      <c r="H43" s="12"/>
      <c r="I43" s="13"/>
      <c r="J43" s="12"/>
      <c r="K43" s="82">
        <v>4</v>
      </c>
      <c r="L43" s="12"/>
      <c r="M43" s="13"/>
      <c r="N43" s="236"/>
      <c r="O43" s="248"/>
      <c r="P43" s="1"/>
      <c r="Q43" s="1"/>
    </row>
    <row r="44" spans="1:18" ht="16.5" customHeight="1" x14ac:dyDescent="0.4">
      <c r="A44" s="1"/>
      <c r="B44" s="221"/>
      <c r="C44" s="293"/>
      <c r="D44" s="87" t="s">
        <v>13</v>
      </c>
      <c r="E44" s="86" t="s">
        <v>69</v>
      </c>
      <c r="F44" s="45">
        <v>4</v>
      </c>
      <c r="G44" s="46">
        <v>4</v>
      </c>
      <c r="H44" s="12"/>
      <c r="I44" s="13"/>
      <c r="J44" s="12"/>
      <c r="K44" s="82">
        <v>4</v>
      </c>
      <c r="L44" s="12"/>
      <c r="M44" s="13"/>
      <c r="N44" s="236"/>
      <c r="O44" s="248"/>
      <c r="P44" s="1"/>
      <c r="Q44" s="1"/>
    </row>
    <row r="45" spans="1:18" ht="16.5" customHeight="1" x14ac:dyDescent="0.4">
      <c r="A45" s="1"/>
      <c r="B45" s="221"/>
      <c r="C45" s="294" t="s">
        <v>18</v>
      </c>
      <c r="D45" s="44" t="s">
        <v>6</v>
      </c>
      <c r="E45" s="74" t="s">
        <v>81</v>
      </c>
      <c r="F45" s="45">
        <v>4</v>
      </c>
      <c r="G45" s="46">
        <v>4</v>
      </c>
      <c r="H45" s="12"/>
      <c r="I45" s="13"/>
      <c r="J45" s="12"/>
      <c r="K45" s="82">
        <v>4</v>
      </c>
      <c r="L45" s="12"/>
      <c r="M45" s="13"/>
      <c r="N45" s="236"/>
      <c r="O45" s="248"/>
      <c r="P45" s="1"/>
      <c r="Q45" s="1"/>
    </row>
    <row r="46" spans="1:18" ht="16.5" customHeight="1" x14ac:dyDescent="0.4">
      <c r="A46" s="1"/>
      <c r="B46" s="221"/>
      <c r="C46" s="295"/>
      <c r="D46" s="44" t="s">
        <v>13</v>
      </c>
      <c r="E46" s="74" t="s">
        <v>36</v>
      </c>
      <c r="F46" s="45">
        <v>4</v>
      </c>
      <c r="G46" s="46">
        <v>4</v>
      </c>
      <c r="H46" s="12"/>
      <c r="I46" s="13"/>
      <c r="J46" s="12"/>
      <c r="K46" s="82">
        <v>4</v>
      </c>
      <c r="L46" s="12"/>
      <c r="M46" s="13"/>
      <c r="N46" s="236"/>
      <c r="O46" s="248"/>
      <c r="P46" s="1"/>
      <c r="Q46" s="1"/>
    </row>
    <row r="47" spans="1:18" ht="16.5" customHeight="1" x14ac:dyDescent="0.4">
      <c r="A47" s="1"/>
      <c r="B47" s="221"/>
      <c r="C47" s="294" t="s">
        <v>71</v>
      </c>
      <c r="D47" s="44" t="s">
        <v>13</v>
      </c>
      <c r="E47" s="74" t="s">
        <v>82</v>
      </c>
      <c r="F47" s="45">
        <v>4</v>
      </c>
      <c r="G47" s="46">
        <v>4</v>
      </c>
      <c r="H47" s="12"/>
      <c r="I47" s="13"/>
      <c r="J47" s="12"/>
      <c r="K47" s="82">
        <v>4</v>
      </c>
      <c r="L47" s="12"/>
      <c r="M47" s="13"/>
      <c r="N47" s="236"/>
      <c r="O47" s="248"/>
      <c r="P47" s="1"/>
      <c r="Q47" s="1"/>
    </row>
    <row r="48" spans="1:18" ht="16.5" customHeight="1" x14ac:dyDescent="0.4">
      <c r="A48" s="1"/>
      <c r="B48" s="221"/>
      <c r="C48" s="295"/>
      <c r="D48" s="44" t="s">
        <v>60</v>
      </c>
      <c r="E48" s="74" t="s">
        <v>83</v>
      </c>
      <c r="F48" s="45">
        <v>4</v>
      </c>
      <c r="G48" s="46">
        <v>4</v>
      </c>
      <c r="H48" s="12"/>
      <c r="I48" s="13"/>
      <c r="J48" s="12"/>
      <c r="K48" s="93"/>
      <c r="L48" s="12"/>
      <c r="M48" s="13"/>
      <c r="N48" s="236"/>
      <c r="O48" s="248"/>
      <c r="P48" s="1"/>
      <c r="Q48" s="1"/>
    </row>
    <row r="49" spans="1:17" ht="16.5" customHeight="1" x14ac:dyDescent="0.4">
      <c r="A49" s="1"/>
      <c r="B49" s="221"/>
      <c r="C49" s="105" t="s">
        <v>74</v>
      </c>
      <c r="D49" s="108" t="s">
        <v>13</v>
      </c>
      <c r="E49" s="109" t="s">
        <v>106</v>
      </c>
      <c r="F49" s="45">
        <v>4</v>
      </c>
      <c r="G49" s="46">
        <v>4</v>
      </c>
      <c r="H49" s="12"/>
      <c r="I49" s="13"/>
      <c r="J49" s="12"/>
      <c r="K49" s="93"/>
      <c r="L49" s="12"/>
      <c r="M49" s="13"/>
      <c r="N49" s="236"/>
      <c r="O49" s="248"/>
      <c r="P49" s="1"/>
      <c r="Q49" s="1"/>
    </row>
    <row r="50" spans="1:17" ht="16.5" customHeight="1" x14ac:dyDescent="0.4">
      <c r="A50" s="1"/>
      <c r="B50" s="221"/>
      <c r="C50" s="90" t="s">
        <v>35</v>
      </c>
      <c r="D50" s="9" t="s">
        <v>13</v>
      </c>
      <c r="E50" s="73" t="s">
        <v>84</v>
      </c>
      <c r="F50" s="10">
        <v>4</v>
      </c>
      <c r="G50" s="11">
        <v>3</v>
      </c>
      <c r="H50" s="12"/>
      <c r="I50" s="13"/>
      <c r="J50" s="12"/>
      <c r="K50" s="48" t="s">
        <v>21</v>
      </c>
      <c r="L50" s="12"/>
      <c r="M50" s="13"/>
      <c r="N50" s="228">
        <v>6</v>
      </c>
      <c r="O50" s="248"/>
      <c r="P50" s="1"/>
      <c r="Q50" s="1"/>
    </row>
    <row r="51" spans="1:17" ht="31.8" thickBot="1" x14ac:dyDescent="0.45">
      <c r="A51" s="1"/>
      <c r="B51" s="221"/>
      <c r="C51" s="41" t="s">
        <v>75</v>
      </c>
      <c r="D51" s="9" t="s">
        <v>13</v>
      </c>
      <c r="E51" s="73" t="s">
        <v>85</v>
      </c>
      <c r="F51" s="10">
        <v>4</v>
      </c>
      <c r="G51" s="11">
        <v>3</v>
      </c>
      <c r="H51" s="12"/>
      <c r="I51" s="13"/>
      <c r="J51" s="49"/>
      <c r="K51" s="48" t="s">
        <v>112</v>
      </c>
      <c r="L51" s="91"/>
      <c r="M51" s="13"/>
      <c r="N51" s="229"/>
      <c r="O51" s="248"/>
      <c r="P51" s="1"/>
      <c r="Q51" s="1"/>
    </row>
    <row r="52" spans="1:17" ht="16.5" customHeight="1" x14ac:dyDescent="0.4">
      <c r="A52" s="1"/>
      <c r="B52" s="221"/>
      <c r="C52" s="294" t="s">
        <v>15</v>
      </c>
      <c r="D52" s="50" t="s">
        <v>6</v>
      </c>
      <c r="E52" s="74" t="s">
        <v>86</v>
      </c>
      <c r="F52" s="51">
        <v>4</v>
      </c>
      <c r="G52" s="52">
        <v>3</v>
      </c>
      <c r="H52" s="12"/>
      <c r="I52" s="13"/>
      <c r="J52" s="14"/>
      <c r="K52" s="125"/>
      <c r="L52" s="127" t="s">
        <v>65</v>
      </c>
      <c r="M52" s="123"/>
      <c r="N52" s="201">
        <v>24</v>
      </c>
      <c r="O52" s="248"/>
      <c r="P52" s="1"/>
      <c r="Q52" s="1"/>
    </row>
    <row r="53" spans="1:17" ht="16.5" customHeight="1" x14ac:dyDescent="0.4">
      <c r="A53" s="1"/>
      <c r="B53" s="221"/>
      <c r="C53" s="295"/>
      <c r="D53" s="44" t="s">
        <v>60</v>
      </c>
      <c r="E53" s="74" t="s">
        <v>87</v>
      </c>
      <c r="F53" s="45">
        <v>4</v>
      </c>
      <c r="G53" s="46">
        <v>3</v>
      </c>
      <c r="H53" s="12"/>
      <c r="I53" s="13"/>
      <c r="J53" s="12"/>
      <c r="K53" s="97"/>
      <c r="L53" s="128">
        <v>4</v>
      </c>
      <c r="M53" s="124"/>
      <c r="N53" s="202"/>
      <c r="O53" s="248"/>
      <c r="P53" s="1"/>
      <c r="Q53" s="1"/>
    </row>
    <row r="54" spans="1:17" ht="16.5" customHeight="1" x14ac:dyDescent="0.4">
      <c r="A54" s="1"/>
      <c r="B54" s="221"/>
      <c r="C54" s="292" t="s">
        <v>17</v>
      </c>
      <c r="D54" s="87" t="s">
        <v>6</v>
      </c>
      <c r="E54" s="86" t="s">
        <v>88</v>
      </c>
      <c r="F54" s="45">
        <v>4</v>
      </c>
      <c r="G54" s="46">
        <v>3</v>
      </c>
      <c r="H54" s="12"/>
      <c r="I54" s="13"/>
      <c r="J54" s="12"/>
      <c r="K54" s="97"/>
      <c r="L54" s="129">
        <v>4</v>
      </c>
      <c r="M54" s="124"/>
      <c r="N54" s="202"/>
      <c r="O54" s="248"/>
      <c r="P54" s="1"/>
      <c r="Q54" s="1"/>
    </row>
    <row r="55" spans="1:17" ht="16.5" customHeight="1" x14ac:dyDescent="0.4">
      <c r="A55" s="1"/>
      <c r="B55" s="221"/>
      <c r="C55" s="298"/>
      <c r="D55" s="87" t="s">
        <v>13</v>
      </c>
      <c r="E55" s="86" t="s">
        <v>80</v>
      </c>
      <c r="F55" s="45">
        <v>4</v>
      </c>
      <c r="G55" s="46">
        <v>3</v>
      </c>
      <c r="H55" s="12"/>
      <c r="I55" s="13"/>
      <c r="J55" s="12"/>
      <c r="K55" s="97"/>
      <c r="L55" s="129">
        <v>4</v>
      </c>
      <c r="M55" s="124"/>
      <c r="N55" s="202"/>
      <c r="O55" s="248"/>
      <c r="P55" s="1"/>
      <c r="Q55" s="1"/>
    </row>
    <row r="56" spans="1:17" ht="16.5" customHeight="1" x14ac:dyDescent="0.35">
      <c r="A56" s="1"/>
      <c r="B56" s="221"/>
      <c r="C56" s="294" t="s">
        <v>18</v>
      </c>
      <c r="D56" s="44" t="s">
        <v>6</v>
      </c>
      <c r="E56" s="95" t="s">
        <v>32</v>
      </c>
      <c r="F56" s="45">
        <v>4</v>
      </c>
      <c r="G56" s="46">
        <v>3</v>
      </c>
      <c r="H56" s="12"/>
      <c r="I56" s="13"/>
      <c r="J56" s="12"/>
      <c r="K56" s="97"/>
      <c r="L56" s="129">
        <v>4</v>
      </c>
      <c r="M56" s="124"/>
      <c r="N56" s="202"/>
      <c r="O56" s="248"/>
      <c r="P56" s="1"/>
      <c r="Q56" s="1"/>
    </row>
    <row r="57" spans="1:17" ht="16.5" customHeight="1" x14ac:dyDescent="0.35">
      <c r="A57" s="1"/>
      <c r="B57" s="221"/>
      <c r="C57" s="295"/>
      <c r="D57" s="44" t="s">
        <v>13</v>
      </c>
      <c r="E57" s="95" t="s">
        <v>89</v>
      </c>
      <c r="F57" s="45">
        <v>4</v>
      </c>
      <c r="G57" s="46">
        <v>3</v>
      </c>
      <c r="H57" s="12"/>
      <c r="I57" s="13"/>
      <c r="J57" s="12"/>
      <c r="K57" s="97"/>
      <c r="L57" s="129">
        <v>4</v>
      </c>
      <c r="M57" s="124"/>
      <c r="N57" s="202"/>
      <c r="O57" s="248"/>
      <c r="P57" s="1"/>
      <c r="Q57" s="1"/>
    </row>
    <row r="58" spans="1:17" ht="16.5" customHeight="1" x14ac:dyDescent="0.4">
      <c r="A58" s="1"/>
      <c r="B58" s="221"/>
      <c r="C58" s="294" t="s">
        <v>20</v>
      </c>
      <c r="D58" s="44" t="s">
        <v>16</v>
      </c>
      <c r="E58" s="74" t="s">
        <v>90</v>
      </c>
      <c r="F58" s="45">
        <v>4</v>
      </c>
      <c r="G58" s="46">
        <v>3</v>
      </c>
      <c r="H58" s="12"/>
      <c r="I58" s="13"/>
      <c r="J58" s="12"/>
      <c r="K58" s="97"/>
      <c r="L58" s="129">
        <v>4</v>
      </c>
      <c r="M58" s="124"/>
      <c r="N58" s="202"/>
      <c r="O58" s="248"/>
      <c r="P58" s="1"/>
      <c r="Q58" s="1"/>
    </row>
    <row r="59" spans="1:17" ht="16.5" customHeight="1" x14ac:dyDescent="0.4">
      <c r="A59" s="1"/>
      <c r="B59" s="221"/>
      <c r="C59" s="299"/>
      <c r="D59" s="44" t="s">
        <v>13</v>
      </c>
      <c r="E59" s="74" t="s">
        <v>91</v>
      </c>
      <c r="F59" s="45">
        <v>4</v>
      </c>
      <c r="G59" s="46">
        <v>3</v>
      </c>
      <c r="H59" s="12"/>
      <c r="I59" s="13"/>
      <c r="J59" s="12"/>
      <c r="K59" s="97"/>
      <c r="L59" s="129"/>
      <c r="M59" s="124"/>
      <c r="N59" s="202"/>
      <c r="O59" s="248"/>
      <c r="P59" s="1"/>
      <c r="Q59" s="1"/>
    </row>
    <row r="60" spans="1:17" ht="16.5" customHeight="1" x14ac:dyDescent="0.4">
      <c r="A60" s="1"/>
      <c r="B60" s="221"/>
      <c r="C60" s="295"/>
      <c r="D60" s="44" t="s">
        <v>60</v>
      </c>
      <c r="E60" s="74" t="s">
        <v>92</v>
      </c>
      <c r="F60" s="45">
        <v>4</v>
      </c>
      <c r="G60" s="46">
        <v>3</v>
      </c>
      <c r="H60" s="55"/>
      <c r="I60" s="56"/>
      <c r="J60" s="55"/>
      <c r="K60" s="126"/>
      <c r="L60" s="129"/>
      <c r="M60" s="124"/>
      <c r="N60" s="202"/>
      <c r="O60" s="248"/>
      <c r="P60" s="1"/>
      <c r="Q60" s="1"/>
    </row>
    <row r="61" spans="1:17" ht="16.5" customHeight="1" x14ac:dyDescent="0.4">
      <c r="A61" s="1"/>
      <c r="B61" s="221"/>
      <c r="C61" s="304" t="s">
        <v>19</v>
      </c>
      <c r="D61" s="108" t="s">
        <v>13</v>
      </c>
      <c r="E61" s="109" t="s">
        <v>107</v>
      </c>
      <c r="F61" s="45">
        <v>4</v>
      </c>
      <c r="G61" s="46">
        <v>3</v>
      </c>
      <c r="H61" s="55"/>
      <c r="I61" s="56"/>
      <c r="J61" s="55"/>
      <c r="K61" s="126"/>
      <c r="L61" s="129"/>
      <c r="M61" s="124"/>
      <c r="N61" s="202"/>
      <c r="O61" s="248"/>
      <c r="P61" s="1"/>
      <c r="Q61" s="1"/>
    </row>
    <row r="62" spans="1:17" ht="16.5" customHeight="1" x14ac:dyDescent="0.4">
      <c r="A62" s="1"/>
      <c r="B62" s="221"/>
      <c r="C62" s="305"/>
      <c r="D62" s="108" t="s">
        <v>60</v>
      </c>
      <c r="E62" s="109" t="s">
        <v>109</v>
      </c>
      <c r="F62" s="51">
        <v>4</v>
      </c>
      <c r="G62" s="57">
        <v>3</v>
      </c>
      <c r="H62" s="58"/>
      <c r="I62" s="56"/>
      <c r="J62" s="55"/>
      <c r="K62" s="126"/>
      <c r="L62" s="129"/>
      <c r="M62" s="124"/>
      <c r="N62" s="202"/>
      <c r="O62" s="248"/>
      <c r="P62" s="1"/>
      <c r="Q62" s="1"/>
    </row>
    <row r="63" spans="1:17" ht="16.5" customHeight="1" x14ac:dyDescent="0.4">
      <c r="A63" s="1"/>
      <c r="B63" s="221"/>
      <c r="C63" s="37" t="s">
        <v>35</v>
      </c>
      <c r="D63" s="44" t="s">
        <v>13</v>
      </c>
      <c r="E63" s="75" t="s">
        <v>93</v>
      </c>
      <c r="F63" s="44">
        <v>4</v>
      </c>
      <c r="G63" s="57">
        <v>3</v>
      </c>
      <c r="H63" s="58"/>
      <c r="I63" s="56"/>
      <c r="J63" s="55"/>
      <c r="K63" s="126"/>
      <c r="L63" s="129"/>
      <c r="M63" s="124"/>
      <c r="N63" s="202"/>
      <c r="O63" s="248"/>
      <c r="P63" s="1"/>
      <c r="Q63" s="1"/>
    </row>
    <row r="64" spans="1:17" ht="16.5" customHeight="1" x14ac:dyDescent="0.4">
      <c r="A64" s="1"/>
      <c r="B64" s="221"/>
      <c r="C64" s="41" t="s">
        <v>75</v>
      </c>
      <c r="D64" s="44" t="s">
        <v>60</v>
      </c>
      <c r="E64" s="75" t="s">
        <v>94</v>
      </c>
      <c r="F64" s="44">
        <v>4</v>
      </c>
      <c r="G64" s="57">
        <v>3</v>
      </c>
      <c r="H64" s="58"/>
      <c r="I64" s="56"/>
      <c r="J64" s="55"/>
      <c r="K64" s="126"/>
      <c r="L64" s="129"/>
      <c r="M64" s="124"/>
      <c r="N64" s="202"/>
      <c r="O64" s="248"/>
      <c r="P64" s="1"/>
      <c r="Q64" s="1"/>
    </row>
    <row r="65" spans="1:17" ht="16.5" customHeight="1" thickBot="1" x14ac:dyDescent="0.45">
      <c r="A65" s="1"/>
      <c r="B65" s="221"/>
      <c r="C65" s="114" t="s">
        <v>37</v>
      </c>
      <c r="D65" s="115" t="s">
        <v>13</v>
      </c>
      <c r="E65" s="116" t="s">
        <v>116</v>
      </c>
      <c r="F65" s="44">
        <v>3</v>
      </c>
      <c r="G65" s="57">
        <v>3</v>
      </c>
      <c r="H65" s="58"/>
      <c r="I65" s="56"/>
      <c r="J65" s="55"/>
      <c r="K65" s="126"/>
      <c r="L65" s="130"/>
      <c r="M65" s="132"/>
      <c r="N65" s="241"/>
      <c r="O65" s="248"/>
      <c r="P65" s="1"/>
      <c r="Q65" s="1"/>
    </row>
    <row r="66" spans="1:17" ht="16.5" customHeight="1" x14ac:dyDescent="0.4">
      <c r="A66" s="1"/>
      <c r="B66" s="221"/>
      <c r="C66" s="96" t="s">
        <v>15</v>
      </c>
      <c r="D66" s="16" t="s">
        <v>60</v>
      </c>
      <c r="E66" s="75" t="s">
        <v>110</v>
      </c>
      <c r="F66" s="16">
        <v>4</v>
      </c>
      <c r="G66" s="54">
        <v>3</v>
      </c>
      <c r="H66" s="58"/>
      <c r="I66" s="56"/>
      <c r="J66" s="55"/>
      <c r="K66" s="56"/>
      <c r="L66" s="131"/>
      <c r="M66" s="133" t="s">
        <v>65</v>
      </c>
      <c r="N66" s="300">
        <v>24</v>
      </c>
      <c r="O66" s="248"/>
      <c r="P66" s="1"/>
      <c r="Q66" s="1"/>
    </row>
    <row r="67" spans="1:17" ht="16.5" customHeight="1" x14ac:dyDescent="0.4">
      <c r="A67" s="1"/>
      <c r="B67" s="221"/>
      <c r="C67" s="103" t="s">
        <v>17</v>
      </c>
      <c r="D67" s="88" t="s">
        <v>60</v>
      </c>
      <c r="E67" s="89" t="s">
        <v>111</v>
      </c>
      <c r="F67" s="16">
        <v>4</v>
      </c>
      <c r="G67" s="54">
        <v>3</v>
      </c>
      <c r="H67" s="58"/>
      <c r="I67" s="56"/>
      <c r="J67" s="55"/>
      <c r="K67" s="56"/>
      <c r="L67" s="131"/>
      <c r="M67" s="134">
        <v>4</v>
      </c>
      <c r="N67" s="291"/>
      <c r="O67" s="248"/>
      <c r="P67" s="1"/>
      <c r="Q67" s="1"/>
    </row>
    <row r="68" spans="1:17" ht="16.5" customHeight="1" x14ac:dyDescent="0.4">
      <c r="A68" s="1"/>
      <c r="B68" s="221"/>
      <c r="C68" s="306" t="s">
        <v>18</v>
      </c>
      <c r="D68" s="16" t="s">
        <v>13</v>
      </c>
      <c r="E68" s="76" t="s">
        <v>95</v>
      </c>
      <c r="F68" s="16">
        <v>4</v>
      </c>
      <c r="G68" s="54">
        <v>3</v>
      </c>
      <c r="H68" s="58"/>
      <c r="I68" s="56"/>
      <c r="J68" s="55"/>
      <c r="K68" s="56"/>
      <c r="L68" s="49"/>
      <c r="M68" s="134">
        <v>4</v>
      </c>
      <c r="N68" s="291"/>
      <c r="O68" s="248"/>
      <c r="P68" s="1"/>
      <c r="Q68" s="1"/>
    </row>
    <row r="69" spans="1:17" ht="16.5" customHeight="1" x14ac:dyDescent="0.4">
      <c r="A69" s="1"/>
      <c r="B69" s="221"/>
      <c r="C69" s="307"/>
      <c r="D69" s="16" t="s">
        <v>60</v>
      </c>
      <c r="E69" s="76" t="s">
        <v>96</v>
      </c>
      <c r="F69" s="16">
        <v>4</v>
      </c>
      <c r="G69" s="54">
        <v>3</v>
      </c>
      <c r="H69" s="58"/>
      <c r="I69" s="56"/>
      <c r="J69" s="55"/>
      <c r="K69" s="56"/>
      <c r="L69" s="49"/>
      <c r="M69" s="134">
        <v>4</v>
      </c>
      <c r="N69" s="291"/>
      <c r="O69" s="248"/>
      <c r="P69" s="1"/>
      <c r="Q69" s="1"/>
    </row>
    <row r="70" spans="1:17" ht="16.5" customHeight="1" x14ac:dyDescent="0.4">
      <c r="A70" s="1"/>
      <c r="B70" s="221"/>
      <c r="C70" s="308" t="s">
        <v>10</v>
      </c>
      <c r="D70" s="16" t="s">
        <v>13</v>
      </c>
      <c r="E70" s="76" t="s">
        <v>97</v>
      </c>
      <c r="F70" s="16">
        <v>4</v>
      </c>
      <c r="G70" s="54">
        <v>3</v>
      </c>
      <c r="H70" s="58"/>
      <c r="I70" s="56"/>
      <c r="J70" s="55"/>
      <c r="K70" s="56"/>
      <c r="L70" s="49"/>
      <c r="M70" s="134">
        <v>4</v>
      </c>
      <c r="N70" s="291"/>
      <c r="O70" s="248"/>
      <c r="P70" s="1"/>
      <c r="Q70" s="1"/>
    </row>
    <row r="71" spans="1:17" ht="16.5" customHeight="1" x14ac:dyDescent="0.4">
      <c r="A71" s="1"/>
      <c r="B71" s="221"/>
      <c r="C71" s="309"/>
      <c r="D71" s="16" t="s">
        <v>60</v>
      </c>
      <c r="E71" s="76" t="s">
        <v>98</v>
      </c>
      <c r="F71" s="16">
        <v>4</v>
      </c>
      <c r="G71" s="54">
        <v>3</v>
      </c>
      <c r="H71" s="61"/>
      <c r="I71" s="13"/>
      <c r="J71" s="12"/>
      <c r="K71" s="13"/>
      <c r="L71" s="49"/>
      <c r="M71" s="134">
        <v>4</v>
      </c>
      <c r="N71" s="291"/>
      <c r="O71" s="248"/>
      <c r="P71" s="1"/>
      <c r="Q71" s="1"/>
    </row>
    <row r="72" spans="1:17" ht="16.5" customHeight="1" x14ac:dyDescent="0.4">
      <c r="A72" s="1"/>
      <c r="B72" s="221"/>
      <c r="C72" s="110" t="s">
        <v>19</v>
      </c>
      <c r="D72" s="111" t="s">
        <v>60</v>
      </c>
      <c r="E72" s="112" t="s">
        <v>109</v>
      </c>
      <c r="F72" s="16">
        <v>4</v>
      </c>
      <c r="G72" s="54">
        <v>3</v>
      </c>
      <c r="H72" s="61"/>
      <c r="I72" s="13"/>
      <c r="J72" s="12"/>
      <c r="K72" s="13"/>
      <c r="L72" s="49"/>
      <c r="M72" s="134">
        <v>4</v>
      </c>
      <c r="N72" s="291"/>
      <c r="O72" s="248"/>
      <c r="P72" s="1"/>
      <c r="Q72" s="1"/>
    </row>
    <row r="73" spans="1:17" ht="16.5" customHeight="1" x14ac:dyDescent="0.4">
      <c r="A73" s="1"/>
      <c r="B73" s="221"/>
      <c r="C73" s="90" t="s">
        <v>35</v>
      </c>
      <c r="D73" s="16" t="s">
        <v>60</v>
      </c>
      <c r="E73" s="76" t="s">
        <v>99</v>
      </c>
      <c r="F73" s="16">
        <v>4</v>
      </c>
      <c r="G73" s="54">
        <v>3</v>
      </c>
      <c r="H73" s="61"/>
      <c r="I73" s="13"/>
      <c r="J73" s="12"/>
      <c r="K73" s="13"/>
      <c r="L73" s="49"/>
      <c r="M73" s="134"/>
      <c r="N73" s="291"/>
      <c r="O73" s="248"/>
      <c r="P73" s="1"/>
      <c r="Q73" s="1"/>
    </row>
    <row r="74" spans="1:17" ht="16.5" customHeight="1" x14ac:dyDescent="0.4">
      <c r="A74" s="1"/>
      <c r="B74" s="221"/>
      <c r="C74" s="210" t="s">
        <v>75</v>
      </c>
      <c r="D74" s="16" t="s">
        <v>13</v>
      </c>
      <c r="E74" s="76" t="s">
        <v>100</v>
      </c>
      <c r="F74" s="16">
        <v>4</v>
      </c>
      <c r="G74" s="54">
        <v>3</v>
      </c>
      <c r="H74" s="61"/>
      <c r="I74" s="13"/>
      <c r="J74" s="12"/>
      <c r="K74" s="13"/>
      <c r="L74" s="49"/>
      <c r="M74" s="134"/>
      <c r="N74" s="291"/>
      <c r="O74" s="248"/>
      <c r="P74" s="1"/>
      <c r="Q74" s="1"/>
    </row>
    <row r="75" spans="1:17" ht="16.5" customHeight="1" x14ac:dyDescent="0.4">
      <c r="A75" s="1"/>
      <c r="B75" s="221"/>
      <c r="C75" s="224"/>
      <c r="D75" s="16" t="s">
        <v>60</v>
      </c>
      <c r="E75" s="76" t="s">
        <v>101</v>
      </c>
      <c r="F75" s="16">
        <v>4</v>
      </c>
      <c r="G75" s="54">
        <v>3</v>
      </c>
      <c r="H75" s="61"/>
      <c r="I75" s="13"/>
      <c r="J75" s="12"/>
      <c r="K75" s="13"/>
      <c r="L75" s="49"/>
      <c r="M75" s="134"/>
      <c r="N75" s="291"/>
      <c r="O75" s="248"/>
      <c r="P75" s="1"/>
      <c r="Q75" s="1"/>
    </row>
    <row r="76" spans="1:17" ht="16.5" customHeight="1" thickBot="1" x14ac:dyDescent="0.45">
      <c r="A76" s="1"/>
      <c r="B76" s="221"/>
      <c r="C76" s="117" t="s">
        <v>37</v>
      </c>
      <c r="D76" s="118" t="s">
        <v>60</v>
      </c>
      <c r="E76" s="119" t="s">
        <v>115</v>
      </c>
      <c r="F76" s="16">
        <v>3</v>
      </c>
      <c r="G76" s="54">
        <v>3</v>
      </c>
      <c r="H76" s="61"/>
      <c r="I76" s="13"/>
      <c r="J76" s="12"/>
      <c r="K76" s="13"/>
      <c r="L76" s="49"/>
      <c r="M76" s="135"/>
      <c r="N76" s="311"/>
      <c r="O76" s="248"/>
      <c r="P76" s="1"/>
      <c r="Q76" s="1"/>
    </row>
    <row r="77" spans="1:17" ht="15" customHeight="1" x14ac:dyDescent="0.4">
      <c r="A77" s="1"/>
      <c r="B77" s="230" t="s">
        <v>39</v>
      </c>
      <c r="C77" s="231"/>
      <c r="D77" s="231"/>
      <c r="E77" s="231"/>
      <c r="F77" s="231"/>
      <c r="G77" s="232"/>
      <c r="H77" s="7">
        <v>31</v>
      </c>
      <c r="I77" s="8">
        <v>29</v>
      </c>
      <c r="J77" s="62">
        <v>31</v>
      </c>
      <c r="K77" s="4">
        <v>31</v>
      </c>
      <c r="L77" s="4">
        <v>26</v>
      </c>
      <c r="M77" s="30">
        <v>26</v>
      </c>
      <c r="N77" s="4">
        <f>SUM(H77:M77)</f>
        <v>174</v>
      </c>
      <c r="O77" s="8">
        <f>SUM(O5:O29)</f>
        <v>84</v>
      </c>
      <c r="P77" s="1"/>
      <c r="Q77" s="1"/>
    </row>
    <row r="78" spans="1:17" ht="15" customHeight="1" x14ac:dyDescent="0.4">
      <c r="A78" s="1"/>
      <c r="B78" s="233" t="s">
        <v>14</v>
      </c>
      <c r="C78" s="234"/>
      <c r="D78" s="234"/>
      <c r="E78" s="234"/>
      <c r="F78" s="234"/>
      <c r="G78" s="235"/>
      <c r="H78" s="12">
        <v>3</v>
      </c>
      <c r="I78" s="13">
        <v>3</v>
      </c>
      <c r="J78" s="61">
        <v>3</v>
      </c>
      <c r="K78" s="9">
        <v>3</v>
      </c>
      <c r="L78" s="9">
        <v>3</v>
      </c>
      <c r="M78" s="9">
        <v>3</v>
      </c>
      <c r="N78" s="9">
        <f>SUM(H78:M78)</f>
        <v>18</v>
      </c>
      <c r="O78" s="13">
        <v>18</v>
      </c>
      <c r="P78" s="1"/>
      <c r="Q78" s="1"/>
    </row>
    <row r="79" spans="1:17" ht="15" customHeight="1" thickBot="1" x14ac:dyDescent="0.45">
      <c r="A79" s="1"/>
      <c r="B79" s="198" t="s">
        <v>40</v>
      </c>
      <c r="C79" s="199"/>
      <c r="D79" s="199"/>
      <c r="E79" s="199"/>
      <c r="F79" s="199"/>
      <c r="G79" s="200"/>
      <c r="H79" s="23">
        <f t="shared" ref="H79:M79" si="0">H77+H78</f>
        <v>34</v>
      </c>
      <c r="I79" s="24">
        <f t="shared" si="0"/>
        <v>32</v>
      </c>
      <c r="J79" s="63">
        <f t="shared" si="0"/>
        <v>34</v>
      </c>
      <c r="K79" s="20">
        <f t="shared" si="0"/>
        <v>34</v>
      </c>
      <c r="L79" s="20">
        <f t="shared" si="0"/>
        <v>29</v>
      </c>
      <c r="M79" s="20">
        <f t="shared" si="0"/>
        <v>29</v>
      </c>
      <c r="N79" s="20">
        <f>SUM(H79:M79)</f>
        <v>192</v>
      </c>
      <c r="O79" s="24"/>
      <c r="P79" s="1"/>
      <c r="Q79" s="1"/>
    </row>
    <row r="80" spans="1:17" x14ac:dyDescent="0.4">
      <c r="A80" s="1"/>
      <c r="B80" s="64"/>
      <c r="C80" s="43"/>
      <c r="D80" s="64"/>
      <c r="E80" s="43"/>
      <c r="F80" s="64"/>
      <c r="G80" s="64"/>
      <c r="H80" s="64"/>
      <c r="I80" s="64"/>
      <c r="J80" s="43"/>
      <c r="K80" s="43"/>
      <c r="L80" s="64"/>
      <c r="M80" s="64"/>
      <c r="N80" s="43"/>
      <c r="O80" s="43"/>
      <c r="P80" s="1"/>
      <c r="Q80" s="1"/>
    </row>
    <row r="81" spans="1:17" x14ac:dyDescent="0.4">
      <c r="A81" s="1"/>
      <c r="B81" s="64"/>
      <c r="C81" s="43"/>
      <c r="D81" s="64"/>
      <c r="E81" s="43"/>
      <c r="F81" s="64"/>
      <c r="G81" s="64"/>
      <c r="H81" s="64"/>
      <c r="I81" s="64"/>
      <c r="J81" s="43"/>
      <c r="K81" s="43"/>
      <c r="L81" s="64"/>
      <c r="M81" s="64"/>
      <c r="N81" s="43"/>
      <c r="O81" s="43"/>
      <c r="P81" s="1"/>
      <c r="Q81" s="1"/>
    </row>
    <row r="82" spans="1:17" x14ac:dyDescent="0.4">
      <c r="A82" s="1"/>
      <c r="B82" s="64"/>
      <c r="C82" s="43"/>
      <c r="D82" s="64"/>
      <c r="E82" s="43"/>
      <c r="F82" s="64"/>
      <c r="G82" s="64"/>
      <c r="H82" s="64"/>
      <c r="I82" s="64"/>
      <c r="J82" s="43"/>
      <c r="K82" s="43"/>
      <c r="L82" s="64"/>
      <c r="M82" s="64"/>
      <c r="N82" s="43"/>
      <c r="O82" s="43"/>
      <c r="P82" s="1"/>
      <c r="Q82" s="1"/>
    </row>
    <row r="83" spans="1:17" x14ac:dyDescent="0.4">
      <c r="A83" s="1"/>
      <c r="B83" s="64"/>
      <c r="C83" s="43"/>
      <c r="D83" s="64"/>
      <c r="E83" s="43"/>
      <c r="F83" s="64"/>
      <c r="G83" s="64"/>
      <c r="H83" s="64"/>
      <c r="I83" s="64"/>
      <c r="J83" s="43"/>
      <c r="K83" s="43"/>
      <c r="L83" s="64"/>
      <c r="M83" s="64"/>
      <c r="N83" s="43"/>
      <c r="O83" s="43"/>
      <c r="P83" s="1"/>
      <c r="Q83" s="1"/>
    </row>
  </sheetData>
  <mergeCells count="63">
    <mergeCell ref="C61:C62"/>
    <mergeCell ref="B79:G79"/>
    <mergeCell ref="N66:N76"/>
    <mergeCell ref="C68:C69"/>
    <mergeCell ref="C70:C71"/>
    <mergeCell ref="C74:C75"/>
    <mergeCell ref="B77:G77"/>
    <mergeCell ref="B78:G78"/>
    <mergeCell ref="B30:B76"/>
    <mergeCell ref="C30:C31"/>
    <mergeCell ref="N30:N38"/>
    <mergeCell ref="O30:O76"/>
    <mergeCell ref="C32:C33"/>
    <mergeCell ref="C34:C35"/>
    <mergeCell ref="C36:C37"/>
    <mergeCell ref="N39:N40"/>
    <mergeCell ref="C41:C42"/>
    <mergeCell ref="N41:N49"/>
    <mergeCell ref="C43:C44"/>
    <mergeCell ref="C45:C46"/>
    <mergeCell ref="C47:C48"/>
    <mergeCell ref="N50:N51"/>
    <mergeCell ref="C52:C53"/>
    <mergeCell ref="N52:N65"/>
    <mergeCell ref="C54:C55"/>
    <mergeCell ref="C56:C57"/>
    <mergeCell ref="C58:C60"/>
    <mergeCell ref="N25:N28"/>
    <mergeCell ref="O25:O28"/>
    <mergeCell ref="C15:C18"/>
    <mergeCell ref="N15:N18"/>
    <mergeCell ref="O15:O18"/>
    <mergeCell ref="C19:C24"/>
    <mergeCell ref="N19:N24"/>
    <mergeCell ref="O19:O24"/>
    <mergeCell ref="B5:B29"/>
    <mergeCell ref="C5:C6"/>
    <mergeCell ref="N5:N6"/>
    <mergeCell ref="O5:O6"/>
    <mergeCell ref="C7:C8"/>
    <mergeCell ref="N7:N8"/>
    <mergeCell ref="O7:O8"/>
    <mergeCell ref="C9:C10"/>
    <mergeCell ref="N9:N10"/>
    <mergeCell ref="O9:O10"/>
    <mergeCell ref="C11:C14"/>
    <mergeCell ref="N11:N12"/>
    <mergeCell ref="O11:O12"/>
    <mergeCell ref="N13:N14"/>
    <mergeCell ref="O13:O14"/>
    <mergeCell ref="C25:C28"/>
    <mergeCell ref="B1:O1"/>
    <mergeCell ref="B2:O2"/>
    <mergeCell ref="B3:B4"/>
    <mergeCell ref="C3:C4"/>
    <mergeCell ref="D3:E4"/>
    <mergeCell ref="F3:F4"/>
    <mergeCell ref="G3:G4"/>
    <mergeCell ref="H3:I3"/>
    <mergeCell ref="J3:K3"/>
    <mergeCell ref="L3:M3"/>
    <mergeCell ref="N3:N4"/>
    <mergeCell ref="O3:O4"/>
  </mergeCells>
  <phoneticPr fontId="1" type="noConversion"/>
  <pageMargins left="0.7" right="0.7" top="0.75" bottom="0.75" header="0.3" footer="0.3"/>
  <pageSetup paperSize="9" scale="5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2026신입생</vt:lpstr>
      <vt:lpstr>2026신입생 컨설팅1안</vt:lpstr>
      <vt:lpstr>삼산고_2026신입생 1-2안</vt:lpstr>
      <vt:lpstr>삼산고_2026신입생 2안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2025-10-14T00:33:38Z</cp:lastPrinted>
  <dcterms:created xsi:type="dcterms:W3CDTF">2022-06-24T01:55:37Z</dcterms:created>
  <dcterms:modified xsi:type="dcterms:W3CDTF">2026-02-05T01:44:55Z</dcterms:modified>
</cp:coreProperties>
</file>