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[] 2025\2025 교육과정부\2025 교육과정\교육청 탑재용\"/>
    </mc:Choice>
  </mc:AlternateContent>
  <xr:revisionPtr revIDLastSave="0" documentId="13_ncr:1_{936F2169-665B-4348-93E8-CED7AE28AD2A}" xr6:coauthVersionLast="47" xr6:coauthVersionMax="47" xr10:uidLastSave="{00000000-0000-0000-0000-000000000000}"/>
  <bookViews>
    <workbookView xWindow="28680" yWindow="-1260" windowWidth="16440" windowHeight="28320" xr2:uid="{00000000-000D-0000-FFFF-FFFF00000000}"/>
  </bookViews>
  <sheets>
    <sheet name="2026학년도 신입생 3개년 편제표" sheetId="3" r:id="rId1"/>
  </sheets>
  <definedNames>
    <definedName name="_xlnm.Print_Area" localSheetId="0">'2026학년도 신입생 3개년 편제표'!$A$1:$N$68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7" i="3" l="1"/>
  <c r="M27" i="3"/>
  <c r="F23" i="3"/>
  <c r="F24" i="3"/>
  <c r="F25" i="3"/>
  <c r="F26" i="3"/>
  <c r="F20" i="3"/>
  <c r="F19" i="3"/>
  <c r="F22" i="3"/>
  <c r="F21" i="3"/>
  <c r="M66" i="3"/>
  <c r="L65" i="3"/>
  <c r="L67" i="3" s="1"/>
  <c r="K65" i="3"/>
  <c r="K67" i="3" s="1"/>
  <c r="J65" i="3"/>
  <c r="J67" i="3" s="1"/>
  <c r="I65" i="3"/>
  <c r="I67" i="3" s="1"/>
  <c r="H65" i="3"/>
  <c r="H67" i="3" s="1"/>
  <c r="G65" i="3"/>
  <c r="G67" i="3" s="1"/>
  <c r="M33" i="3"/>
  <c r="M31" i="3"/>
  <c r="M21" i="3"/>
  <c r="F18" i="3"/>
  <c r="M17" i="3"/>
  <c r="F17" i="3"/>
  <c r="F16" i="3"/>
  <c r="M15" i="3"/>
  <c r="F15" i="3"/>
  <c r="F14" i="3"/>
  <c r="M13" i="3"/>
  <c r="F13" i="3"/>
  <c r="F12" i="3"/>
  <c r="M11" i="3"/>
  <c r="F11" i="3"/>
  <c r="F10" i="3"/>
  <c r="F9" i="3"/>
  <c r="F8" i="3"/>
  <c r="M7" i="3"/>
  <c r="F7" i="3"/>
  <c r="F6" i="3"/>
  <c r="M5" i="3"/>
  <c r="F5" i="3"/>
  <c r="M67" i="3" l="1"/>
  <c r="M65" i="3"/>
</calcChain>
</file>

<file path=xl/sharedStrings.xml><?xml version="1.0" encoding="utf-8"?>
<sst xmlns="http://schemas.openxmlformats.org/spreadsheetml/2006/main" count="188" uniqueCount="102">
  <si>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</si>
  <si>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</si>
  <si>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</si>
  <si>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</si>
  <si>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</si>
  <si>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</si>
  <si>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</si>
  <si>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</si>
  <si>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국어</t>
  </si>
  <si>
    <t>공통</t>
    <phoneticPr fontId="2" type="noConversion"/>
  </si>
  <si>
    <t>일반</t>
    <phoneticPr fontId="2" type="noConversion"/>
  </si>
  <si>
    <t>수학</t>
  </si>
  <si>
    <t>영어</t>
  </si>
  <si>
    <t>과학</t>
    <phoneticPr fontId="2" type="noConversion"/>
  </si>
  <si>
    <t>체육</t>
  </si>
  <si>
    <t>진로</t>
    <phoneticPr fontId="2" type="noConversion"/>
  </si>
  <si>
    <t>예술</t>
    <phoneticPr fontId="2" type="noConversion"/>
  </si>
  <si>
    <t>창의적 체험활동</t>
  </si>
  <si>
    <t>기준
학점</t>
  </si>
  <si>
    <t>운영학점</t>
  </si>
  <si>
    <t>이수 
학점</t>
  </si>
  <si>
    <t>필수
이수
학점</t>
  </si>
  <si>
    <t>이수학점 소계</t>
  </si>
  <si>
    <t>학기별 총 이수 학점</t>
  </si>
  <si>
    <r>
      <rPr>
        <b/>
        <sz val="10"/>
        <color rgb="FF000000"/>
        <rFont val="맑은 고딕"/>
        <family val="3"/>
        <charset val="129"/>
      </rPr>
      <t>울산</t>
    </r>
    <r>
      <rPr>
        <b/>
        <sz val="10"/>
        <color rgb="FF000000"/>
        <rFont val="나눔고딕"/>
        <family val="3"/>
        <charset val="129"/>
      </rPr>
      <t>고등학교</t>
    </r>
    <phoneticPr fontId="2" type="noConversion"/>
  </si>
  <si>
    <t>공통국어1</t>
    <phoneticPr fontId="2" type="noConversion"/>
  </si>
  <si>
    <t>공통국어2</t>
    <phoneticPr fontId="2" type="noConversion"/>
  </si>
  <si>
    <t>공통수학1</t>
    <phoneticPr fontId="2" type="noConversion"/>
  </si>
  <si>
    <t>공통수학2</t>
    <phoneticPr fontId="2" type="noConversion"/>
  </si>
  <si>
    <t>대수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</si>
  <si>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</si>
  <si>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</si>
  <si>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</si>
  <si>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</si>
  <si>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</si>
  <si>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</si>
  <si>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체육1</t>
    <phoneticPr fontId="2" type="noConversion"/>
  </si>
  <si>
    <t>체육2</t>
    <phoneticPr fontId="2" type="noConversion"/>
  </si>
  <si>
    <t>스포츠 문화</t>
    <phoneticPr fontId="2" type="noConversion"/>
  </si>
  <si>
    <t>스포츠 과학</t>
    <phoneticPr fontId="2" type="noConversion"/>
  </si>
  <si>
    <t>스포츠 생활1</t>
    <phoneticPr fontId="2" type="noConversion"/>
  </si>
  <si>
    <t>확률과 통계</t>
    <phoneticPr fontId="2" type="noConversion"/>
  </si>
  <si>
    <t>융합</t>
    <phoneticPr fontId="2" type="noConversion"/>
  </si>
  <si>
    <t>기하, 미적분II, 경제 수학</t>
    <phoneticPr fontId="2" type="noConversion"/>
  </si>
  <si>
    <t>택6</t>
    <phoneticPr fontId="2" type="noConversion"/>
  </si>
  <si>
    <t>사회</t>
    <phoneticPr fontId="2" type="noConversion"/>
  </si>
  <si>
    <t>제2외국어/한문</t>
    <phoneticPr fontId="2" type="noConversion"/>
  </si>
  <si>
    <t>음악</t>
    <phoneticPr fontId="2" type="noConversion"/>
  </si>
  <si>
    <t>미술</t>
    <phoneticPr fontId="2" type="noConversion"/>
  </si>
  <si>
    <t>택5</t>
    <phoneticPr fontId="2" type="noConversion"/>
  </si>
  <si>
    <t>미적분Ⅰ</t>
    <phoneticPr fontId="2" type="noConversion"/>
  </si>
  <si>
    <t>국어</t>
    <phoneticPr fontId="2" type="noConversion"/>
  </si>
  <si>
    <t>영어</t>
    <phoneticPr fontId="2" type="noConversion"/>
  </si>
  <si>
    <t>수학</t>
    <phoneticPr fontId="2" type="noConversion"/>
  </si>
  <si>
    <t>택1</t>
    <phoneticPr fontId="2" type="noConversion"/>
  </si>
  <si>
    <t>실용 통계, 수학과 문화</t>
    <phoneticPr fontId="2" type="noConversion"/>
  </si>
  <si>
    <t>화법과 언어</t>
    <phoneticPr fontId="2" type="noConversion"/>
  </si>
  <si>
    <t>주제 탐구 독서</t>
    <phoneticPr fontId="2" type="noConversion"/>
  </si>
  <si>
    <t>독서 토론과 글쓰기</t>
    <phoneticPr fontId="2" type="noConversion"/>
  </si>
  <si>
    <t>진로와 직업</t>
    <phoneticPr fontId="2" type="noConversion"/>
  </si>
  <si>
    <t>영어 독해와 작문</t>
    <phoneticPr fontId="2" type="noConversion"/>
  </si>
  <si>
    <t>교차집중(↔)</t>
    <phoneticPr fontId="2" type="noConversion"/>
  </si>
  <si>
    <t>교양</t>
    <phoneticPr fontId="2" type="noConversion"/>
  </si>
  <si>
    <t>체육</t>
    <phoneticPr fontId="2" type="noConversion"/>
  </si>
  <si>
    <t>스포츠 생활2</t>
    <phoneticPr fontId="2" type="noConversion"/>
  </si>
  <si>
    <t>문학</t>
    <phoneticPr fontId="2" type="noConversion"/>
  </si>
  <si>
    <t>영어Ⅰ</t>
    <phoneticPr fontId="2" type="noConversion"/>
  </si>
  <si>
    <t>독서와 작문</t>
    <phoneticPr fontId="2" type="noConversion"/>
  </si>
  <si>
    <t>영어Ⅱ</t>
    <phoneticPr fontId="2" type="noConversion"/>
  </si>
  <si>
    <t>사회와 문화, 현대사회와 윤리</t>
    <phoneticPr fontId="2" type="noConversion"/>
  </si>
  <si>
    <t>세계시민과 지리, 세계사</t>
    <phoneticPr fontId="2" type="noConversion"/>
  </si>
  <si>
    <t>심화 영어, 심화 영어 독해와 작문</t>
    <phoneticPr fontId="2" type="noConversion"/>
  </si>
  <si>
    <t>미술 이론*</t>
    <phoneticPr fontId="2" type="noConversion"/>
  </si>
  <si>
    <t>기초 체육 전공 실기*</t>
    <phoneticPr fontId="2" type="noConversion"/>
  </si>
  <si>
    <t>미술 전공 실기*</t>
    <phoneticPr fontId="2" type="noConversion"/>
  </si>
  <si>
    <t>드로잉*</t>
    <phoneticPr fontId="2" type="noConversion"/>
  </si>
  <si>
    <t>인간과 경제활동, 논술, 인공지능 생활 탐구☆</t>
    <phoneticPr fontId="2" type="noConversion"/>
  </si>
  <si>
    <t xml:space="preserve"> </t>
    <phoneticPr fontId="2" type="noConversion"/>
  </si>
  <si>
    <t>언어생활 탐구</t>
    <phoneticPr fontId="2" type="noConversion"/>
  </si>
  <si>
    <t>세계 문화와 영어</t>
    <phoneticPr fontId="2" type="noConversion"/>
  </si>
  <si>
    <t>보건, 논리와 사고, 인공지능 교과 탐구☆</t>
    <phoneticPr fontId="2" type="noConversion"/>
  </si>
  <si>
    <t>미술 창작</t>
    <phoneticPr fontId="2" type="noConversion"/>
  </si>
  <si>
    <t>미술 감상과 비평</t>
    <phoneticPr fontId="2" type="noConversion"/>
  </si>
  <si>
    <t>한문, 일본어</t>
    <phoneticPr fontId="2" type="noConversion"/>
  </si>
  <si>
    <t>언어생활과 한자, 일본 문화</t>
    <phoneticPr fontId="2" type="noConversion"/>
  </si>
  <si>
    <t>한국지리 탐구, 동아시아 역사 기행, 정치, 윤리와 사상,
도시의 미래 탐구, 법과 사회, 경제, 인문학과 윤리, 국제 관계의 이해</t>
    <phoneticPr fontId="2" type="noConversion"/>
  </si>
  <si>
    <t>학
생
선
택
교
육
과
정</t>
    <phoneticPr fontId="2" type="noConversion"/>
  </si>
  <si>
    <t>학
교
지
정
교
육
과
정</t>
    <phoneticPr fontId="2" type="noConversion"/>
  </si>
  <si>
    <t>스포츠 경기 체력*</t>
    <phoneticPr fontId="2" type="noConversion"/>
  </si>
  <si>
    <t>스포츠 경기 기술*</t>
    <phoneticPr fontId="2" type="noConversion"/>
  </si>
  <si>
    <t>2026학년도 신입생 3개년 교육과정 편제표</t>
    <phoneticPr fontId="2" type="noConversion"/>
  </si>
  <si>
    <t>통합과학1</t>
    <phoneticPr fontId="2" type="noConversion"/>
  </si>
  <si>
    <t>통합과학2</t>
    <phoneticPr fontId="2" type="noConversion"/>
  </si>
  <si>
    <t>과학탐구실험1</t>
    <phoneticPr fontId="2" type="noConversion"/>
  </si>
  <si>
    <t>과학탐구실험2</t>
    <phoneticPr fontId="2" type="noConversion"/>
  </si>
  <si>
    <t>생태와 환경</t>
    <phoneticPr fontId="2" type="noConversion"/>
  </si>
  <si>
    <t>물리학, 화학</t>
    <phoneticPr fontId="2" type="noConversion"/>
  </si>
  <si>
    <t>생명과학, 지구과학</t>
    <phoneticPr fontId="2" type="noConversion"/>
  </si>
  <si>
    <t>역학과 에너지, 물질과 에너지, 세포와 물질대사, 지구시스템과학,
전자기와 양자, 화학 반응의 세계, 생물의 유전, 행성우주과학</t>
  </si>
  <si>
    <t>사회문제 탐구, 윤리문제 탐구, 금융과 경제생활, 여행지리,
역사로 탐구하는 현대 세계 , 기후변화와 지속가능한 세계</t>
  </si>
  <si>
    <t>과학의 역사와 문화, 융합과학 탐구, 기후변화와 환경생태</t>
  </si>
  <si>
    <t>*국어, 영어, 수학 교과의 이수학점 총합은 81학점을 초과하지 않도록 하며, 교과 이수 학점이 174학점을 초과하는 경우에는 초과 이수 학점의 50%를 넘지 않도록 한다.
☞ 표기방법 안내
 ◦ 전문교과를 진로선택과목으로 가져올 때 * 표기           ◦ 고시외과목은 ☆ 표기                ◦ 교과특성화학교 관련 과목은 ■ 표기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</si>
</sst>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2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176" fontId="8" fillId="0" borderId="9" xfId="0" applyNumberFormat="1" applyFont="1" applyFill="1" applyBorder="1" applyAlignment="1">
      <alignment horizontal="center" vertical="center" shrinkToFit="1"/>
    </xf>
    <xf numFmtId="176" fontId="8" fillId="0" borderId="10" xfId="0" applyNumberFormat="1" applyFont="1" applyFill="1" applyBorder="1" applyAlignment="1">
      <alignment horizontal="center" vertical="center" shrinkToFit="1"/>
    </xf>
    <xf numFmtId="176" fontId="8" fillId="0" borderId="21" xfId="0" applyNumberFormat="1" applyFont="1" applyFill="1" applyBorder="1" applyAlignment="1">
      <alignment horizontal="center" vertical="center" shrinkToFit="1"/>
    </xf>
    <xf numFmtId="176" fontId="8" fillId="0" borderId="22" xfId="0" applyNumberFormat="1" applyFont="1" applyFill="1" applyBorder="1" applyAlignment="1">
      <alignment horizontal="center" vertical="center" shrinkToFit="1"/>
    </xf>
    <xf numFmtId="176" fontId="8" fillId="0" borderId="20" xfId="0" applyNumberFormat="1" applyFont="1" applyFill="1" applyBorder="1" applyAlignment="1">
      <alignment horizontal="center" vertical="center" shrinkToFit="1"/>
    </xf>
    <xf numFmtId="176" fontId="8" fillId="0" borderId="31" xfId="0" applyNumberFormat="1" applyFont="1" applyFill="1" applyBorder="1" applyAlignment="1">
      <alignment horizontal="center" vertical="center" shrinkToFit="1"/>
    </xf>
    <xf numFmtId="176" fontId="8" fillId="0" borderId="12" xfId="0" applyNumberFormat="1" applyFont="1" applyFill="1" applyBorder="1" applyAlignment="1">
      <alignment horizontal="center" vertical="center" shrinkToFit="1"/>
    </xf>
    <xf numFmtId="176" fontId="8" fillId="0" borderId="17" xfId="0" applyNumberFormat="1" applyFont="1" applyFill="1" applyBorder="1" applyAlignment="1">
      <alignment horizontal="center" vertical="center" shrinkToFit="1"/>
    </xf>
    <xf numFmtId="176" fontId="8" fillId="0" borderId="16" xfId="0" applyNumberFormat="1" applyFont="1" applyFill="1" applyBorder="1" applyAlignment="1">
      <alignment horizontal="center" vertical="center" shrinkToFit="1"/>
    </xf>
    <xf numFmtId="176" fontId="8" fillId="0" borderId="28" xfId="0" applyNumberFormat="1" applyFont="1" applyFill="1" applyBorder="1" applyAlignment="1">
      <alignment horizontal="center" vertical="center" shrinkToFit="1"/>
    </xf>
    <xf numFmtId="176" fontId="8" fillId="0" borderId="27" xfId="0" applyNumberFormat="1" applyFont="1" applyFill="1" applyBorder="1" applyAlignment="1">
      <alignment horizontal="center" vertical="center" shrinkToFit="1"/>
    </xf>
    <xf numFmtId="176" fontId="8" fillId="0" borderId="3" xfId="0" applyNumberFormat="1" applyFont="1" applyFill="1" applyBorder="1" applyAlignment="1">
      <alignment horizontal="center" vertical="center" shrinkToFit="1"/>
    </xf>
    <xf numFmtId="176" fontId="8" fillId="0" borderId="4" xfId="0" applyNumberFormat="1" applyFont="1" applyFill="1" applyBorder="1" applyAlignment="1">
      <alignment horizontal="center" vertical="center" shrinkToFit="1"/>
    </xf>
    <xf numFmtId="176" fontId="8" fillId="0" borderId="32" xfId="0" applyNumberFormat="1" applyFont="1" applyFill="1" applyBorder="1" applyAlignment="1">
      <alignment horizontal="center" vertical="center" shrinkToFit="1"/>
    </xf>
    <xf numFmtId="176" fontId="8" fillId="0" borderId="19" xfId="0" applyNumberFormat="1" applyFont="1" applyFill="1" applyBorder="1" applyAlignment="1">
      <alignment horizontal="center" vertical="center" shrinkToFit="1"/>
    </xf>
    <xf numFmtId="176" fontId="8" fillId="0" borderId="33" xfId="0" applyNumberFormat="1" applyFont="1" applyFill="1" applyBorder="1" applyAlignment="1">
      <alignment horizontal="center" vertical="center" shrinkToFit="1"/>
    </xf>
    <xf numFmtId="176" fontId="9" fillId="0" borderId="14" xfId="0" applyNumberFormat="1" applyFont="1" applyFill="1" applyBorder="1" applyAlignment="1">
      <alignment horizontal="center" vertical="center" shrinkToFit="1"/>
    </xf>
    <xf numFmtId="176" fontId="8" fillId="0" borderId="8" xfId="0" applyNumberFormat="1" applyFont="1" applyFill="1" applyBorder="1" applyAlignment="1">
      <alignment horizontal="center" vertical="center" shrinkToFit="1"/>
    </xf>
    <xf numFmtId="176" fontId="9" fillId="0" borderId="16" xfId="0" applyNumberFormat="1" applyFont="1" applyFill="1" applyBorder="1" applyAlignment="1">
      <alignment horizontal="center" vertical="center" shrinkToFit="1"/>
    </xf>
    <xf numFmtId="176" fontId="7" fillId="0" borderId="1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9" fillId="0" borderId="22" xfId="0" applyNumberFormat="1" applyFont="1" applyFill="1" applyBorder="1" applyAlignment="1">
      <alignment horizontal="center" vertical="center" shrinkToFit="1"/>
    </xf>
    <xf numFmtId="176" fontId="7" fillId="0" borderId="31" xfId="0" applyNumberFormat="1" applyFont="1" applyBorder="1" applyAlignment="1">
      <alignment horizontal="center" vertical="center" wrapText="1"/>
    </xf>
    <xf numFmtId="176" fontId="7" fillId="0" borderId="32" xfId="0" applyNumberFormat="1" applyFont="1" applyBorder="1" applyAlignment="1">
      <alignment horizontal="center" vertical="center" wrapText="1"/>
    </xf>
    <xf numFmtId="176" fontId="8" fillId="0" borderId="30" xfId="0" applyNumberFormat="1" applyFont="1" applyFill="1" applyBorder="1" applyAlignment="1">
      <alignment horizontal="center" vertical="center" shrinkToFit="1"/>
    </xf>
    <xf numFmtId="176" fontId="9" fillId="0" borderId="4" xfId="0" applyNumberFormat="1" applyFont="1" applyFill="1" applyBorder="1" applyAlignment="1">
      <alignment horizontal="center" vertical="center" shrinkToFit="1"/>
    </xf>
    <xf numFmtId="176" fontId="9" fillId="0" borderId="10" xfId="0" applyNumberFormat="1" applyFont="1" applyFill="1" applyBorder="1" applyAlignment="1">
      <alignment horizontal="center" vertical="center" shrinkToFit="1"/>
    </xf>
    <xf numFmtId="0" fontId="8" fillId="0" borderId="9" xfId="0" quotePrefix="1" applyNumberFormat="1" applyFont="1" applyFill="1" applyBorder="1" applyAlignment="1">
      <alignment horizontal="center" vertical="center" shrinkToFit="1"/>
    </xf>
    <xf numFmtId="0" fontId="8" fillId="0" borderId="13" xfId="0" quotePrefix="1" applyNumberFormat="1" applyFont="1" applyFill="1" applyBorder="1" applyAlignment="1">
      <alignment horizontal="center" vertical="center" shrinkToFit="1"/>
    </xf>
    <xf numFmtId="0" fontId="8" fillId="0" borderId="17" xfId="0" quotePrefix="1" applyNumberFormat="1" applyFont="1" applyFill="1" applyBorder="1" applyAlignment="1">
      <alignment horizontal="center" vertical="center" shrinkToFit="1"/>
    </xf>
    <xf numFmtId="0" fontId="8" fillId="0" borderId="21" xfId="0" quotePrefix="1" applyNumberFormat="1" applyFont="1" applyFill="1" applyBorder="1" applyAlignment="1">
      <alignment horizontal="center" vertical="center" shrinkToFit="1"/>
    </xf>
    <xf numFmtId="0" fontId="8" fillId="0" borderId="3" xfId="0" quotePrefix="1" applyNumberFormat="1" applyFont="1" applyFill="1" applyBorder="1" applyAlignment="1">
      <alignment horizontal="center" vertical="center" shrinkToFit="1"/>
    </xf>
    <xf numFmtId="176" fontId="8" fillId="0" borderId="1" xfId="0" applyNumberFormat="1" applyFont="1" applyFill="1" applyBorder="1" applyAlignment="1">
      <alignment horizontal="center" vertical="center" shrinkToFit="1"/>
    </xf>
    <xf numFmtId="176" fontId="3" fillId="0" borderId="0" xfId="0" applyNumberFormat="1" applyFont="1" applyFill="1">
      <alignment vertical="center"/>
    </xf>
    <xf numFmtId="176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>
      <alignment vertical="center"/>
    </xf>
    <xf numFmtId="176" fontId="8" fillId="0" borderId="13" xfId="0" applyNumberFormat="1" applyFont="1" applyFill="1" applyBorder="1" applyAlignment="1">
      <alignment horizontal="center" vertical="center" shrinkToFit="1"/>
    </xf>
    <xf numFmtId="176" fontId="8" fillId="0" borderId="14" xfId="0" applyNumberFormat="1" applyFont="1" applyFill="1" applyBorder="1" applyAlignment="1">
      <alignment horizontal="center" vertical="center" shrinkToFit="1"/>
    </xf>
    <xf numFmtId="176" fontId="9" fillId="0" borderId="30" xfId="0" applyNumberFormat="1" applyFont="1" applyFill="1" applyBorder="1" applyAlignment="1">
      <alignment horizontal="center" vertical="center" shrinkToFit="1"/>
    </xf>
    <xf numFmtId="176" fontId="9" fillId="0" borderId="31" xfId="0" applyNumberFormat="1" applyFont="1" applyFill="1" applyBorder="1" applyAlignment="1">
      <alignment horizontal="center" vertical="center" shrinkToFit="1"/>
    </xf>
    <xf numFmtId="176" fontId="9" fillId="0" borderId="33" xfId="0" applyNumberFormat="1" applyFont="1" applyFill="1" applyBorder="1" applyAlignment="1">
      <alignment horizontal="center" vertical="center" shrinkToFit="1"/>
    </xf>
    <xf numFmtId="176" fontId="9" fillId="0" borderId="32" xfId="0" applyNumberFormat="1" applyFont="1" applyFill="1" applyBorder="1" applyAlignment="1">
      <alignment horizontal="center" vertical="center" shrinkToFit="1"/>
    </xf>
    <xf numFmtId="176" fontId="9" fillId="0" borderId="19" xfId="0" applyNumberFormat="1" applyFont="1" applyFill="1" applyBorder="1" applyAlignment="1">
      <alignment horizontal="center" vertical="center" shrinkToFit="1"/>
    </xf>
    <xf numFmtId="176" fontId="7" fillId="2" borderId="17" xfId="0" applyNumberFormat="1" applyFont="1" applyFill="1" applyBorder="1" applyAlignment="1">
      <alignment horizontal="center" vertical="center" shrinkToFit="1"/>
    </xf>
    <xf numFmtId="176" fontId="7" fillId="2" borderId="16" xfId="0" applyNumberFormat="1" applyFont="1" applyFill="1" applyBorder="1" applyAlignment="1">
      <alignment horizontal="center" vertical="center" shrinkToFit="1"/>
    </xf>
    <xf numFmtId="176" fontId="7" fillId="2" borderId="28" xfId="0" applyNumberFormat="1" applyFont="1" applyFill="1" applyBorder="1" applyAlignment="1">
      <alignment horizontal="center" vertical="center" shrinkToFit="1"/>
    </xf>
    <xf numFmtId="176" fontId="7" fillId="2" borderId="27" xfId="0" applyNumberFormat="1" applyFont="1" applyFill="1" applyBorder="1" applyAlignment="1">
      <alignment horizontal="center" vertical="center" shrinkToFit="1"/>
    </xf>
    <xf numFmtId="176" fontId="9" fillId="0" borderId="8" xfId="0" applyNumberFormat="1" applyFont="1" applyFill="1" applyBorder="1" applyAlignment="1">
      <alignment horizontal="center" vertical="center" shrinkToFit="1"/>
    </xf>
    <xf numFmtId="176" fontId="9" fillId="0" borderId="28" xfId="0" applyNumberFormat="1" applyFont="1" applyFill="1" applyBorder="1" applyAlignment="1">
      <alignment horizontal="center" vertical="center" shrinkToFit="1"/>
    </xf>
    <xf numFmtId="176" fontId="8" fillId="0" borderId="13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45" xfId="0" applyNumberFormat="1" applyFont="1" applyFill="1" applyBorder="1" applyAlignment="1">
      <alignment horizontal="center" vertical="center" shrinkToFit="1"/>
    </xf>
    <xf numFmtId="176" fontId="8" fillId="0" borderId="44" xfId="0" applyNumberFormat="1" applyFont="1" applyFill="1" applyBorder="1" applyAlignment="1">
      <alignment horizontal="center" vertical="center" shrinkToFit="1"/>
    </xf>
    <xf numFmtId="176" fontId="8" fillId="0" borderId="37" xfId="0" applyNumberFormat="1" applyFont="1" applyFill="1" applyBorder="1" applyAlignment="1">
      <alignment horizontal="center" vertical="center" shrinkToFit="1"/>
    </xf>
    <xf numFmtId="176" fontId="8" fillId="0" borderId="38" xfId="0" applyNumberFormat="1" applyFont="1" applyFill="1" applyBorder="1" applyAlignment="1">
      <alignment horizontal="center" vertical="center" shrinkToFit="1"/>
    </xf>
    <xf numFmtId="176" fontId="9" fillId="0" borderId="45" xfId="0" applyNumberFormat="1" applyFont="1" applyFill="1" applyBorder="1" applyAlignment="1">
      <alignment horizontal="center" vertical="center" shrinkToFit="1"/>
    </xf>
    <xf numFmtId="176" fontId="9" fillId="0" borderId="38" xfId="0" applyNumberFormat="1" applyFont="1" applyFill="1" applyBorder="1" applyAlignment="1">
      <alignment horizontal="center" vertical="center" shrinkToFit="1"/>
    </xf>
    <xf numFmtId="176" fontId="8" fillId="0" borderId="2" xfId="0" applyNumberFormat="1" applyFont="1" applyFill="1" applyBorder="1" applyAlignment="1">
      <alignment horizontal="center" vertical="center" shrinkToFit="1"/>
    </xf>
    <xf numFmtId="176" fontId="7" fillId="0" borderId="23" xfId="0" applyNumberFormat="1" applyFont="1" applyFill="1" applyBorder="1" applyAlignment="1">
      <alignment horizontal="center" vertical="center" shrinkToFit="1"/>
    </xf>
    <xf numFmtId="176" fontId="7" fillId="0" borderId="26" xfId="0" applyNumberFormat="1" applyFont="1" applyFill="1" applyBorder="1" applyAlignment="1">
      <alignment horizontal="center" vertical="center" shrinkToFit="1"/>
    </xf>
    <xf numFmtId="176" fontId="7" fillId="0" borderId="24" xfId="0" applyNumberFormat="1" applyFont="1" applyFill="1" applyBorder="1" applyAlignment="1">
      <alignment horizontal="center" vertical="center" shrinkToFit="1"/>
    </xf>
    <xf numFmtId="176" fontId="7" fillId="0" borderId="29" xfId="0" applyNumberFormat="1" applyFont="1" applyFill="1" applyBorder="1" applyAlignment="1">
      <alignment horizontal="center" vertical="center" shrinkToFit="1"/>
    </xf>
    <xf numFmtId="176" fontId="7" fillId="0" borderId="35" xfId="0" applyNumberFormat="1" applyFont="1" applyFill="1" applyBorder="1" applyAlignment="1">
      <alignment horizontal="center" vertical="center" shrinkToFit="1"/>
    </xf>
    <xf numFmtId="176" fontId="7" fillId="0" borderId="25" xfId="0" applyNumberFormat="1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 shrinkToFit="1"/>
    </xf>
    <xf numFmtId="176" fontId="7" fillId="0" borderId="10" xfId="0" applyNumberFormat="1" applyFont="1" applyFill="1" applyBorder="1" applyAlignment="1">
      <alignment horizontal="center" vertical="center" wrapText="1"/>
    </xf>
    <xf numFmtId="176" fontId="7" fillId="0" borderId="33" xfId="0" applyNumberFormat="1" applyFont="1" applyFill="1" applyBorder="1" applyAlignment="1">
      <alignment horizontal="center" vertical="center" wrapText="1"/>
    </xf>
    <xf numFmtId="0" fontId="8" fillId="0" borderId="2" xfId="0" quotePrefix="1" applyNumberFormat="1" applyFont="1" applyFill="1" applyBorder="1" applyAlignment="1">
      <alignment horizontal="center" vertical="center" shrinkToFit="1"/>
    </xf>
    <xf numFmtId="176" fontId="8" fillId="0" borderId="5" xfId="0" applyNumberFormat="1" applyFont="1" applyFill="1" applyBorder="1" applyAlignment="1">
      <alignment horizontal="center" vertical="center" shrinkToFit="1"/>
    </xf>
    <xf numFmtId="176" fontId="8" fillId="0" borderId="53" xfId="0" applyNumberFormat="1" applyFont="1" applyFill="1" applyBorder="1" applyAlignment="1">
      <alignment horizontal="center" vertical="center" shrinkToFit="1"/>
    </xf>
    <xf numFmtId="176" fontId="8" fillId="0" borderId="54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9" fillId="0" borderId="53" xfId="0" applyNumberFormat="1" applyFont="1" applyFill="1" applyBorder="1" applyAlignment="1">
      <alignment horizontal="center" vertical="center" shrinkToFit="1"/>
    </xf>
    <xf numFmtId="176" fontId="9" fillId="0" borderId="5" xfId="0" applyNumberFormat="1" applyFont="1" applyFill="1" applyBorder="1" applyAlignment="1">
      <alignment horizontal="center" vertical="center" shrinkToFit="1"/>
    </xf>
    <xf numFmtId="176" fontId="8" fillId="0" borderId="57" xfId="0" applyNumberFormat="1" applyFont="1" applyFill="1" applyBorder="1" applyAlignment="1">
      <alignment horizontal="center" vertical="center" shrinkToFit="1"/>
    </xf>
    <xf numFmtId="176" fontId="9" fillId="0" borderId="58" xfId="0" applyNumberFormat="1" applyFont="1" applyFill="1" applyBorder="1" applyAlignment="1">
      <alignment horizontal="center" vertical="center" shrinkToFit="1"/>
    </xf>
    <xf numFmtId="176" fontId="7" fillId="0" borderId="41" xfId="0" applyNumberFormat="1" applyFont="1" applyFill="1" applyBorder="1" applyAlignment="1">
      <alignment horizontal="left" vertical="center" shrinkToFit="1"/>
    </xf>
    <xf numFmtId="176" fontId="7" fillId="0" borderId="43" xfId="0" applyNumberFormat="1" applyFont="1" applyFill="1" applyBorder="1" applyAlignment="1">
      <alignment horizontal="left" vertical="center" shrinkToFit="1"/>
    </xf>
    <xf numFmtId="176" fontId="7" fillId="0" borderId="42" xfId="0" applyNumberFormat="1" applyFont="1" applyFill="1" applyBorder="1" applyAlignment="1">
      <alignment horizontal="left" vertical="center" shrinkToFit="1"/>
    </xf>
    <xf numFmtId="176" fontId="7" fillId="0" borderId="46" xfId="0" applyNumberFormat="1" applyFont="1" applyFill="1" applyBorder="1" applyAlignment="1">
      <alignment horizontal="left" vertical="center" shrinkToFit="1"/>
    </xf>
    <xf numFmtId="176" fontId="7" fillId="0" borderId="56" xfId="0" applyNumberFormat="1" applyFont="1" applyFill="1" applyBorder="1" applyAlignment="1">
      <alignment horizontal="left" vertical="center" shrinkToFit="1"/>
    </xf>
    <xf numFmtId="176" fontId="7" fillId="0" borderId="47" xfId="0" applyNumberFormat="1" applyFont="1" applyFill="1" applyBorder="1" applyAlignment="1">
      <alignment horizontal="left" vertical="center" shrinkToFit="1"/>
    </xf>
    <xf numFmtId="176" fontId="7" fillId="0" borderId="40" xfId="0" applyNumberFormat="1" applyFont="1" applyFill="1" applyBorder="1" applyAlignment="1">
      <alignment horizontal="left" vertical="center" shrinkToFit="1"/>
    </xf>
    <xf numFmtId="176" fontId="7" fillId="0" borderId="52" xfId="0" applyNumberFormat="1" applyFont="1" applyFill="1" applyBorder="1" applyAlignment="1">
      <alignment horizontal="left" vertical="center" shrinkToFit="1"/>
    </xf>
    <xf numFmtId="176" fontId="9" fillId="0" borderId="50" xfId="0" applyNumberFormat="1" applyFont="1" applyFill="1" applyBorder="1" applyAlignment="1">
      <alignment horizontal="left" vertical="center" wrapText="1" shrinkToFit="1"/>
    </xf>
    <xf numFmtId="176" fontId="9" fillId="0" borderId="51" xfId="0" applyNumberFormat="1" applyFont="1" applyFill="1" applyBorder="1" applyAlignment="1">
      <alignment horizontal="left" vertical="center" wrapText="1"/>
    </xf>
    <xf numFmtId="0" fontId="9" fillId="0" borderId="42" xfId="0" applyFont="1" applyFill="1" applyBorder="1" applyAlignment="1">
      <alignment horizontal="left" vertical="center" shrinkToFit="1"/>
    </xf>
    <xf numFmtId="0" fontId="9" fillId="0" borderId="47" xfId="0" applyFont="1" applyFill="1" applyBorder="1" applyAlignment="1">
      <alignment horizontal="left" vertical="center" wrapText="1" shrinkToFi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7" fillId="0" borderId="22" xfId="0" applyNumberFormat="1" applyFont="1" applyFill="1" applyBorder="1" applyAlignment="1">
      <alignment horizontal="center" vertical="center" wrapText="1"/>
    </xf>
    <xf numFmtId="176" fontId="9" fillId="0" borderId="47" xfId="0" applyNumberFormat="1" applyFont="1" applyFill="1" applyBorder="1" applyAlignment="1">
      <alignment horizontal="left" vertical="center" shrinkToFit="1"/>
    </xf>
    <xf numFmtId="176" fontId="8" fillId="0" borderId="64" xfId="0" applyNumberFormat="1" applyFont="1" applyFill="1" applyBorder="1" applyAlignment="1">
      <alignment horizontal="center" vertical="center" shrinkToFit="1"/>
    </xf>
    <xf numFmtId="176" fontId="8" fillId="0" borderId="65" xfId="0" applyNumberFormat="1" applyFont="1" applyFill="1" applyBorder="1" applyAlignment="1">
      <alignment horizontal="center" vertical="center" shrinkToFit="1"/>
    </xf>
    <xf numFmtId="176" fontId="8" fillId="0" borderId="66" xfId="0" applyNumberFormat="1" applyFont="1" applyFill="1" applyBorder="1" applyAlignment="1">
      <alignment horizontal="center" vertical="center" shrinkToFit="1"/>
    </xf>
    <xf numFmtId="176" fontId="8" fillId="0" borderId="24" xfId="0" applyNumberFormat="1" applyFont="1" applyFill="1" applyBorder="1" applyAlignment="1">
      <alignment horizontal="center" vertical="center" shrinkToFit="1"/>
    </xf>
    <xf numFmtId="176" fontId="8" fillId="0" borderId="67" xfId="0" applyNumberFormat="1" applyFont="1" applyFill="1" applyBorder="1" applyAlignment="1">
      <alignment horizontal="center" vertical="center" shrinkToFit="1"/>
    </xf>
    <xf numFmtId="176" fontId="8" fillId="0" borderId="23" xfId="0" applyNumberFormat="1" applyFont="1" applyFill="1" applyBorder="1" applyAlignment="1">
      <alignment horizontal="center" vertical="center" shrinkToFit="1"/>
    </xf>
    <xf numFmtId="176" fontId="8" fillId="0" borderId="26" xfId="0" applyNumberFormat="1" applyFont="1" applyFill="1" applyBorder="1" applyAlignment="1">
      <alignment horizontal="center" vertical="center" shrinkToFit="1"/>
    </xf>
    <xf numFmtId="176" fontId="7" fillId="0" borderId="64" xfId="0" applyNumberFormat="1" applyFont="1" applyFill="1" applyBorder="1" applyAlignment="1">
      <alignment horizontal="center" vertical="center" shrinkToFit="1"/>
    </xf>
    <xf numFmtId="176" fontId="7" fillId="0" borderId="64" xfId="0" applyNumberFormat="1" applyFont="1" applyBorder="1" applyAlignment="1">
      <alignment horizontal="center" vertical="center" shrinkToFit="1"/>
    </xf>
    <xf numFmtId="176" fontId="7" fillId="0" borderId="67" xfId="0" applyNumberFormat="1" applyFont="1" applyFill="1" applyBorder="1" applyAlignment="1">
      <alignment horizontal="center" vertical="center" shrinkToFit="1"/>
    </xf>
    <xf numFmtId="176" fontId="7" fillId="0" borderId="63" xfId="0" applyNumberFormat="1" applyFont="1" applyFill="1" applyBorder="1" applyAlignment="1">
      <alignment horizontal="center" vertical="center" shrinkToFit="1"/>
    </xf>
    <xf numFmtId="176" fontId="7" fillId="0" borderId="60" xfId="0" applyNumberFormat="1" applyFont="1" applyFill="1" applyBorder="1" applyAlignment="1">
      <alignment horizontal="center" vertical="center" shrinkToFit="1"/>
    </xf>
    <xf numFmtId="0" fontId="5" fillId="0" borderId="67" xfId="0" applyFont="1" applyFill="1" applyBorder="1">
      <alignment vertical="center"/>
    </xf>
    <xf numFmtId="0" fontId="3" fillId="0" borderId="67" xfId="0" applyFont="1" applyFill="1" applyBorder="1" applyAlignment="1">
      <alignment horizontal="center" vertical="center"/>
    </xf>
    <xf numFmtId="176" fontId="9" fillId="0" borderId="23" xfId="0" applyNumberFormat="1" applyFont="1" applyFill="1" applyBorder="1" applyAlignment="1">
      <alignment horizontal="center" vertical="center" shrinkToFit="1"/>
    </xf>
    <xf numFmtId="176" fontId="9" fillId="0" borderId="63" xfId="0" applyNumberFormat="1" applyFont="1" applyFill="1" applyBorder="1" applyAlignment="1">
      <alignment horizontal="center" vertical="center" shrinkToFit="1"/>
    </xf>
    <xf numFmtId="176" fontId="7" fillId="4" borderId="42" xfId="0" applyNumberFormat="1" applyFont="1" applyFill="1" applyBorder="1" applyAlignment="1">
      <alignment horizontal="left" vertical="center" shrinkToFit="1"/>
    </xf>
    <xf numFmtId="176" fontId="7" fillId="4" borderId="46" xfId="0" applyNumberFormat="1" applyFont="1" applyFill="1" applyBorder="1" applyAlignment="1">
      <alignment horizontal="left" vertical="center" shrinkToFit="1"/>
    </xf>
    <xf numFmtId="176" fontId="7" fillId="4" borderId="48" xfId="0" applyNumberFormat="1" applyFont="1" applyFill="1" applyBorder="1" applyAlignment="1">
      <alignment horizontal="left" vertical="center" shrinkToFit="1"/>
    </xf>
    <xf numFmtId="176" fontId="7" fillId="4" borderId="47" xfId="0" applyNumberFormat="1" applyFont="1" applyFill="1" applyBorder="1" applyAlignment="1">
      <alignment horizontal="left" vertical="center" shrinkToFit="1"/>
    </xf>
    <xf numFmtId="176" fontId="7" fillId="4" borderId="43" xfId="0" applyNumberFormat="1" applyFont="1" applyFill="1" applyBorder="1" applyAlignment="1">
      <alignment horizontal="left" vertical="center" shrinkToFit="1"/>
    </xf>
    <xf numFmtId="176" fontId="7" fillId="4" borderId="41" xfId="0" applyNumberFormat="1" applyFont="1" applyFill="1" applyBorder="1" applyAlignment="1">
      <alignment horizontal="left" vertical="center" shrinkToFit="1"/>
    </xf>
    <xf numFmtId="176" fontId="9" fillId="4" borderId="49" xfId="0" applyNumberFormat="1" applyFont="1" applyFill="1" applyBorder="1" applyAlignment="1">
      <alignment horizontal="left" vertical="center" wrapText="1" shrinkToFit="1"/>
    </xf>
    <xf numFmtId="176" fontId="9" fillId="4" borderId="50" xfId="0" applyNumberFormat="1" applyFont="1" applyFill="1" applyBorder="1" applyAlignment="1">
      <alignment horizontal="left" vertical="center" wrapText="1" shrinkToFit="1"/>
    </xf>
    <xf numFmtId="176" fontId="7" fillId="4" borderId="55" xfId="0" applyNumberFormat="1" applyFont="1" applyFill="1" applyBorder="1" applyAlignment="1">
      <alignment horizontal="left" vertical="center" shrinkToFit="1"/>
    </xf>
    <xf numFmtId="176" fontId="7" fillId="0" borderId="12" xfId="0" applyNumberFormat="1" applyFont="1" applyFill="1" applyBorder="1" applyAlignment="1">
      <alignment horizontal="left" vertical="center" shrinkToFit="1"/>
    </xf>
    <xf numFmtId="176" fontId="12" fillId="0" borderId="51" xfId="0" applyNumberFormat="1" applyFont="1" applyFill="1" applyBorder="1" applyAlignment="1">
      <alignment horizontal="left" vertical="center" wrapText="1" shrinkToFit="1"/>
    </xf>
    <xf numFmtId="176" fontId="12" fillId="0" borderId="51" xfId="0" applyNumberFormat="1" applyFont="1" applyFill="1" applyBorder="1" applyAlignment="1">
      <alignment horizontal="left" vertical="center" wrapText="1"/>
    </xf>
    <xf numFmtId="0" fontId="13" fillId="0" borderId="42" xfId="0" applyFont="1" applyFill="1" applyBorder="1" applyAlignment="1">
      <alignment horizontal="left" vertical="center" wrapText="1" shrinkToFit="1"/>
    </xf>
    <xf numFmtId="176" fontId="7" fillId="3" borderId="23" xfId="0" applyNumberFormat="1" applyFont="1" applyFill="1" applyBorder="1" applyAlignment="1">
      <alignment horizontal="center" vertical="center" wrapText="1"/>
    </xf>
    <xf numFmtId="176" fontId="7" fillId="3" borderId="25" xfId="0" applyNumberFormat="1" applyFont="1" applyFill="1" applyBorder="1" applyAlignment="1">
      <alignment horizontal="center" vertical="center" wrapText="1"/>
    </xf>
    <xf numFmtId="176" fontId="7" fillId="3" borderId="26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24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center" vertical="center" wrapText="1"/>
    </xf>
    <xf numFmtId="176" fontId="7" fillId="0" borderId="9" xfId="0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wrapText="1"/>
    </xf>
    <xf numFmtId="176" fontId="7" fillId="0" borderId="13" xfId="0" applyNumberFormat="1" applyFont="1" applyBorder="1" applyAlignment="1">
      <alignment horizontal="center" vertical="center" wrapText="1"/>
    </xf>
    <xf numFmtId="176" fontId="7" fillId="0" borderId="12" xfId="0" applyNumberFormat="1" applyFont="1" applyBorder="1" applyAlignment="1">
      <alignment horizontal="center" vertical="center" wrapText="1"/>
    </xf>
    <xf numFmtId="176" fontId="9" fillId="5" borderId="23" xfId="0" applyNumberFormat="1" applyFont="1" applyFill="1" applyBorder="1" applyAlignment="1">
      <alignment horizontal="center" vertical="center" shrinkToFit="1"/>
    </xf>
    <xf numFmtId="176" fontId="8" fillId="5" borderId="1" xfId="0" applyNumberFormat="1" applyFont="1" applyFill="1" applyBorder="1" applyAlignment="1">
      <alignment horizontal="center" vertical="center" shrinkToFit="1"/>
    </xf>
    <xf numFmtId="176" fontId="9" fillId="5" borderId="59" xfId="0" applyNumberFormat="1" applyFont="1" applyFill="1" applyBorder="1" applyAlignment="1">
      <alignment horizontal="center" vertical="center" shrinkToFit="1"/>
    </xf>
    <xf numFmtId="176" fontId="9" fillId="5" borderId="60" xfId="0" applyNumberFormat="1" applyFont="1" applyFill="1" applyBorder="1" applyAlignment="1">
      <alignment horizontal="center" vertical="center" shrinkToFit="1"/>
    </xf>
    <xf numFmtId="176" fontId="8" fillId="5" borderId="6" xfId="0" applyNumberFormat="1" applyFont="1" applyFill="1" applyBorder="1" applyAlignment="1">
      <alignment horizontal="center" vertical="center" shrinkToFit="1"/>
    </xf>
    <xf numFmtId="176" fontId="7" fillId="0" borderId="3" xfId="0" applyNumberFormat="1" applyFont="1" applyBorder="1" applyAlignment="1">
      <alignment horizontal="center" vertical="center" wrapText="1"/>
    </xf>
    <xf numFmtId="176" fontId="7" fillId="0" borderId="18" xfId="0" applyNumberFormat="1" applyFont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176" fontId="7" fillId="3" borderId="25" xfId="0" applyNumberFormat="1" applyFont="1" applyFill="1" applyBorder="1" applyAlignment="1">
      <alignment horizontal="center" vertical="center" wrapText="1"/>
    </xf>
    <xf numFmtId="176" fontId="7" fillId="3" borderId="24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0" borderId="9" xfId="0" applyNumberFormat="1" applyFont="1" applyFill="1" applyBorder="1" applyAlignment="1">
      <alignment horizontal="center" vertical="center" wrapText="1"/>
    </xf>
    <xf numFmtId="176" fontId="7" fillId="0" borderId="34" xfId="0" applyNumberFormat="1" applyFont="1" applyFill="1" applyBorder="1" applyAlignment="1">
      <alignment horizontal="center" vertical="center" wrapText="1"/>
    </xf>
    <xf numFmtId="176" fontId="7" fillId="0" borderId="8" xfId="0" applyNumberFormat="1" applyFont="1" applyFill="1" applyBorder="1" applyAlignment="1">
      <alignment horizontal="center" vertical="center" wrapText="1"/>
    </xf>
    <xf numFmtId="176" fontId="7" fillId="0" borderId="13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176" fontId="7" fillId="0" borderId="12" xfId="0" applyNumberFormat="1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11" fillId="3" borderId="35" xfId="0" applyNumberFormat="1" applyFont="1" applyFill="1" applyBorder="1" applyAlignment="1">
      <alignment horizontal="center" vertical="center" wrapText="1"/>
    </xf>
    <xf numFmtId="176" fontId="11" fillId="3" borderId="1" xfId="0" applyNumberFormat="1" applyFont="1" applyFill="1" applyBorder="1" applyAlignment="1">
      <alignment horizontal="center" vertical="center" wrapText="1"/>
    </xf>
    <xf numFmtId="176" fontId="8" fillId="6" borderId="35" xfId="0" applyNumberFormat="1" applyFont="1" applyFill="1" applyBorder="1" applyAlignment="1">
      <alignment horizontal="center" vertical="center" wrapText="1"/>
    </xf>
    <xf numFmtId="176" fontId="8" fillId="6" borderId="6" xfId="0" applyNumberFormat="1" applyFont="1" applyFill="1" applyBorder="1" applyAlignment="1">
      <alignment horizontal="center" vertical="center" wrapText="1"/>
    </xf>
    <xf numFmtId="176" fontId="8" fillId="6" borderId="1" xfId="0" applyNumberFormat="1" applyFont="1" applyFill="1" applyBorder="1" applyAlignment="1">
      <alignment horizontal="center" vertical="center" wrapText="1"/>
    </xf>
    <xf numFmtId="176" fontId="8" fillId="0" borderId="65" xfId="0" applyNumberFormat="1" applyFont="1" applyFill="1" applyBorder="1" applyAlignment="1">
      <alignment horizontal="center" vertical="center" wrapText="1"/>
    </xf>
    <xf numFmtId="176" fontId="8" fillId="0" borderId="66" xfId="0" applyNumberFormat="1" applyFont="1" applyFill="1" applyBorder="1" applyAlignment="1">
      <alignment horizontal="center" vertical="center" wrapText="1"/>
    </xf>
    <xf numFmtId="176" fontId="7" fillId="3" borderId="35" xfId="0" applyNumberFormat="1" applyFont="1" applyFill="1" applyBorder="1" applyAlignment="1">
      <alignment horizontal="center" vertical="center" wrapText="1" shrinkToFit="1"/>
    </xf>
    <xf numFmtId="176" fontId="7" fillId="3" borderId="1" xfId="0" applyNumberFormat="1" applyFont="1" applyFill="1" applyBorder="1" applyAlignment="1">
      <alignment horizontal="center" vertical="center" wrapText="1" shrinkToFit="1"/>
    </xf>
    <xf numFmtId="176" fontId="8" fillId="0" borderId="37" xfId="0" applyNumberFormat="1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8" fillId="0" borderId="38" xfId="0" applyNumberFormat="1" applyFont="1" applyFill="1" applyBorder="1" applyAlignment="1">
      <alignment horizontal="center" vertical="center" wrapText="1"/>
    </xf>
    <xf numFmtId="176" fontId="8" fillId="0" borderId="15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6" fontId="9" fillId="5" borderId="61" xfId="0" applyNumberFormat="1" applyFont="1" applyFill="1" applyBorder="1" applyAlignment="1">
      <alignment horizontal="center" vertical="center" wrapText="1" shrinkToFit="1"/>
    </xf>
    <xf numFmtId="176" fontId="9" fillId="5" borderId="62" xfId="0" applyNumberFormat="1" applyFont="1" applyFill="1" applyBorder="1" applyAlignment="1">
      <alignment horizontal="center" vertical="center" wrapText="1" shrinkToFit="1"/>
    </xf>
    <xf numFmtId="176" fontId="8" fillId="6" borderId="37" xfId="0" applyNumberFormat="1" applyFont="1" applyFill="1" applyBorder="1" applyAlignment="1">
      <alignment horizontal="center" vertical="center" wrapText="1"/>
    </xf>
    <xf numFmtId="176" fontId="8" fillId="6" borderId="2" xfId="0" applyNumberFormat="1" applyFont="1" applyFill="1" applyBorder="1" applyAlignment="1">
      <alignment horizontal="center" vertical="center" wrapText="1"/>
    </xf>
    <xf numFmtId="176" fontId="8" fillId="6" borderId="38" xfId="0" applyNumberFormat="1" applyFont="1" applyFill="1" applyBorder="1" applyAlignment="1">
      <alignment horizontal="center" vertical="center" wrapText="1"/>
    </xf>
    <xf numFmtId="176" fontId="8" fillId="6" borderId="5" xfId="0" applyNumberFormat="1" applyFont="1" applyFill="1" applyBorder="1" applyAlignment="1">
      <alignment horizontal="center" vertical="center" wrapText="1"/>
    </xf>
    <xf numFmtId="176" fontId="7" fillId="3" borderId="35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8" fillId="5" borderId="37" xfId="0" applyNumberFormat="1" applyFont="1" applyFill="1" applyBorder="1" applyAlignment="1">
      <alignment horizontal="center" vertical="center" wrapText="1"/>
    </xf>
    <xf numFmtId="176" fontId="8" fillId="5" borderId="7" xfId="0" applyNumberFormat="1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center" vertical="center" wrapText="1"/>
    </xf>
    <xf numFmtId="176" fontId="8" fillId="5" borderId="38" xfId="0" applyNumberFormat="1" applyFont="1" applyFill="1" applyBorder="1" applyAlignment="1">
      <alignment horizontal="center" vertical="center" wrapText="1"/>
    </xf>
    <xf numFmtId="176" fontId="8" fillId="5" borderId="15" xfId="0" applyNumberFormat="1" applyFont="1" applyFill="1" applyBorder="1" applyAlignment="1">
      <alignment horizontal="center" vertical="center" wrapText="1"/>
    </xf>
    <xf numFmtId="176" fontId="8" fillId="5" borderId="5" xfId="0" applyNumberFormat="1" applyFont="1" applyFill="1" applyBorder="1" applyAlignment="1">
      <alignment horizontal="center" vertical="center" wrapText="1"/>
    </xf>
    <xf numFmtId="176" fontId="8" fillId="0" borderId="37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76" fontId="7" fillId="3" borderId="26" xfId="0" applyNumberFormat="1" applyFont="1" applyFill="1" applyBorder="1" applyAlignment="1">
      <alignment horizontal="center" vertical="center" wrapText="1"/>
    </xf>
    <xf numFmtId="0" fontId="8" fillId="0" borderId="38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 shrinkToFit="1"/>
    </xf>
    <xf numFmtId="176" fontId="7" fillId="3" borderId="23" xfId="0" applyNumberFormat="1" applyFont="1" applyFill="1" applyBorder="1" applyAlignment="1">
      <alignment horizontal="center" vertical="center" wrapText="1"/>
    </xf>
    <xf numFmtId="176" fontId="7" fillId="3" borderId="29" xfId="0" applyNumberFormat="1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176" fontId="7" fillId="2" borderId="23" xfId="0" applyNumberFormat="1" applyFont="1" applyFill="1" applyBorder="1" applyAlignment="1">
      <alignment horizontal="center" vertical="center" wrapText="1"/>
    </xf>
    <xf numFmtId="176" fontId="7" fillId="2" borderId="25" xfId="0" applyNumberFormat="1" applyFont="1" applyFill="1" applyBorder="1" applyAlignment="1">
      <alignment horizontal="center" vertical="center" wrapText="1"/>
    </xf>
    <xf numFmtId="176" fontId="7" fillId="2" borderId="30" xfId="0" applyNumberFormat="1" applyFont="1" applyFill="1" applyBorder="1" applyAlignment="1">
      <alignment horizontal="center" vertical="center" wrapText="1"/>
    </xf>
    <xf numFmtId="176" fontId="7" fillId="2" borderId="20" xfId="0" applyNumberFormat="1" applyFont="1" applyFill="1" applyBorder="1" applyAlignment="1">
      <alignment horizontal="center" vertical="center" wrapText="1"/>
    </xf>
    <xf numFmtId="176" fontId="7" fillId="2" borderId="28" xfId="0" applyNumberFormat="1" applyFont="1" applyFill="1" applyBorder="1" applyAlignment="1">
      <alignment horizontal="center" vertical="center" wrapText="1"/>
    </xf>
    <xf numFmtId="176" fontId="7" fillId="2" borderId="27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176" fontId="7" fillId="2" borderId="17" xfId="0" applyNumberFormat="1" applyFont="1" applyFill="1" applyBorder="1" applyAlignment="1">
      <alignment horizontal="center" vertical="center" wrapText="1"/>
    </xf>
    <xf numFmtId="176" fontId="7" fillId="2" borderId="22" xfId="0" applyNumberFormat="1" applyFont="1" applyFill="1" applyBorder="1" applyAlignment="1">
      <alignment horizontal="center" vertical="center" wrapText="1"/>
    </xf>
    <xf numFmtId="176" fontId="7" fillId="2" borderId="1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3"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FE1D-D53F-46B4-91C4-75E472BDD45C}">
  <sheetPr>
    <tabColor rgb="FFFFC000"/>
    <pageSetUpPr fitToPage="1"/>
  </sheetPr>
  <dimension ref="A1:R73"/>
  <sheetViews>
    <sheetView tabSelected="1" view="pageBreakPreview" zoomScaleNormal="85" zoomScaleSheetLayoutView="100" workbookViewId="0">
      <pane xSplit="1" ySplit="4" topLeftCell="B5" activePane="bottomRight" state="frozen"/>
      <selection activeCell="U23" sqref="U23"/>
      <selection pane="topRight" activeCell="U23" sqref="U23"/>
      <selection pane="bottomLeft" activeCell="U23" sqref="U23"/>
      <selection pane="bottomRight" activeCell="A2" sqref="A2:N2"/>
    </sheetView>
  </sheetViews>
  <sheetFormatPr defaultColWidth="9" defaultRowHeight="14.25" x14ac:dyDescent="0.3"/>
  <cols>
    <col min="1" max="1" width="4" style="4" customWidth="1"/>
    <col min="2" max="2" width="8.75" style="3" bestFit="1" customWidth="1"/>
    <col min="3" max="3" width="4.75" style="4" bestFit="1" customWidth="1"/>
    <col min="4" max="4" width="48.75" style="3" customWidth="1"/>
    <col min="5" max="6" width="4.375" style="4" customWidth="1"/>
    <col min="7" max="8" width="5.125" style="4" customWidth="1"/>
    <col min="9" max="10" width="5.125" style="3" customWidth="1"/>
    <col min="11" max="12" width="5.125" style="4" customWidth="1"/>
    <col min="13" max="13" width="4.375" style="3" customWidth="1"/>
    <col min="14" max="14" width="4.75" style="3" customWidth="1"/>
    <col min="15" max="15" width="9" style="1"/>
    <col min="16" max="16" width="9.625" style="76" bestFit="1" customWidth="1"/>
    <col min="17" max="17" width="9" style="76"/>
    <col min="18" max="18" width="9.625" style="1" bestFit="1" customWidth="1"/>
    <col min="19" max="16384" width="9" style="1"/>
  </cols>
  <sheetData>
    <row r="1" spans="1:16" ht="26.25" x14ac:dyDescent="0.3">
      <c r="A1" s="198" t="s">
        <v>90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6" ht="15" thickBot="1" x14ac:dyDescent="0.35">
      <c r="A2" s="199" t="s">
        <v>24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6" x14ac:dyDescent="0.3">
      <c r="A3" s="200" t="s">
        <v>0</v>
      </c>
      <c r="B3" s="202" t="s">
        <v>1</v>
      </c>
      <c r="C3" s="204" t="s">
        <v>2</v>
      </c>
      <c r="D3" s="205"/>
      <c r="E3" s="208" t="s">
        <v>18</v>
      </c>
      <c r="F3" s="210" t="s">
        <v>19</v>
      </c>
      <c r="G3" s="204" t="s">
        <v>3</v>
      </c>
      <c r="H3" s="210"/>
      <c r="I3" s="204" t="s">
        <v>4</v>
      </c>
      <c r="J3" s="205"/>
      <c r="K3" s="208" t="s">
        <v>5</v>
      </c>
      <c r="L3" s="210"/>
      <c r="M3" s="204" t="s">
        <v>20</v>
      </c>
      <c r="N3" s="210" t="s">
        <v>21</v>
      </c>
    </row>
    <row r="4" spans="1:16" ht="15" thickBot="1" x14ac:dyDescent="0.35">
      <c r="A4" s="201"/>
      <c r="B4" s="203"/>
      <c r="C4" s="206"/>
      <c r="D4" s="207"/>
      <c r="E4" s="209"/>
      <c r="F4" s="211"/>
      <c r="G4" s="50" t="s">
        <v>6</v>
      </c>
      <c r="H4" s="49" t="s">
        <v>7</v>
      </c>
      <c r="I4" s="50" t="s">
        <v>6</v>
      </c>
      <c r="J4" s="51" t="s">
        <v>7</v>
      </c>
      <c r="K4" s="48" t="s">
        <v>6</v>
      </c>
      <c r="L4" s="49" t="s">
        <v>7</v>
      </c>
      <c r="M4" s="206"/>
      <c r="N4" s="211"/>
    </row>
    <row r="5" spans="1:16" ht="15" customHeight="1" x14ac:dyDescent="0.3">
      <c r="A5" s="197" t="s">
        <v>87</v>
      </c>
      <c r="B5" s="195" t="s">
        <v>8</v>
      </c>
      <c r="C5" s="63" t="s">
        <v>9</v>
      </c>
      <c r="D5" s="82" t="s">
        <v>25</v>
      </c>
      <c r="E5" s="35">
        <v>4</v>
      </c>
      <c r="F5" s="8">
        <f>SUM(G5:L5)</f>
        <v>4</v>
      </c>
      <c r="G5" s="29">
        <v>4</v>
      </c>
      <c r="H5" s="9"/>
      <c r="I5" s="7"/>
      <c r="J5" s="8"/>
      <c r="K5" s="43"/>
      <c r="L5" s="26"/>
      <c r="M5" s="187">
        <f>SUM(G5:L6)</f>
        <v>8</v>
      </c>
      <c r="N5" s="170">
        <v>8</v>
      </c>
    </row>
    <row r="6" spans="1:16" ht="15" customHeight="1" thickBot="1" x14ac:dyDescent="0.35">
      <c r="A6" s="156"/>
      <c r="B6" s="147"/>
      <c r="C6" s="68" t="s">
        <v>9</v>
      </c>
      <c r="D6" s="83" t="s">
        <v>26</v>
      </c>
      <c r="E6" s="34">
        <v>4</v>
      </c>
      <c r="F6" s="13">
        <f t="shared" ref="F6:F26" si="0">SUM(G6:L6)</f>
        <v>4</v>
      </c>
      <c r="G6" s="14"/>
      <c r="H6" s="15">
        <v>4</v>
      </c>
      <c r="I6" s="12"/>
      <c r="J6" s="13"/>
      <c r="K6" s="53"/>
      <c r="L6" s="23"/>
      <c r="M6" s="189"/>
      <c r="N6" s="172"/>
    </row>
    <row r="7" spans="1:16" ht="15" customHeight="1" x14ac:dyDescent="0.3">
      <c r="A7" s="156"/>
      <c r="B7" s="195" t="s">
        <v>11</v>
      </c>
      <c r="C7" s="63" t="s">
        <v>9</v>
      </c>
      <c r="D7" s="82" t="s">
        <v>27</v>
      </c>
      <c r="E7" s="35">
        <v>4</v>
      </c>
      <c r="F7" s="8">
        <f t="shared" si="0"/>
        <v>4</v>
      </c>
      <c r="G7" s="29">
        <v>4</v>
      </c>
      <c r="H7" s="9"/>
      <c r="I7" s="7"/>
      <c r="J7" s="8"/>
      <c r="K7" s="43"/>
      <c r="L7" s="26"/>
      <c r="M7" s="187">
        <f>SUM(G7:L10)</f>
        <v>14</v>
      </c>
      <c r="N7" s="170">
        <v>8</v>
      </c>
    </row>
    <row r="8" spans="1:16" ht="15" customHeight="1" x14ac:dyDescent="0.3">
      <c r="A8" s="156"/>
      <c r="B8" s="190"/>
      <c r="C8" s="64" t="s">
        <v>9</v>
      </c>
      <c r="D8" s="84" t="s">
        <v>28</v>
      </c>
      <c r="E8" s="33">
        <v>4</v>
      </c>
      <c r="F8" s="42">
        <f t="shared" si="0"/>
        <v>4</v>
      </c>
      <c r="G8" s="10"/>
      <c r="H8" s="11">
        <v>4</v>
      </c>
      <c r="I8" s="41"/>
      <c r="J8" s="42"/>
      <c r="K8" s="44"/>
      <c r="L8" s="21"/>
      <c r="M8" s="188"/>
      <c r="N8" s="171"/>
    </row>
    <row r="9" spans="1:16" ht="15" customHeight="1" x14ac:dyDescent="0.3">
      <c r="A9" s="156"/>
      <c r="B9" s="190"/>
      <c r="C9" s="64" t="s">
        <v>10</v>
      </c>
      <c r="D9" s="113" t="s">
        <v>29</v>
      </c>
      <c r="E9" s="33">
        <v>4</v>
      </c>
      <c r="F9" s="42">
        <f t="shared" si="0"/>
        <v>3</v>
      </c>
      <c r="G9" s="10"/>
      <c r="H9" s="11"/>
      <c r="I9" s="41">
        <v>3</v>
      </c>
      <c r="J9" s="42"/>
      <c r="K9" s="44"/>
      <c r="L9" s="21"/>
      <c r="M9" s="188"/>
      <c r="N9" s="171"/>
    </row>
    <row r="10" spans="1:16" ht="15" customHeight="1" thickBot="1" x14ac:dyDescent="0.35">
      <c r="A10" s="156"/>
      <c r="B10" s="196"/>
      <c r="C10" s="66" t="s">
        <v>10</v>
      </c>
      <c r="D10" s="114" t="s">
        <v>41</v>
      </c>
      <c r="E10" s="36">
        <v>4</v>
      </c>
      <c r="F10" s="17">
        <f t="shared" si="0"/>
        <v>3</v>
      </c>
      <c r="G10" s="18"/>
      <c r="H10" s="19"/>
      <c r="I10" s="16"/>
      <c r="J10" s="17">
        <v>3</v>
      </c>
      <c r="K10" s="46"/>
      <c r="L10" s="30"/>
      <c r="M10" s="189"/>
      <c r="N10" s="172"/>
    </row>
    <row r="11" spans="1:16" ht="15" customHeight="1" x14ac:dyDescent="0.3">
      <c r="A11" s="156"/>
      <c r="B11" s="195" t="s">
        <v>12</v>
      </c>
      <c r="C11" s="63" t="s">
        <v>9</v>
      </c>
      <c r="D11" s="82" t="s">
        <v>30</v>
      </c>
      <c r="E11" s="35">
        <v>4</v>
      </c>
      <c r="F11" s="8">
        <f t="shared" si="0"/>
        <v>4</v>
      </c>
      <c r="G11" s="29">
        <v>4</v>
      </c>
      <c r="H11" s="9"/>
      <c r="I11" s="7"/>
      <c r="J11" s="8"/>
      <c r="K11" s="43"/>
      <c r="L11" s="26"/>
      <c r="M11" s="187">
        <f>SUM(G11:L12)</f>
        <v>8</v>
      </c>
      <c r="N11" s="170">
        <v>8</v>
      </c>
    </row>
    <row r="12" spans="1:16" ht="15" customHeight="1" thickBot="1" x14ac:dyDescent="0.35">
      <c r="A12" s="156"/>
      <c r="B12" s="196"/>
      <c r="C12" s="66" t="s">
        <v>9</v>
      </c>
      <c r="D12" s="85" t="s">
        <v>31</v>
      </c>
      <c r="E12" s="36">
        <v>4</v>
      </c>
      <c r="F12" s="17">
        <f t="shared" si="0"/>
        <v>4</v>
      </c>
      <c r="G12" s="18"/>
      <c r="H12" s="19">
        <v>4</v>
      </c>
      <c r="I12" s="16"/>
      <c r="J12" s="17"/>
      <c r="K12" s="46"/>
      <c r="L12" s="30"/>
      <c r="M12" s="189"/>
      <c r="N12" s="172"/>
      <c r="O12" s="38"/>
    </row>
    <row r="13" spans="1:16" ht="15" customHeight="1" x14ac:dyDescent="0.3">
      <c r="A13" s="156"/>
      <c r="B13" s="194" t="s">
        <v>45</v>
      </c>
      <c r="C13" s="67" t="s">
        <v>9</v>
      </c>
      <c r="D13" s="115" t="s">
        <v>32</v>
      </c>
      <c r="E13" s="35">
        <v>3</v>
      </c>
      <c r="F13" s="8">
        <f t="shared" si="0"/>
        <v>3</v>
      </c>
      <c r="G13" s="56">
        <v>3</v>
      </c>
      <c r="H13" s="57"/>
      <c r="I13" s="58"/>
      <c r="J13" s="59"/>
      <c r="K13" s="60"/>
      <c r="L13" s="61"/>
      <c r="M13" s="187">
        <f>SUM(G13:L14)</f>
        <v>6</v>
      </c>
      <c r="N13" s="170">
        <v>6</v>
      </c>
    </row>
    <row r="14" spans="1:16" ht="15" customHeight="1" thickBot="1" x14ac:dyDescent="0.35">
      <c r="A14" s="156"/>
      <c r="B14" s="194"/>
      <c r="C14" s="66" t="s">
        <v>9</v>
      </c>
      <c r="D14" s="114" t="s">
        <v>33</v>
      </c>
      <c r="E14" s="36">
        <v>3</v>
      </c>
      <c r="F14" s="17">
        <f t="shared" si="0"/>
        <v>3</v>
      </c>
      <c r="G14" s="18"/>
      <c r="H14" s="19">
        <v>3</v>
      </c>
      <c r="I14" s="16"/>
      <c r="J14" s="17"/>
      <c r="K14" s="46"/>
      <c r="L14" s="30"/>
      <c r="M14" s="189"/>
      <c r="N14" s="172"/>
      <c r="P14" s="77"/>
    </row>
    <row r="15" spans="1:16" ht="15" customHeight="1" x14ac:dyDescent="0.3">
      <c r="A15" s="156"/>
      <c r="B15" s="194"/>
      <c r="C15" s="65" t="s">
        <v>9</v>
      </c>
      <c r="D15" s="116" t="s">
        <v>34</v>
      </c>
      <c r="E15" s="32">
        <v>4</v>
      </c>
      <c r="F15" s="6">
        <f t="shared" si="0"/>
        <v>4</v>
      </c>
      <c r="G15" s="20">
        <v>4</v>
      </c>
      <c r="H15" s="22"/>
      <c r="I15" s="5"/>
      <c r="J15" s="6"/>
      <c r="K15" s="45"/>
      <c r="L15" s="31"/>
      <c r="M15" s="187">
        <f>SUM(G15:L16)</f>
        <v>8</v>
      </c>
      <c r="N15" s="170">
        <v>8</v>
      </c>
    </row>
    <row r="16" spans="1:16" ht="15" customHeight="1" thickBot="1" x14ac:dyDescent="0.35">
      <c r="A16" s="156"/>
      <c r="B16" s="194"/>
      <c r="C16" s="68" t="s">
        <v>9</v>
      </c>
      <c r="D16" s="117" t="s">
        <v>35</v>
      </c>
      <c r="E16" s="34">
        <v>4</v>
      </c>
      <c r="F16" s="13">
        <f t="shared" si="0"/>
        <v>4</v>
      </c>
      <c r="G16" s="14"/>
      <c r="H16" s="15">
        <v>4</v>
      </c>
      <c r="I16" s="12"/>
      <c r="J16" s="13"/>
      <c r="K16" s="53"/>
      <c r="L16" s="23"/>
      <c r="M16" s="189"/>
      <c r="N16" s="172"/>
    </row>
    <row r="17" spans="1:18" ht="15" customHeight="1" x14ac:dyDescent="0.3">
      <c r="A17" s="156"/>
      <c r="B17" s="179" t="s">
        <v>13</v>
      </c>
      <c r="C17" s="63" t="s">
        <v>9</v>
      </c>
      <c r="D17" s="118" t="s">
        <v>91</v>
      </c>
      <c r="E17" s="35">
        <v>4</v>
      </c>
      <c r="F17" s="8">
        <f t="shared" si="0"/>
        <v>3</v>
      </c>
      <c r="G17" s="29">
        <v>3</v>
      </c>
      <c r="H17" s="9"/>
      <c r="I17" s="7"/>
      <c r="J17" s="8"/>
      <c r="K17" s="43"/>
      <c r="L17" s="26"/>
      <c r="M17" s="187">
        <f>SUM(G17:L20)</f>
        <v>8</v>
      </c>
      <c r="N17" s="170">
        <v>10</v>
      </c>
    </row>
    <row r="18" spans="1:18" ht="15" customHeight="1" x14ac:dyDescent="0.3">
      <c r="A18" s="156"/>
      <c r="B18" s="149"/>
      <c r="C18" s="64" t="s">
        <v>9</v>
      </c>
      <c r="D18" s="113" t="s">
        <v>92</v>
      </c>
      <c r="E18" s="33">
        <v>4</v>
      </c>
      <c r="F18" s="42">
        <f t="shared" si="0"/>
        <v>3</v>
      </c>
      <c r="G18" s="10"/>
      <c r="H18" s="11">
        <v>3</v>
      </c>
      <c r="I18" s="41"/>
      <c r="J18" s="42"/>
      <c r="K18" s="44"/>
      <c r="L18" s="21"/>
      <c r="M18" s="188"/>
      <c r="N18" s="171"/>
      <c r="R18" s="76"/>
    </row>
    <row r="19" spans="1:18" ht="15" customHeight="1" x14ac:dyDescent="0.3">
      <c r="A19" s="156"/>
      <c r="B19" s="149"/>
      <c r="C19" s="64" t="s">
        <v>9</v>
      </c>
      <c r="D19" s="84" t="s">
        <v>93</v>
      </c>
      <c r="E19" s="33">
        <v>1</v>
      </c>
      <c r="F19" s="42">
        <f>SUM(G19:L19)</f>
        <v>1</v>
      </c>
      <c r="G19" s="10">
        <v>1</v>
      </c>
      <c r="H19" s="11"/>
      <c r="I19" s="41"/>
      <c r="J19" s="42"/>
      <c r="K19" s="44"/>
      <c r="L19" s="21"/>
      <c r="M19" s="188"/>
      <c r="N19" s="171"/>
      <c r="R19" s="76"/>
    </row>
    <row r="20" spans="1:18" ht="15" customHeight="1" thickBot="1" x14ac:dyDescent="0.35">
      <c r="A20" s="156"/>
      <c r="B20" s="180"/>
      <c r="C20" s="69" t="s">
        <v>9</v>
      </c>
      <c r="D20" s="86" t="s">
        <v>94</v>
      </c>
      <c r="E20" s="72">
        <v>1</v>
      </c>
      <c r="F20" s="73">
        <f>SUM(G20:L20)</f>
        <v>1</v>
      </c>
      <c r="G20" s="74"/>
      <c r="H20" s="75">
        <v>1</v>
      </c>
      <c r="I20" s="62"/>
      <c r="J20" s="73"/>
      <c r="K20" s="78"/>
      <c r="L20" s="79"/>
      <c r="M20" s="189"/>
      <c r="N20" s="172"/>
      <c r="R20" s="76"/>
    </row>
    <row r="21" spans="1:18" ht="15" customHeight="1" x14ac:dyDescent="0.3">
      <c r="A21" s="156"/>
      <c r="B21" s="148" t="s">
        <v>14</v>
      </c>
      <c r="C21" s="65" t="s">
        <v>10</v>
      </c>
      <c r="D21" s="87" t="s">
        <v>36</v>
      </c>
      <c r="E21" s="32">
        <v>3</v>
      </c>
      <c r="F21" s="8">
        <f t="shared" si="0"/>
        <v>2</v>
      </c>
      <c r="G21" s="20">
        <v>2</v>
      </c>
      <c r="H21" s="22"/>
      <c r="I21" s="5"/>
      <c r="J21" s="6"/>
      <c r="K21" s="45"/>
      <c r="L21" s="31"/>
      <c r="M21" s="167">
        <f>SUM(G21:L26)</f>
        <v>10</v>
      </c>
      <c r="N21" s="191">
        <v>10</v>
      </c>
      <c r="R21" s="76"/>
    </row>
    <row r="22" spans="1:18" ht="15" customHeight="1" x14ac:dyDescent="0.3">
      <c r="A22" s="156"/>
      <c r="B22" s="148"/>
      <c r="C22" s="64" t="s">
        <v>10</v>
      </c>
      <c r="D22" s="84" t="s">
        <v>37</v>
      </c>
      <c r="E22" s="33">
        <v>3</v>
      </c>
      <c r="F22" s="42">
        <f t="shared" si="0"/>
        <v>2</v>
      </c>
      <c r="G22" s="10"/>
      <c r="H22" s="11">
        <v>2</v>
      </c>
      <c r="I22" s="41"/>
      <c r="J22" s="42"/>
      <c r="K22" s="44"/>
      <c r="L22" s="21"/>
      <c r="M22" s="168"/>
      <c r="N22" s="192"/>
      <c r="R22" s="76"/>
    </row>
    <row r="23" spans="1:18" ht="15" customHeight="1" x14ac:dyDescent="0.3">
      <c r="A23" s="156"/>
      <c r="B23" s="190"/>
      <c r="C23" s="64" t="s">
        <v>15</v>
      </c>
      <c r="D23" s="84" t="s">
        <v>38</v>
      </c>
      <c r="E23" s="33">
        <v>2</v>
      </c>
      <c r="F23" s="42">
        <f t="shared" si="0"/>
        <v>1</v>
      </c>
      <c r="G23" s="10"/>
      <c r="H23" s="11"/>
      <c r="I23" s="41">
        <v>1</v>
      </c>
      <c r="J23" s="42"/>
      <c r="K23" s="44"/>
      <c r="L23" s="21"/>
      <c r="M23" s="168"/>
      <c r="N23" s="192"/>
      <c r="R23" s="76"/>
    </row>
    <row r="24" spans="1:18" ht="15" customHeight="1" x14ac:dyDescent="0.3">
      <c r="A24" s="156"/>
      <c r="B24" s="147"/>
      <c r="C24" s="68" t="s">
        <v>15</v>
      </c>
      <c r="D24" s="83" t="s">
        <v>39</v>
      </c>
      <c r="E24" s="34">
        <v>2</v>
      </c>
      <c r="F24" s="42">
        <f t="shared" si="0"/>
        <v>1</v>
      </c>
      <c r="G24" s="14"/>
      <c r="H24" s="15"/>
      <c r="I24" s="12"/>
      <c r="J24" s="13">
        <v>1</v>
      </c>
      <c r="K24" s="53"/>
      <c r="L24" s="23"/>
      <c r="M24" s="168"/>
      <c r="N24" s="192"/>
      <c r="R24" s="76"/>
    </row>
    <row r="25" spans="1:18" ht="15" customHeight="1" x14ac:dyDescent="0.3">
      <c r="A25" s="156"/>
      <c r="B25" s="129"/>
      <c r="C25" s="64" t="s">
        <v>42</v>
      </c>
      <c r="D25" s="84" t="s">
        <v>40</v>
      </c>
      <c r="E25" s="33">
        <v>3</v>
      </c>
      <c r="F25" s="42">
        <f t="shared" si="0"/>
        <v>2</v>
      </c>
      <c r="G25" s="10"/>
      <c r="H25" s="11"/>
      <c r="I25" s="41"/>
      <c r="J25" s="42"/>
      <c r="K25" s="44">
        <v>2</v>
      </c>
      <c r="L25" s="21"/>
      <c r="M25" s="168"/>
      <c r="N25" s="192"/>
      <c r="R25" s="76"/>
    </row>
    <row r="26" spans="1:18" ht="15" customHeight="1" thickBot="1" x14ac:dyDescent="0.35">
      <c r="A26" s="156"/>
      <c r="B26" s="129"/>
      <c r="C26" s="64" t="s">
        <v>42</v>
      </c>
      <c r="D26" s="84" t="s">
        <v>64</v>
      </c>
      <c r="E26" s="33">
        <v>3</v>
      </c>
      <c r="F26" s="42">
        <f t="shared" si="0"/>
        <v>2</v>
      </c>
      <c r="G26" s="10"/>
      <c r="H26" s="11"/>
      <c r="I26" s="41"/>
      <c r="J26" s="42"/>
      <c r="K26" s="44"/>
      <c r="L26" s="21">
        <v>2</v>
      </c>
      <c r="M26" s="169"/>
      <c r="N26" s="193"/>
      <c r="R26" s="76"/>
    </row>
    <row r="27" spans="1:18" ht="15" customHeight="1" x14ac:dyDescent="0.3">
      <c r="A27" s="156"/>
      <c r="B27" s="179" t="s">
        <v>16</v>
      </c>
      <c r="C27" s="63" t="s">
        <v>10</v>
      </c>
      <c r="D27" s="82" t="s">
        <v>47</v>
      </c>
      <c r="E27" s="35">
        <v>3</v>
      </c>
      <c r="F27" s="8">
        <v>3</v>
      </c>
      <c r="G27" s="173" t="s">
        <v>61</v>
      </c>
      <c r="H27" s="174"/>
      <c r="I27" s="7"/>
      <c r="J27" s="8"/>
      <c r="K27" s="43"/>
      <c r="L27" s="26"/>
      <c r="M27" s="181">
        <f>SUM(G27:L30)</f>
        <v>10</v>
      </c>
      <c r="N27" s="184">
        <v>10</v>
      </c>
      <c r="R27" s="76"/>
    </row>
    <row r="28" spans="1:18" ht="15" customHeight="1" thickBot="1" x14ac:dyDescent="0.35">
      <c r="A28" s="156"/>
      <c r="B28" s="149"/>
      <c r="C28" s="65" t="s">
        <v>10</v>
      </c>
      <c r="D28" s="87" t="s">
        <v>48</v>
      </c>
      <c r="E28" s="33">
        <v>3</v>
      </c>
      <c r="F28" s="73">
        <v>3</v>
      </c>
      <c r="G28" s="140">
        <v>3</v>
      </c>
      <c r="H28" s="141">
        <v>3</v>
      </c>
      <c r="I28" s="5"/>
      <c r="J28" s="6"/>
      <c r="K28" s="45"/>
      <c r="L28" s="31"/>
      <c r="M28" s="182"/>
      <c r="N28" s="185"/>
      <c r="R28" s="76"/>
    </row>
    <row r="29" spans="1:18" ht="15" customHeight="1" x14ac:dyDescent="0.3">
      <c r="A29" s="156"/>
      <c r="B29" s="149"/>
      <c r="C29" s="65" t="s">
        <v>15</v>
      </c>
      <c r="D29" s="87" t="s">
        <v>81</v>
      </c>
      <c r="E29" s="32">
        <v>3</v>
      </c>
      <c r="F29" s="6">
        <v>2</v>
      </c>
      <c r="G29" s="45"/>
      <c r="H29" s="52"/>
      <c r="I29" s="5">
        <v>2</v>
      </c>
      <c r="J29" s="6"/>
      <c r="K29" s="45"/>
      <c r="L29" s="31"/>
      <c r="M29" s="182"/>
      <c r="N29" s="185"/>
      <c r="R29" s="76"/>
    </row>
    <row r="30" spans="1:18" ht="15" customHeight="1" thickBot="1" x14ac:dyDescent="0.35">
      <c r="A30" s="156"/>
      <c r="B30" s="180"/>
      <c r="C30" s="66" t="s">
        <v>15</v>
      </c>
      <c r="D30" s="85" t="s">
        <v>82</v>
      </c>
      <c r="E30" s="36">
        <v>3</v>
      </c>
      <c r="F30" s="17">
        <v>2</v>
      </c>
      <c r="G30" s="46"/>
      <c r="H30" s="47"/>
      <c r="I30" s="16"/>
      <c r="J30" s="17">
        <v>2</v>
      </c>
      <c r="K30" s="46"/>
      <c r="L30" s="30"/>
      <c r="M30" s="183"/>
      <c r="N30" s="186"/>
      <c r="R30" s="76"/>
    </row>
    <row r="31" spans="1:18" ht="15" customHeight="1" x14ac:dyDescent="0.3">
      <c r="A31" s="156"/>
      <c r="B31" s="165" t="s">
        <v>62</v>
      </c>
      <c r="C31" s="63" t="s">
        <v>10</v>
      </c>
      <c r="D31" s="82" t="s">
        <v>59</v>
      </c>
      <c r="E31" s="35">
        <v>3</v>
      </c>
      <c r="F31" s="8">
        <v>2</v>
      </c>
      <c r="G31" s="173" t="s">
        <v>61</v>
      </c>
      <c r="H31" s="174"/>
      <c r="I31" s="7"/>
      <c r="J31" s="26"/>
      <c r="K31" s="29"/>
      <c r="L31" s="8"/>
      <c r="M31" s="175">
        <f>SUM(G31:L32)</f>
        <v>4</v>
      </c>
      <c r="N31" s="177">
        <v>16</v>
      </c>
      <c r="R31" s="76"/>
    </row>
    <row r="32" spans="1:18" ht="15" customHeight="1" thickBot="1" x14ac:dyDescent="0.35">
      <c r="A32" s="156"/>
      <c r="B32" s="166"/>
      <c r="C32" s="66" t="s">
        <v>10</v>
      </c>
      <c r="D32" s="85" t="s">
        <v>95</v>
      </c>
      <c r="E32" s="36">
        <v>3</v>
      </c>
      <c r="F32" s="17">
        <v>2</v>
      </c>
      <c r="G32" s="140">
        <v>2</v>
      </c>
      <c r="H32" s="141">
        <v>2</v>
      </c>
      <c r="I32" s="16"/>
      <c r="J32" s="30"/>
      <c r="K32" s="18"/>
      <c r="L32" s="17"/>
      <c r="M32" s="176"/>
      <c r="N32" s="178"/>
    </row>
    <row r="33" spans="1:18" s="76" customFormat="1" ht="15" customHeight="1" x14ac:dyDescent="0.3">
      <c r="A33" s="156" t="s">
        <v>86</v>
      </c>
      <c r="B33" s="158" t="s">
        <v>46</v>
      </c>
      <c r="C33" s="63" t="s">
        <v>10</v>
      </c>
      <c r="D33" s="82" t="s">
        <v>83</v>
      </c>
      <c r="E33" s="35">
        <v>4</v>
      </c>
      <c r="F33" s="8">
        <v>4</v>
      </c>
      <c r="G33" s="29"/>
      <c r="H33" s="9"/>
      <c r="I33" s="138" t="s">
        <v>54</v>
      </c>
      <c r="J33" s="138" t="s">
        <v>54</v>
      </c>
      <c r="K33" s="29"/>
      <c r="L33" s="8"/>
      <c r="M33" s="160">
        <f>SUM(G33:L36)</f>
        <v>14</v>
      </c>
      <c r="N33" s="163"/>
      <c r="O33" s="1"/>
      <c r="R33" s="1"/>
    </row>
    <row r="34" spans="1:18" s="76" customFormat="1" ht="15" customHeight="1" thickBot="1" x14ac:dyDescent="0.35">
      <c r="A34" s="156"/>
      <c r="B34" s="159"/>
      <c r="C34" s="69" t="s">
        <v>42</v>
      </c>
      <c r="D34" s="86" t="s">
        <v>84</v>
      </c>
      <c r="E34" s="72">
        <v>4</v>
      </c>
      <c r="F34" s="17">
        <v>4</v>
      </c>
      <c r="G34" s="74"/>
      <c r="H34" s="75"/>
      <c r="I34" s="139">
        <v>4</v>
      </c>
      <c r="J34" s="139">
        <v>4</v>
      </c>
      <c r="K34" s="74"/>
      <c r="L34" s="73"/>
      <c r="M34" s="161"/>
      <c r="N34" s="163"/>
      <c r="O34" s="1"/>
      <c r="R34" s="1"/>
    </row>
    <row r="35" spans="1:18" ht="17.100000000000001" customHeight="1" x14ac:dyDescent="0.3">
      <c r="A35" s="156"/>
      <c r="B35" s="165" t="s">
        <v>62</v>
      </c>
      <c r="C35" s="68" t="s">
        <v>15</v>
      </c>
      <c r="D35" s="122" t="s">
        <v>80</v>
      </c>
      <c r="E35" s="33">
        <v>3</v>
      </c>
      <c r="F35" s="42">
        <v>3</v>
      </c>
      <c r="G35" s="7"/>
      <c r="H35" s="8"/>
      <c r="I35" s="41"/>
      <c r="J35" s="111"/>
      <c r="K35" s="111" t="s">
        <v>54</v>
      </c>
      <c r="L35" s="111" t="s">
        <v>54</v>
      </c>
      <c r="M35" s="161"/>
      <c r="N35" s="163"/>
    </row>
    <row r="36" spans="1:18" ht="17.100000000000001" customHeight="1" thickBot="1" x14ac:dyDescent="0.35">
      <c r="A36" s="156"/>
      <c r="B36" s="166"/>
      <c r="C36" s="68" t="s">
        <v>42</v>
      </c>
      <c r="D36" s="122" t="s">
        <v>76</v>
      </c>
      <c r="E36" s="33">
        <v>3</v>
      </c>
      <c r="F36" s="42">
        <v>3</v>
      </c>
      <c r="G36" s="80"/>
      <c r="H36" s="81"/>
      <c r="I36" s="41"/>
      <c r="J36" s="37"/>
      <c r="K36" s="37">
        <v>3</v>
      </c>
      <c r="L36" s="37">
        <v>3</v>
      </c>
      <c r="M36" s="162"/>
      <c r="N36" s="164"/>
    </row>
    <row r="37" spans="1:18" s="76" customFormat="1" ht="15" customHeight="1" x14ac:dyDescent="0.3">
      <c r="A37" s="156"/>
      <c r="B37" s="126" t="s">
        <v>51</v>
      </c>
      <c r="C37" s="107" t="s">
        <v>10</v>
      </c>
      <c r="D37" s="119" t="s">
        <v>65</v>
      </c>
      <c r="E37" s="35">
        <v>4</v>
      </c>
      <c r="F37" s="8">
        <v>4</v>
      </c>
      <c r="G37" s="7"/>
      <c r="H37" s="8"/>
      <c r="I37" s="138" t="s">
        <v>49</v>
      </c>
      <c r="J37" s="112"/>
      <c r="K37" s="29"/>
      <c r="L37" s="8"/>
      <c r="M37" s="167">
        <f>SUM(G37:L64)</f>
        <v>84</v>
      </c>
      <c r="N37" s="170"/>
      <c r="O37" s="1"/>
      <c r="R37" s="1"/>
    </row>
    <row r="38" spans="1:18" s="76" customFormat="1" ht="15" customHeight="1" x14ac:dyDescent="0.3">
      <c r="A38" s="156"/>
      <c r="B38" s="128" t="s">
        <v>52</v>
      </c>
      <c r="C38" s="104" t="s">
        <v>10</v>
      </c>
      <c r="D38" s="120" t="s">
        <v>66</v>
      </c>
      <c r="E38" s="32">
        <v>4</v>
      </c>
      <c r="F38" s="42">
        <v>4</v>
      </c>
      <c r="G38" s="5"/>
      <c r="H38" s="6"/>
      <c r="I38" s="142">
        <v>4</v>
      </c>
      <c r="J38" s="97"/>
      <c r="K38" s="20"/>
      <c r="L38" s="6"/>
      <c r="M38" s="168"/>
      <c r="N38" s="171"/>
      <c r="O38" s="1"/>
      <c r="R38" s="1"/>
    </row>
    <row r="39" spans="1:18" s="76" customFormat="1" ht="15" customHeight="1" x14ac:dyDescent="0.3">
      <c r="A39" s="156"/>
      <c r="B39" s="147" t="s">
        <v>45</v>
      </c>
      <c r="C39" s="104" t="s">
        <v>10</v>
      </c>
      <c r="D39" s="90" t="s">
        <v>70</v>
      </c>
      <c r="E39" s="32">
        <v>4</v>
      </c>
      <c r="F39" s="42">
        <v>4</v>
      </c>
      <c r="G39" s="5"/>
      <c r="H39" s="6"/>
      <c r="I39" s="142">
        <v>4</v>
      </c>
      <c r="J39" s="6"/>
      <c r="K39" s="20"/>
      <c r="L39" s="6"/>
      <c r="M39" s="168"/>
      <c r="N39" s="171"/>
      <c r="O39" s="1"/>
      <c r="R39" s="1"/>
    </row>
    <row r="40" spans="1:18" s="76" customFormat="1" ht="15" customHeight="1" x14ac:dyDescent="0.3">
      <c r="A40" s="156"/>
      <c r="B40" s="148"/>
      <c r="C40" s="104" t="s">
        <v>10</v>
      </c>
      <c r="D40" s="90" t="s">
        <v>69</v>
      </c>
      <c r="E40" s="32">
        <v>4</v>
      </c>
      <c r="F40" s="42">
        <v>4</v>
      </c>
      <c r="G40" s="5"/>
      <c r="H40" s="6"/>
      <c r="I40" s="142">
        <v>4</v>
      </c>
      <c r="J40" s="6"/>
      <c r="K40" s="20"/>
      <c r="L40" s="6"/>
      <c r="M40" s="168"/>
      <c r="N40" s="171"/>
      <c r="O40" s="1"/>
      <c r="R40" s="1"/>
    </row>
    <row r="41" spans="1:18" s="76" customFormat="1" ht="15" customHeight="1" x14ac:dyDescent="0.3">
      <c r="A41" s="156"/>
      <c r="B41" s="147" t="s">
        <v>13</v>
      </c>
      <c r="C41" s="106" t="s">
        <v>10</v>
      </c>
      <c r="D41" s="91" t="s">
        <v>96</v>
      </c>
      <c r="E41" s="33">
        <v>4</v>
      </c>
      <c r="F41" s="42">
        <v>4</v>
      </c>
      <c r="G41" s="41"/>
      <c r="H41" s="42"/>
      <c r="I41" s="142">
        <v>4</v>
      </c>
      <c r="J41" s="6"/>
      <c r="K41" s="20"/>
      <c r="L41" s="6"/>
      <c r="M41" s="168"/>
      <c r="N41" s="171"/>
      <c r="O41" s="1"/>
      <c r="R41" s="1"/>
    </row>
    <row r="42" spans="1:18" s="76" customFormat="1" ht="15" customHeight="1" thickBot="1" x14ac:dyDescent="0.35">
      <c r="A42" s="156"/>
      <c r="B42" s="148"/>
      <c r="C42" s="106" t="s">
        <v>10</v>
      </c>
      <c r="D42" s="91" t="s">
        <v>97</v>
      </c>
      <c r="E42" s="33">
        <v>4</v>
      </c>
      <c r="F42" s="42">
        <v>4</v>
      </c>
      <c r="G42" s="41"/>
      <c r="H42" s="42"/>
      <c r="I42" s="139">
        <v>4</v>
      </c>
      <c r="J42" s="6"/>
      <c r="K42" s="20"/>
      <c r="L42" s="6"/>
      <c r="M42" s="168"/>
      <c r="N42" s="171"/>
      <c r="O42" s="1"/>
      <c r="R42" s="1"/>
    </row>
    <row r="43" spans="1:18" s="76" customFormat="1" ht="15" customHeight="1" x14ac:dyDescent="0.3">
      <c r="A43" s="156"/>
      <c r="B43" s="128" t="s">
        <v>51</v>
      </c>
      <c r="C43" s="104" t="s">
        <v>10</v>
      </c>
      <c r="D43" s="121" t="s">
        <v>67</v>
      </c>
      <c r="E43" s="32">
        <v>4</v>
      </c>
      <c r="F43" s="42">
        <v>4</v>
      </c>
      <c r="G43" s="5"/>
      <c r="H43" s="22"/>
      <c r="I43" s="102"/>
      <c r="J43" s="138" t="s">
        <v>49</v>
      </c>
      <c r="K43" s="20"/>
      <c r="L43" s="6"/>
      <c r="M43" s="168"/>
      <c r="N43" s="171"/>
      <c r="O43" s="1"/>
      <c r="R43" s="1"/>
    </row>
    <row r="44" spans="1:18" s="76" customFormat="1" ht="15" customHeight="1" x14ac:dyDescent="0.3">
      <c r="A44" s="156"/>
      <c r="B44" s="131" t="s">
        <v>53</v>
      </c>
      <c r="C44" s="104" t="s">
        <v>10</v>
      </c>
      <c r="D44" s="120" t="s">
        <v>50</v>
      </c>
      <c r="E44" s="32">
        <v>4</v>
      </c>
      <c r="F44" s="6">
        <v>4</v>
      </c>
      <c r="G44" s="5"/>
      <c r="H44" s="22"/>
      <c r="I44" s="100"/>
      <c r="J44" s="142">
        <v>4</v>
      </c>
      <c r="K44" s="20"/>
      <c r="L44" s="6"/>
      <c r="M44" s="168"/>
      <c r="N44" s="171"/>
      <c r="O44" s="1"/>
      <c r="R44" s="1"/>
    </row>
    <row r="45" spans="1:18" s="76" customFormat="1" ht="15" customHeight="1" x14ac:dyDescent="0.3">
      <c r="A45" s="156"/>
      <c r="B45" s="128" t="s">
        <v>52</v>
      </c>
      <c r="C45" s="104" t="s">
        <v>10</v>
      </c>
      <c r="D45" s="120" t="s">
        <v>68</v>
      </c>
      <c r="E45" s="32">
        <v>4</v>
      </c>
      <c r="F45" s="42">
        <v>4</v>
      </c>
      <c r="G45" s="5"/>
      <c r="H45" s="22"/>
      <c r="I45" s="100"/>
      <c r="J45" s="142">
        <v>4</v>
      </c>
      <c r="K45" s="20"/>
      <c r="L45" s="42"/>
      <c r="M45" s="168"/>
      <c r="N45" s="171"/>
      <c r="O45" s="1"/>
      <c r="R45" s="1"/>
    </row>
    <row r="46" spans="1:18" s="76" customFormat="1" ht="15" customHeight="1" x14ac:dyDescent="0.3">
      <c r="A46" s="156"/>
      <c r="B46" s="127" t="s">
        <v>63</v>
      </c>
      <c r="C46" s="106" t="s">
        <v>15</v>
      </c>
      <c r="D46" s="93" t="s">
        <v>73</v>
      </c>
      <c r="E46" s="33">
        <v>3</v>
      </c>
      <c r="F46" s="42">
        <v>4</v>
      </c>
      <c r="G46" s="41"/>
      <c r="H46" s="11"/>
      <c r="I46" s="103"/>
      <c r="J46" s="142">
        <v>4</v>
      </c>
      <c r="K46" s="20"/>
      <c r="L46" s="109"/>
      <c r="M46" s="168"/>
      <c r="N46" s="171"/>
      <c r="O46" s="1"/>
      <c r="R46" s="1"/>
    </row>
    <row r="47" spans="1:18" s="76" customFormat="1" ht="15" customHeight="1" thickBot="1" x14ac:dyDescent="0.35">
      <c r="A47" s="156"/>
      <c r="B47" s="128" t="s">
        <v>16</v>
      </c>
      <c r="C47" s="106" t="s">
        <v>15</v>
      </c>
      <c r="D47" s="88" t="s">
        <v>72</v>
      </c>
      <c r="E47" s="33">
        <v>3</v>
      </c>
      <c r="F47" s="42">
        <v>4</v>
      </c>
      <c r="G47" s="41"/>
      <c r="H47" s="11"/>
      <c r="I47" s="103"/>
      <c r="J47" s="142">
        <v>4</v>
      </c>
      <c r="K47" s="20"/>
      <c r="L47" s="110"/>
      <c r="M47" s="168"/>
      <c r="N47" s="171"/>
      <c r="O47" s="1"/>
      <c r="Q47" s="76" t="s">
        <v>77</v>
      </c>
      <c r="R47" s="1"/>
    </row>
    <row r="48" spans="1:18" s="76" customFormat="1" ht="22.5" x14ac:dyDescent="0.3">
      <c r="A48" s="156"/>
      <c r="B48" s="127" t="s">
        <v>45</v>
      </c>
      <c r="C48" s="106" t="s">
        <v>15</v>
      </c>
      <c r="D48" s="124" t="s">
        <v>85</v>
      </c>
      <c r="E48" s="34">
        <v>4</v>
      </c>
      <c r="F48" s="13">
        <v>4</v>
      </c>
      <c r="G48" s="41"/>
      <c r="H48" s="11"/>
      <c r="I48" s="103"/>
      <c r="J48" s="142">
        <v>4</v>
      </c>
      <c r="K48" s="138" t="s">
        <v>44</v>
      </c>
      <c r="L48" s="110"/>
      <c r="M48" s="168"/>
      <c r="N48" s="171"/>
      <c r="O48" s="1"/>
      <c r="R48" s="1"/>
    </row>
    <row r="49" spans="1:18" ht="22.5" x14ac:dyDescent="0.3">
      <c r="A49" s="156"/>
      <c r="B49" s="127" t="s">
        <v>13</v>
      </c>
      <c r="C49" s="106" t="s">
        <v>15</v>
      </c>
      <c r="D49" s="123" t="s">
        <v>98</v>
      </c>
      <c r="E49" s="33">
        <v>4</v>
      </c>
      <c r="F49" s="42">
        <v>4</v>
      </c>
      <c r="G49" s="10"/>
      <c r="H49" s="11"/>
      <c r="I49" s="103"/>
      <c r="J49" s="142"/>
      <c r="K49" s="142">
        <v>4</v>
      </c>
      <c r="L49" s="109"/>
      <c r="M49" s="168"/>
      <c r="N49" s="171"/>
    </row>
    <row r="50" spans="1:18" s="76" customFormat="1" ht="15" customHeight="1" thickBot="1" x14ac:dyDescent="0.35">
      <c r="A50" s="156"/>
      <c r="B50" s="147" t="s">
        <v>51</v>
      </c>
      <c r="C50" s="104" t="s">
        <v>10</v>
      </c>
      <c r="D50" s="116" t="s">
        <v>56</v>
      </c>
      <c r="E50" s="32">
        <v>4</v>
      </c>
      <c r="F50" s="6">
        <v>4</v>
      </c>
      <c r="G50" s="5"/>
      <c r="H50" s="22"/>
      <c r="I50" s="100"/>
      <c r="J50" s="139"/>
      <c r="K50" s="142">
        <v>4</v>
      </c>
      <c r="L50" s="97"/>
      <c r="M50" s="168"/>
      <c r="N50" s="171"/>
      <c r="O50" s="1"/>
      <c r="R50" s="1"/>
    </row>
    <row r="51" spans="1:18" s="76" customFormat="1" ht="15" customHeight="1" x14ac:dyDescent="0.3">
      <c r="A51" s="156"/>
      <c r="B51" s="148"/>
      <c r="C51" s="104" t="s">
        <v>42</v>
      </c>
      <c r="D51" s="87" t="s">
        <v>78</v>
      </c>
      <c r="E51" s="32">
        <v>4</v>
      </c>
      <c r="F51" s="6">
        <v>4</v>
      </c>
      <c r="G51" s="5"/>
      <c r="H51" s="22"/>
      <c r="I51" s="100"/>
      <c r="J51" s="97"/>
      <c r="K51" s="142">
        <v>4</v>
      </c>
      <c r="L51" s="97"/>
      <c r="M51" s="168"/>
      <c r="N51" s="171"/>
      <c r="O51" s="1"/>
      <c r="R51" s="1"/>
    </row>
    <row r="52" spans="1:18" s="76" customFormat="1" ht="15" customHeight="1" x14ac:dyDescent="0.3">
      <c r="A52" s="156"/>
      <c r="B52" s="128" t="s">
        <v>53</v>
      </c>
      <c r="C52" s="106" t="s">
        <v>15</v>
      </c>
      <c r="D52" s="84" t="s">
        <v>43</v>
      </c>
      <c r="E52" s="33">
        <v>4</v>
      </c>
      <c r="F52" s="42">
        <v>4</v>
      </c>
      <c r="G52" s="41"/>
      <c r="H52" s="11"/>
      <c r="I52" s="103"/>
      <c r="J52" s="97"/>
      <c r="K52" s="142">
        <v>4</v>
      </c>
      <c r="L52" s="97"/>
      <c r="M52" s="168"/>
      <c r="N52" s="171"/>
      <c r="O52" s="1"/>
      <c r="R52" s="1"/>
    </row>
    <row r="53" spans="1:18" s="76" customFormat="1" ht="15" customHeight="1" x14ac:dyDescent="0.3">
      <c r="A53" s="156"/>
      <c r="B53" s="147" t="s">
        <v>52</v>
      </c>
      <c r="C53" s="106" t="s">
        <v>10</v>
      </c>
      <c r="D53" s="92" t="s">
        <v>60</v>
      </c>
      <c r="E53" s="33">
        <v>4</v>
      </c>
      <c r="F53" s="42">
        <v>4</v>
      </c>
      <c r="G53" s="41"/>
      <c r="H53" s="11"/>
      <c r="I53" s="103"/>
      <c r="J53" s="101"/>
      <c r="K53" s="142">
        <v>4</v>
      </c>
      <c r="L53" s="101"/>
      <c r="M53" s="168"/>
      <c r="N53" s="171"/>
      <c r="O53" s="1"/>
      <c r="R53" s="1"/>
    </row>
    <row r="54" spans="1:18" s="76" customFormat="1" ht="15" customHeight="1" x14ac:dyDescent="0.3">
      <c r="A54" s="156"/>
      <c r="B54" s="148"/>
      <c r="C54" s="106" t="s">
        <v>42</v>
      </c>
      <c r="D54" s="92" t="s">
        <v>79</v>
      </c>
      <c r="E54" s="33">
        <v>4</v>
      </c>
      <c r="F54" s="42">
        <v>4</v>
      </c>
      <c r="G54" s="41"/>
      <c r="H54" s="11"/>
      <c r="I54" s="103"/>
      <c r="J54" s="101"/>
      <c r="K54" s="142">
        <v>4</v>
      </c>
      <c r="L54" s="101"/>
      <c r="M54" s="168"/>
      <c r="N54" s="171"/>
      <c r="O54" s="1"/>
      <c r="R54" s="1"/>
    </row>
    <row r="55" spans="1:18" s="76" customFormat="1" ht="15" customHeight="1" x14ac:dyDescent="0.3">
      <c r="A55" s="156"/>
      <c r="B55" s="127" t="s">
        <v>63</v>
      </c>
      <c r="C55" s="106" t="s">
        <v>15</v>
      </c>
      <c r="D55" s="93" t="s">
        <v>88</v>
      </c>
      <c r="E55" s="33">
        <v>3</v>
      </c>
      <c r="F55" s="42">
        <v>4</v>
      </c>
      <c r="G55" s="41"/>
      <c r="H55" s="11"/>
      <c r="I55" s="103"/>
      <c r="J55" s="101"/>
      <c r="K55" s="142"/>
      <c r="L55" s="101"/>
      <c r="M55" s="168"/>
      <c r="N55" s="171"/>
      <c r="O55" s="1"/>
      <c r="R55" s="1"/>
    </row>
    <row r="56" spans="1:18" s="76" customFormat="1" ht="15" customHeight="1" thickBot="1" x14ac:dyDescent="0.35">
      <c r="A56" s="156"/>
      <c r="B56" s="128" t="s">
        <v>16</v>
      </c>
      <c r="C56" s="106" t="s">
        <v>15</v>
      </c>
      <c r="D56" s="88" t="s">
        <v>74</v>
      </c>
      <c r="E56" s="33">
        <v>3</v>
      </c>
      <c r="F56" s="42">
        <v>4</v>
      </c>
      <c r="G56" s="41"/>
      <c r="H56" s="11"/>
      <c r="I56" s="103"/>
      <c r="J56" s="101"/>
      <c r="K56" s="139"/>
      <c r="L56" s="101"/>
      <c r="M56" s="168"/>
      <c r="N56" s="171"/>
      <c r="O56" s="1"/>
      <c r="R56" s="1"/>
    </row>
    <row r="57" spans="1:18" s="76" customFormat="1" ht="15" customHeight="1" x14ac:dyDescent="0.3">
      <c r="A57" s="156"/>
      <c r="B57" s="149" t="s">
        <v>51</v>
      </c>
      <c r="C57" s="105" t="s">
        <v>15</v>
      </c>
      <c r="D57" s="87" t="s">
        <v>57</v>
      </c>
      <c r="E57" s="32">
        <v>4</v>
      </c>
      <c r="F57" s="6">
        <v>4</v>
      </c>
      <c r="G57" s="5"/>
      <c r="H57" s="22"/>
      <c r="I57" s="100"/>
      <c r="J57" s="101"/>
      <c r="K57" s="97"/>
      <c r="L57" s="138" t="s">
        <v>49</v>
      </c>
      <c r="M57" s="168"/>
      <c r="N57" s="171"/>
      <c r="O57" s="1"/>
      <c r="R57" s="1"/>
    </row>
    <row r="58" spans="1:18" s="76" customFormat="1" ht="15" customHeight="1" x14ac:dyDescent="0.3">
      <c r="A58" s="156"/>
      <c r="B58" s="148"/>
      <c r="C58" s="104" t="s">
        <v>42</v>
      </c>
      <c r="D58" s="96" t="s">
        <v>58</v>
      </c>
      <c r="E58" s="32">
        <v>4</v>
      </c>
      <c r="F58" s="6">
        <v>4</v>
      </c>
      <c r="G58" s="5"/>
      <c r="H58" s="22"/>
      <c r="I58" s="100"/>
      <c r="J58" s="97"/>
      <c r="K58" s="100"/>
      <c r="L58" s="142">
        <v>4</v>
      </c>
      <c r="M58" s="168"/>
      <c r="N58" s="171"/>
      <c r="O58" s="1"/>
      <c r="R58" s="1"/>
    </row>
    <row r="59" spans="1:18" s="76" customFormat="1" ht="15" customHeight="1" x14ac:dyDescent="0.3">
      <c r="A59" s="156"/>
      <c r="B59" s="128" t="s">
        <v>53</v>
      </c>
      <c r="C59" s="106" t="s">
        <v>42</v>
      </c>
      <c r="D59" s="84" t="s">
        <v>55</v>
      </c>
      <c r="E59" s="32">
        <v>4</v>
      </c>
      <c r="F59" s="42">
        <v>4</v>
      </c>
      <c r="G59" s="41"/>
      <c r="H59" s="11"/>
      <c r="I59" s="103"/>
      <c r="J59" s="101"/>
      <c r="K59" s="103"/>
      <c r="L59" s="142">
        <v>4</v>
      </c>
      <c r="M59" s="168"/>
      <c r="N59" s="171"/>
      <c r="O59" s="1"/>
      <c r="R59" s="1"/>
    </row>
    <row r="60" spans="1:18" s="76" customFormat="1" ht="15" customHeight="1" x14ac:dyDescent="0.3">
      <c r="A60" s="156"/>
      <c r="B60" s="131" t="s">
        <v>52</v>
      </c>
      <c r="C60" s="106" t="s">
        <v>15</v>
      </c>
      <c r="D60" s="92" t="s">
        <v>71</v>
      </c>
      <c r="E60" s="33">
        <v>4</v>
      </c>
      <c r="F60" s="42">
        <v>4</v>
      </c>
      <c r="G60" s="41"/>
      <c r="H60" s="11"/>
      <c r="I60" s="103"/>
      <c r="J60" s="101"/>
      <c r="K60" s="103"/>
      <c r="L60" s="142">
        <v>4</v>
      </c>
      <c r="M60" s="168"/>
      <c r="N60" s="171"/>
      <c r="O60" s="1"/>
      <c r="R60" s="1"/>
    </row>
    <row r="61" spans="1:18" s="76" customFormat="1" ht="24" x14ac:dyDescent="0.3">
      <c r="A61" s="156"/>
      <c r="B61" s="128" t="s">
        <v>45</v>
      </c>
      <c r="C61" s="106" t="s">
        <v>42</v>
      </c>
      <c r="D61" s="125" t="s">
        <v>99</v>
      </c>
      <c r="E61" s="33">
        <v>4</v>
      </c>
      <c r="F61" s="42">
        <v>4</v>
      </c>
      <c r="G61" s="41"/>
      <c r="H61" s="11"/>
      <c r="I61" s="103"/>
      <c r="J61" s="101"/>
      <c r="K61" s="103"/>
      <c r="L61" s="142">
        <v>4</v>
      </c>
      <c r="M61" s="168"/>
      <c r="N61" s="171"/>
      <c r="O61" s="1"/>
      <c r="R61" s="1"/>
    </row>
    <row r="62" spans="1:18" s="76" customFormat="1" ht="15" customHeight="1" x14ac:dyDescent="0.3">
      <c r="A62" s="156"/>
      <c r="B62" s="131" t="s">
        <v>13</v>
      </c>
      <c r="C62" s="106" t="s">
        <v>42</v>
      </c>
      <c r="D62" s="125" t="s">
        <v>100</v>
      </c>
      <c r="E62" s="33">
        <v>4</v>
      </c>
      <c r="F62" s="42">
        <v>4</v>
      </c>
      <c r="G62" s="41"/>
      <c r="H62" s="11"/>
      <c r="I62" s="103"/>
      <c r="J62" s="98"/>
      <c r="K62" s="103"/>
      <c r="L62" s="142">
        <v>4</v>
      </c>
      <c r="M62" s="168"/>
      <c r="N62" s="171"/>
      <c r="O62" s="1"/>
      <c r="R62" s="1"/>
    </row>
    <row r="63" spans="1:18" s="76" customFormat="1" ht="15" customHeight="1" x14ac:dyDescent="0.3">
      <c r="A63" s="156"/>
      <c r="B63" s="131" t="s">
        <v>63</v>
      </c>
      <c r="C63" s="106" t="s">
        <v>15</v>
      </c>
      <c r="D63" s="93" t="s">
        <v>89</v>
      </c>
      <c r="E63" s="33">
        <v>3</v>
      </c>
      <c r="F63" s="42">
        <v>4</v>
      </c>
      <c r="G63" s="41"/>
      <c r="H63" s="11"/>
      <c r="I63" s="103"/>
      <c r="J63" s="101"/>
      <c r="K63" s="103"/>
      <c r="L63" s="142"/>
      <c r="M63" s="168"/>
      <c r="N63" s="171"/>
      <c r="O63" s="1"/>
      <c r="R63" s="1"/>
    </row>
    <row r="64" spans="1:18" s="76" customFormat="1" ht="15" customHeight="1" thickBot="1" x14ac:dyDescent="0.35">
      <c r="A64" s="157"/>
      <c r="B64" s="130" t="s">
        <v>16</v>
      </c>
      <c r="C64" s="108" t="s">
        <v>15</v>
      </c>
      <c r="D64" s="89" t="s">
        <v>75</v>
      </c>
      <c r="E64" s="72">
        <v>3</v>
      </c>
      <c r="F64" s="73">
        <v>4</v>
      </c>
      <c r="G64" s="62"/>
      <c r="H64" s="75"/>
      <c r="I64" s="37"/>
      <c r="J64" s="99"/>
      <c r="K64" s="37"/>
      <c r="L64" s="142"/>
      <c r="M64" s="169"/>
      <c r="N64" s="172"/>
      <c r="O64" s="1"/>
      <c r="R64" s="1"/>
    </row>
    <row r="65" spans="1:18" s="76" customFormat="1" ht="17.100000000000001" customHeight="1" x14ac:dyDescent="0.3">
      <c r="A65" s="150" t="s">
        <v>22</v>
      </c>
      <c r="B65" s="151"/>
      <c r="C65" s="151"/>
      <c r="D65" s="151"/>
      <c r="E65" s="151"/>
      <c r="F65" s="152"/>
      <c r="G65" s="94">
        <f t="shared" ref="G65:L65" si="1">SUM(G5:G64)</f>
        <v>30</v>
      </c>
      <c r="H65" s="95">
        <f t="shared" si="1"/>
        <v>30</v>
      </c>
      <c r="I65" s="71">
        <f t="shared" si="1"/>
        <v>30</v>
      </c>
      <c r="J65" s="135">
        <f t="shared" si="1"/>
        <v>30</v>
      </c>
      <c r="K65" s="94">
        <f t="shared" si="1"/>
        <v>29</v>
      </c>
      <c r="L65" s="95">
        <f t="shared" si="1"/>
        <v>25</v>
      </c>
      <c r="M65" s="134">
        <f>SUM(G65:L65)</f>
        <v>174</v>
      </c>
      <c r="N65" s="70"/>
      <c r="O65" s="38"/>
      <c r="R65" s="1"/>
    </row>
    <row r="66" spans="1:18" s="76" customFormat="1" ht="17.100000000000001" customHeight="1" x14ac:dyDescent="0.3">
      <c r="A66" s="153" t="s">
        <v>17</v>
      </c>
      <c r="B66" s="154"/>
      <c r="C66" s="154"/>
      <c r="D66" s="154"/>
      <c r="E66" s="154"/>
      <c r="F66" s="155"/>
      <c r="G66" s="136">
        <v>3</v>
      </c>
      <c r="H66" s="24">
        <v>3</v>
      </c>
      <c r="I66" s="27">
        <v>3</v>
      </c>
      <c r="J66" s="137">
        <v>3</v>
      </c>
      <c r="K66" s="136">
        <v>3</v>
      </c>
      <c r="L66" s="24">
        <v>3</v>
      </c>
      <c r="M66" s="54">
        <f>SUM(G66:L66)</f>
        <v>18</v>
      </c>
      <c r="N66" s="24"/>
      <c r="O66" s="1"/>
      <c r="R66" s="1"/>
    </row>
    <row r="67" spans="1:18" s="76" customFormat="1" ht="17.100000000000001" customHeight="1" thickBot="1" x14ac:dyDescent="0.35">
      <c r="A67" s="143" t="s">
        <v>23</v>
      </c>
      <c r="B67" s="144"/>
      <c r="C67" s="144"/>
      <c r="D67" s="144"/>
      <c r="E67" s="144"/>
      <c r="F67" s="145"/>
      <c r="G67" s="132">
        <f t="shared" ref="G67:L67" si="2">G65+G66</f>
        <v>33</v>
      </c>
      <c r="H67" s="25">
        <f t="shared" si="2"/>
        <v>33</v>
      </c>
      <c r="I67" s="28">
        <f t="shared" si="2"/>
        <v>33</v>
      </c>
      <c r="J67" s="133">
        <f t="shared" si="2"/>
        <v>33</v>
      </c>
      <c r="K67" s="132">
        <f t="shared" si="2"/>
        <v>32</v>
      </c>
      <c r="L67" s="25">
        <f t="shared" si="2"/>
        <v>28</v>
      </c>
      <c r="M67" s="55">
        <f>SUM(G67:L67)</f>
        <v>192</v>
      </c>
      <c r="N67" s="25"/>
      <c r="O67" s="1"/>
      <c r="R67" s="1"/>
    </row>
    <row r="68" spans="1:18" ht="45.75" customHeight="1" x14ac:dyDescent="0.3">
      <c r="A68" s="146" t="s">
        <v>101</v>
      </c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</row>
    <row r="69" spans="1:18" x14ac:dyDescent="0.3">
      <c r="A69" s="2"/>
      <c r="C69" s="2"/>
      <c r="D69" s="2"/>
      <c r="E69" s="2"/>
      <c r="F69" s="2"/>
      <c r="G69" s="2"/>
      <c r="H69" s="2"/>
      <c r="K69" s="2"/>
      <c r="L69" s="2"/>
      <c r="M69" s="2"/>
      <c r="N69" s="2"/>
    </row>
    <row r="71" spans="1:18" x14ac:dyDescent="0.3">
      <c r="D71" s="39"/>
      <c r="G71" s="40"/>
      <c r="I71" s="40"/>
      <c r="K71" s="40"/>
    </row>
    <row r="73" spans="1:18" x14ac:dyDescent="0.3">
      <c r="I73" s="39"/>
      <c r="K73" s="39"/>
    </row>
  </sheetData>
  <mergeCells count="57">
    <mergeCell ref="A5:A32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5:B6"/>
    <mergeCell ref="M5:M6"/>
    <mergeCell ref="N5:N6"/>
    <mergeCell ref="B7:B10"/>
    <mergeCell ref="M7:M10"/>
    <mergeCell ref="N7:N10"/>
    <mergeCell ref="B11:B12"/>
    <mergeCell ref="M11:M12"/>
    <mergeCell ref="N11:N12"/>
    <mergeCell ref="B13:B16"/>
    <mergeCell ref="M13:M14"/>
    <mergeCell ref="N13:N14"/>
    <mergeCell ref="M15:M16"/>
    <mergeCell ref="N15:N16"/>
    <mergeCell ref="B17:B20"/>
    <mergeCell ref="M17:M20"/>
    <mergeCell ref="N17:N20"/>
    <mergeCell ref="B21:B24"/>
    <mergeCell ref="M21:M26"/>
    <mergeCell ref="N21:N26"/>
    <mergeCell ref="G27:H27"/>
    <mergeCell ref="B31:B32"/>
    <mergeCell ref="G31:H31"/>
    <mergeCell ref="M31:M32"/>
    <mergeCell ref="N31:N32"/>
    <mergeCell ref="B27:B30"/>
    <mergeCell ref="M27:M30"/>
    <mergeCell ref="N27:N30"/>
    <mergeCell ref="A67:F67"/>
    <mergeCell ref="A68:N68"/>
    <mergeCell ref="B39:B40"/>
    <mergeCell ref="B41:B42"/>
    <mergeCell ref="B57:B58"/>
    <mergeCell ref="A65:F65"/>
    <mergeCell ref="A66:F66"/>
    <mergeCell ref="A33:A64"/>
    <mergeCell ref="B33:B34"/>
    <mergeCell ref="M33:M36"/>
    <mergeCell ref="N33:N36"/>
    <mergeCell ref="B35:B36"/>
    <mergeCell ref="M37:M64"/>
    <mergeCell ref="N37:N64"/>
    <mergeCell ref="B50:B51"/>
    <mergeCell ref="B53:B54"/>
  </mergeCells>
  <phoneticPr fontId="2" type="noConversion"/>
  <conditionalFormatting sqref="C5:C64">
    <cfRule type="containsText" dxfId="2" priority="1" operator="containsText" text="융합">
      <formula>NOT(ISERROR(SEARCH("융합",C5)))</formula>
    </cfRule>
    <cfRule type="containsText" dxfId="1" priority="2" operator="containsText" text="공통">
      <formula>NOT(ISERROR(SEARCH("공통",C5)))</formula>
    </cfRule>
    <cfRule type="cellIs" dxfId="0" priority="3" operator="equal">
      <formula>"진로"</formula>
    </cfRule>
  </conditionalFormatting>
  <printOptions horizontalCentered="1"/>
  <pageMargins left="0.25" right="0.25" top="0.75" bottom="0.75" header="0.3" footer="0.3"/>
  <pageSetup paperSize="12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신입생 3개년 편제표</vt:lpstr>
      <vt:lpstr>'2026학년도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UH</cp:lastModifiedBy>
  <cp:lastPrinted>2025-12-21T23:19:29Z</cp:lastPrinted>
  <dcterms:created xsi:type="dcterms:W3CDTF">2022-04-18T03:36:49Z</dcterms:created>
  <dcterms:modified xsi:type="dcterms:W3CDTF">2025-12-21T23:27:12Z</dcterms:modified>
</cp:coreProperties>
</file>