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학년도\업무관련\교육과정 관련\"/>
    </mc:Choice>
  </mc:AlternateContent>
  <xr:revisionPtr revIDLastSave="0" documentId="13_ncr:1_{9396795A-901B-4AD8-A6F1-20E4CA0E2C10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2025학년도 신입생 3개년 편제표(안)" sheetId="6" state="hidden" r:id="rId1"/>
    <sheet name="2025학년도 신입생 3개년 편제표(_1안)" sheetId="9" state="hidden" r:id="rId2"/>
    <sheet name="2025학년도 신입생 3개년 편제표(3안)" sheetId="7" state="hidden" r:id="rId3"/>
    <sheet name="2025학년도 신입생 3개년 편제표(5안)" sheetId="8" state="hidden" r:id="rId4"/>
    <sheet name="2025학년도 신입생 3개년 편제표(4안)" sheetId="10" state="hidden" r:id="rId5"/>
    <sheet name="2026학년도 신입생 3개년 편제표" sheetId="11" r:id="rId6"/>
    <sheet name="2025학년도 신입생 3개년 편제표(2안)" sheetId="12" state="hidden" r:id="rId7"/>
  </sheets>
  <definedNames>
    <definedName name="_xlnm.Print_Area" localSheetId="1">'2025학년도 신입생 3개년 편제표(_1안)'!$A$1:$N$78</definedName>
    <definedName name="_xlnm.Print_Area" localSheetId="6">'2025학년도 신입생 3개년 편제표(2안)'!$A$1:$N$80</definedName>
    <definedName name="_xlnm.Print_Area" localSheetId="2">'2025학년도 신입생 3개년 편제표(3안)'!$A$1:$N$76</definedName>
    <definedName name="_xlnm.Print_Area" localSheetId="4">'2025학년도 신입생 3개년 편제표(4안)'!$A$1:$N$72</definedName>
    <definedName name="_xlnm.Print_Area" localSheetId="3">'2025학년도 신입생 3개년 편제표(5안)'!$A$1:$N$71</definedName>
    <definedName name="_xlnm.Print_Area" localSheetId="0">'2025학년도 신입생 3개년 편제표(안)'!$A$1:$O$71</definedName>
    <definedName name="_xlnm.Print_Area" localSheetId="5">'2026학년도 신입생 3개년 편제표'!$A$1:$N$85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0" i="12" l="1"/>
  <c r="K80" i="12"/>
  <c r="J80" i="12"/>
  <c r="I80" i="12"/>
  <c r="H80" i="12"/>
  <c r="G80" i="12"/>
  <c r="M79" i="12"/>
  <c r="N78" i="12"/>
  <c r="M78" i="12"/>
  <c r="M19" i="12"/>
  <c r="L84" i="11"/>
  <c r="K84" i="11"/>
  <c r="J84" i="11"/>
  <c r="I84" i="11"/>
  <c r="H84" i="11"/>
  <c r="G84" i="11"/>
  <c r="M83" i="11"/>
  <c r="N82" i="11"/>
  <c r="M82" i="11"/>
  <c r="M19" i="11"/>
  <c r="L72" i="10"/>
  <c r="K72" i="10"/>
  <c r="J72" i="10"/>
  <c r="I72" i="10"/>
  <c r="H72" i="10"/>
  <c r="G72" i="10"/>
  <c r="M71" i="10"/>
  <c r="N70" i="10"/>
  <c r="M70" i="10"/>
  <c r="M22" i="10"/>
  <c r="L78" i="9"/>
  <c r="K78" i="9"/>
  <c r="J78" i="9"/>
  <c r="I78" i="9"/>
  <c r="H78" i="9"/>
  <c r="G78" i="9"/>
  <c r="M77" i="9"/>
  <c r="N76" i="9"/>
  <c r="M76" i="9"/>
  <c r="M22" i="9"/>
  <c r="L71" i="8"/>
  <c r="K71" i="8"/>
  <c r="J71" i="8"/>
  <c r="I71" i="8"/>
  <c r="H71" i="8"/>
  <c r="G71" i="8"/>
  <c r="M70" i="8"/>
  <c r="N69" i="8"/>
  <c r="M69" i="8"/>
  <c r="M19" i="8"/>
  <c r="L76" i="7"/>
  <c r="K76" i="7"/>
  <c r="J76" i="7"/>
  <c r="I76" i="7"/>
  <c r="H76" i="7"/>
  <c r="G76" i="7"/>
  <c r="M75" i="7"/>
  <c r="N74" i="7"/>
  <c r="M74" i="7"/>
  <c r="M22" i="7"/>
  <c r="M71" i="6"/>
  <c r="L71" i="6"/>
  <c r="K71" i="6"/>
  <c r="J71" i="6"/>
  <c r="I71" i="6"/>
  <c r="H71" i="6"/>
  <c r="N70" i="6"/>
  <c r="O69" i="6"/>
  <c r="N69" i="6"/>
  <c r="N19" i="6"/>
  <c r="M80" i="12" l="1"/>
  <c r="M84" i="11"/>
  <c r="M72" i="10"/>
  <c r="M78" i="9"/>
  <c r="M76" i="7"/>
  <c r="M71" i="8"/>
  <c r="N71" i="6"/>
</calcChain>
</file>

<file path=xl/sharedStrings.xml><?xml version="1.0" encoding="utf-8"?>
<sst xmlns="http://schemas.openxmlformats.org/spreadsheetml/2006/main" count="1494" uniqueCount="242">
  <si>
    <t>구분</t>
    <phoneticPr fontId="2" type="noConversion"/>
  </si>
  <si>
    <t>교과 
영역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</si>
  <si>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</si>
  <si>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</si>
  <si>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</si>
  <si>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</si>
  <si>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</si>
  <si>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</si>
  <si>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</si>
  <si>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</si>
  <si>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기초</t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</si>
  <si>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</si>
  <si>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</si>
  <si>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</si>
  <si>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</si>
  <si>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</si>
  <si>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한국사</t>
    <phoneticPr fontId="2" type="noConversion"/>
  </si>
  <si>
    <t>탐구</t>
  </si>
  <si>
    <t>체육
ㆍ
예술</t>
    <phoneticPr fontId="2" type="noConversion"/>
  </si>
  <si>
    <t>음악</t>
    <phoneticPr fontId="2" type="noConversion"/>
  </si>
  <si>
    <t>미술</t>
    <phoneticPr fontId="2" type="noConversion"/>
  </si>
  <si>
    <t xml:space="preserve">학
생
선
택
교
육
과
정  </t>
    <phoneticPr fontId="2" type="noConversion"/>
  </si>
  <si>
    <t>진로</t>
  </si>
  <si>
    <t>창의적 체험활동</t>
  </si>
  <si>
    <t>일반</t>
  </si>
  <si>
    <t>화봉고등학교</t>
    <phoneticPr fontId="2" type="noConversion"/>
  </si>
  <si>
    <t>기 초</t>
  </si>
  <si>
    <t>국 어</t>
  </si>
  <si>
    <t>수 학</t>
  </si>
  <si>
    <t>영 어</t>
  </si>
  <si>
    <t>사 회</t>
  </si>
  <si>
    <t>과 학</t>
  </si>
  <si>
    <t>제2외국어/한문</t>
  </si>
  <si>
    <t>택6</t>
    <phoneticPr fontId="2" type="noConversion"/>
  </si>
  <si>
    <t>택1</t>
    <phoneticPr fontId="2" type="noConversion"/>
  </si>
  <si>
    <t>체육·
예술</t>
  </si>
  <si>
    <t>미술 창작</t>
  </si>
  <si>
    <t>기준
학점</t>
    <phoneticPr fontId="2" type="noConversion"/>
  </si>
  <si>
    <t>운영학점</t>
    <phoneticPr fontId="2" type="noConversion"/>
  </si>
  <si>
    <t>이수학점 소계</t>
    <phoneticPr fontId="2" type="noConversion"/>
  </si>
  <si>
    <t>학기별 총 이수 학점</t>
    <phoneticPr fontId="2" type="noConversion"/>
  </si>
  <si>
    <t>이수 
학점</t>
    <phoneticPr fontId="2" type="noConversion"/>
  </si>
  <si>
    <t>진로</t>
    <phoneticPr fontId="2" type="noConversion"/>
  </si>
  <si>
    <t>정보■</t>
    <phoneticPr fontId="2" type="noConversion"/>
  </si>
  <si>
    <t>2025학년도 신입생 3개년 교육과정 편제표</t>
    <phoneticPr fontId="2" type="noConversion"/>
  </si>
  <si>
    <t>공통국어1</t>
    <phoneticPr fontId="2" type="noConversion"/>
  </si>
  <si>
    <t>공통국어2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</si>
  <si>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</si>
  <si>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</si>
  <si>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</si>
  <si>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</si>
  <si>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</si>
  <si>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</si>
  <si>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</si>
  <si>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</si>
  <si>
    <t>통합과학1</t>
    <phoneticPr fontId="2" type="noConversion"/>
  </si>
  <si>
    <t>통합과학2</t>
  </si>
  <si>
    <t>체육2</t>
  </si>
  <si>
    <t>융합</t>
    <phoneticPr fontId="2" type="noConversion"/>
  </si>
  <si>
    <t>과학탐구실험1</t>
    <phoneticPr fontId="2" type="noConversion"/>
  </si>
  <si>
    <t>과학탐구실험2</t>
    <phoneticPr fontId="2" type="noConversion"/>
  </si>
  <si>
    <t>화법과 언어</t>
    <phoneticPr fontId="2" type="noConversion"/>
  </si>
  <si>
    <t>영어독해와 작문</t>
    <phoneticPr fontId="2" type="noConversion"/>
  </si>
  <si>
    <t>영어 발표와 토론</t>
    <phoneticPr fontId="2" type="noConversion"/>
  </si>
  <si>
    <t>탐구</t>
    <phoneticPr fontId="2" type="noConversion"/>
  </si>
  <si>
    <t>음악 연주와 창작</t>
    <phoneticPr fontId="2" type="noConversion"/>
  </si>
  <si>
    <t>생태와 환경</t>
    <phoneticPr fontId="2" type="noConversion"/>
  </si>
  <si>
    <r>
      <t xml:space="preserve">2
</t>
    </r>
    <r>
      <rPr>
        <sz val="6"/>
        <color theme="1"/>
        <rFont val="나눔고딕"/>
        <charset val="129"/>
      </rPr>
      <t>교차집중(↔)</t>
    </r>
    <phoneticPr fontId="2" type="noConversion"/>
  </si>
  <si>
    <t>진로와 직업</t>
    <phoneticPr fontId="2" type="noConversion"/>
  </si>
  <si>
    <t>스포츠 문화</t>
  </si>
  <si>
    <t>체육1</t>
  </si>
  <si>
    <t>스포츠 과학</t>
  </si>
  <si>
    <t>융합</t>
  </si>
  <si>
    <t>음악 감상과 비평</t>
    <phoneticPr fontId="2" type="noConversion"/>
  </si>
  <si>
    <t>문학과 영상</t>
    <phoneticPr fontId="2" type="noConversion"/>
  </si>
  <si>
    <t>미술 감상과 비평</t>
  </si>
  <si>
    <t>인공지능 기초■</t>
    <phoneticPr fontId="2" type="noConversion"/>
  </si>
  <si>
    <t>스포츠 생활1</t>
    <phoneticPr fontId="2" type="noConversion"/>
  </si>
  <si>
    <t>생활 교양</t>
    <phoneticPr fontId="2" type="noConversion"/>
  </si>
  <si>
    <t>독서 토론과 글쓰기, 언어생활 탐구</t>
    <phoneticPr fontId="2" type="noConversion"/>
  </si>
  <si>
    <t>심화 영어</t>
    <phoneticPr fontId="2" type="noConversion"/>
  </si>
  <si>
    <t>4
4
4
4
4
4</t>
    <phoneticPr fontId="2" type="noConversion"/>
  </si>
  <si>
    <t>독서와 작문</t>
    <phoneticPr fontId="2" type="noConversion"/>
  </si>
  <si>
    <t>문학</t>
    <phoneticPr fontId="2" type="noConversion"/>
  </si>
  <si>
    <t>미적분Ⅰ</t>
    <phoneticPr fontId="2" type="noConversion"/>
  </si>
  <si>
    <r>
      <t xml:space="preserve">대수, </t>
    </r>
    <r>
      <rPr>
        <sz val="10"/>
        <color theme="1"/>
        <rFont val="나눔고딕"/>
        <charset val="129"/>
      </rPr>
      <t>확률과 통계</t>
    </r>
    <phoneticPr fontId="2" type="noConversion"/>
  </si>
  <si>
    <t>주제 탐구 독서</t>
    <phoneticPr fontId="2" type="noConversion"/>
  </si>
  <si>
    <r>
      <t>영어</t>
    </r>
    <r>
      <rPr>
        <sz val="10"/>
        <color theme="1"/>
        <rFont val="돋움"/>
        <family val="3"/>
        <charset val="129"/>
      </rPr>
      <t>Ⅰ</t>
    </r>
    <phoneticPr fontId="2" type="noConversion"/>
  </si>
  <si>
    <t>기초</t>
    <phoneticPr fontId="2" type="noConversion"/>
  </si>
  <si>
    <t>영 어</t>
    <phoneticPr fontId="2" type="noConversion"/>
  </si>
  <si>
    <t>사 회</t>
    <phoneticPr fontId="2" type="noConversion"/>
  </si>
  <si>
    <t>국 어</t>
    <phoneticPr fontId="2" type="noConversion"/>
  </si>
  <si>
    <t>수 학</t>
    <phoneticPr fontId="2" type="noConversion"/>
  </si>
  <si>
    <t>정 보</t>
    <phoneticPr fontId="2" type="noConversion"/>
  </si>
  <si>
    <t>교 양</t>
    <phoneticPr fontId="2" type="noConversion"/>
  </si>
  <si>
    <t>과 학</t>
    <phoneticPr fontId="2" type="noConversion"/>
  </si>
  <si>
    <t>예 술</t>
    <phoneticPr fontId="2" type="noConversion"/>
  </si>
  <si>
    <t>체 육</t>
    <phoneticPr fontId="2" type="noConversion"/>
  </si>
  <si>
    <t>필수
학점</t>
    <phoneticPr fontId="2" type="noConversion"/>
  </si>
  <si>
    <t>스포츠 생활2</t>
    <phoneticPr fontId="2" type="noConversion"/>
  </si>
  <si>
    <t>정 보</t>
  </si>
  <si>
    <t>교 양</t>
  </si>
  <si>
    <t>중국어, 일본어</t>
    <phoneticPr fontId="2" type="noConversion"/>
  </si>
  <si>
    <t>택7</t>
    <phoneticPr fontId="2" type="noConversion"/>
  </si>
  <si>
    <t>3
3
3
3
3
3
3</t>
    <phoneticPr fontId="2" type="noConversion"/>
  </si>
  <si>
    <t>화학, 지구과학</t>
    <phoneticPr fontId="2" type="noConversion"/>
  </si>
  <si>
    <t>물리학, 생명과학</t>
    <phoneticPr fontId="2" type="noConversion"/>
  </si>
  <si>
    <t>정 보</t>
    <phoneticPr fontId="2" type="noConversion"/>
  </si>
  <si>
    <t>데이터 과학■</t>
    <phoneticPr fontId="2" type="noConversion"/>
  </si>
  <si>
    <r>
      <t>생활</t>
    </r>
    <r>
      <rPr>
        <sz val="10"/>
        <color rgb="FF000000"/>
        <rFont val="돋움"/>
        <family val="3"/>
        <charset val="129"/>
      </rPr>
      <t>∙</t>
    </r>
    <r>
      <rPr>
        <sz val="10"/>
        <color rgb="FF000000"/>
        <rFont val="나눔고딕"/>
        <family val="3"/>
        <charset val="129"/>
      </rPr>
      <t>교양</t>
    </r>
    <phoneticPr fontId="2" type="noConversion"/>
  </si>
  <si>
    <r>
      <t>생활</t>
    </r>
    <r>
      <rPr>
        <sz val="10"/>
        <color rgb="FF000000"/>
        <rFont val="돋움"/>
        <family val="3"/>
        <charset val="129"/>
      </rPr>
      <t>∙</t>
    </r>
    <r>
      <rPr>
        <sz val="10"/>
        <color rgb="FF000000"/>
        <rFont val="나눔고딕"/>
        <family val="3"/>
        <charset val="129"/>
      </rPr>
      <t>교양</t>
    </r>
    <phoneticPr fontId="2" type="noConversion"/>
  </si>
  <si>
    <t>과학의 역사와 문화, 융합과학 탐구,
기후변화와 환경생태</t>
  </si>
  <si>
    <t>생활∙교양</t>
  </si>
  <si>
    <t>융합</t>
    <phoneticPr fontId="2" type="noConversion"/>
  </si>
  <si>
    <t>소프트웨어와 생활■</t>
    <phoneticPr fontId="2" type="noConversion"/>
  </si>
  <si>
    <t>인간의 심리, 교육의 이해</t>
    <phoneticPr fontId="2" type="noConversion"/>
  </si>
  <si>
    <t>경제 수학, 기하</t>
    <phoneticPr fontId="2" type="noConversion"/>
  </si>
  <si>
    <r>
      <t>미적분</t>
    </r>
    <r>
      <rPr>
        <sz val="10"/>
        <color theme="1"/>
        <rFont val="나눔고딕"/>
        <family val="1"/>
        <charset val="129"/>
      </rPr>
      <t>Ⅱ</t>
    </r>
    <r>
      <rPr>
        <sz val="10"/>
        <color theme="1"/>
        <rFont val="나눔고딕"/>
        <charset val="129"/>
      </rPr>
      <t xml:space="preserve">, </t>
    </r>
    <r>
      <rPr>
        <sz val="10"/>
        <color theme="1"/>
        <rFont val="나눔고딕"/>
        <family val="3"/>
        <charset val="129"/>
      </rPr>
      <t>인공지능 수학</t>
    </r>
    <phoneticPr fontId="2" type="noConversion"/>
  </si>
  <si>
    <t>전문 수학*, 이산 수학*</t>
    <phoneticPr fontId="2" type="noConversion"/>
  </si>
  <si>
    <t>심화 영어 독해와 작문</t>
  </si>
  <si>
    <t>실생활 영어 회화</t>
    <phoneticPr fontId="2" type="noConversion"/>
  </si>
  <si>
    <t>진로</t>
    <phoneticPr fontId="2" type="noConversion"/>
  </si>
  <si>
    <t>세계시민과 지리</t>
    <phoneticPr fontId="2" type="noConversion"/>
  </si>
  <si>
    <t>정치, 법과 사회</t>
    <phoneticPr fontId="2" type="noConversion"/>
  </si>
  <si>
    <t>일반</t>
    <phoneticPr fontId="2" type="noConversion"/>
  </si>
  <si>
    <t>세계사</t>
    <phoneticPr fontId="2" type="noConversion"/>
  </si>
  <si>
    <t>한국지리 탐구, 윤리와 사상, 경제</t>
    <phoneticPr fontId="2" type="noConversion"/>
  </si>
  <si>
    <t>사회와 문화, 현대사회와 윤리</t>
    <phoneticPr fontId="2" type="noConversion"/>
  </si>
  <si>
    <t>역학과 에너지■, 물질과 에너지■, 세포와 물질대사■, 지구시스템과학■, 전자기와 양자■, 화학 반응의 세계■, 생물의 유전■, 행성우주과학■</t>
    <phoneticPr fontId="2" type="noConversion"/>
  </si>
  <si>
    <t>영어Ⅱ</t>
  </si>
  <si>
    <t>영미 문학 읽기</t>
    <phoneticPr fontId="2" type="noConversion"/>
  </si>
  <si>
    <t>동아시아 역사 기행, 도시의 미래 탐구</t>
    <phoneticPr fontId="2" type="noConversion"/>
  </si>
  <si>
    <t>사회문제 탐구, 윤리문제 탐구, 
역사로 탐구하는 현대 세계, 여행지리</t>
    <phoneticPr fontId="2" type="noConversion"/>
  </si>
  <si>
    <t>택5</t>
    <phoneticPr fontId="2" type="noConversion"/>
  </si>
  <si>
    <t xml:space="preserve">4
4
4
4
4
</t>
    <phoneticPr fontId="2" type="noConversion"/>
  </si>
  <si>
    <t>데이터 과학■, 소프트웨어와 생활■</t>
    <phoneticPr fontId="2" type="noConversion"/>
  </si>
  <si>
    <t>스포츠 생활1</t>
  </si>
  <si>
    <t>스포츠 생활2</t>
  </si>
  <si>
    <t>교양</t>
    <phoneticPr fontId="2" type="noConversion"/>
  </si>
  <si>
    <t>4
4
4
4
4</t>
    <phoneticPr fontId="2" type="noConversion"/>
  </si>
  <si>
    <t>물리학, 화학, 생명과학, 지구과학</t>
  </si>
  <si>
    <t>물리학, 화학, 생명과학, 지구과학</t>
    <phoneticPr fontId="2" type="noConversion"/>
  </si>
  <si>
    <t>역학과 에너지■, 물질과 에너지■, 세포와 물질대사■, 지구시스템과학■</t>
  </si>
  <si>
    <t>역학과 에너지■, 물질과 에너지■, 세포와 물질대사■, 지구시스템과학■</t>
    <phoneticPr fontId="2" type="noConversion"/>
  </si>
  <si>
    <t>전자기와 양자■, 화학 반응의 세계■, 생물의 유전■, 행성우주과학■</t>
    <phoneticPr fontId="2" type="noConversion"/>
  </si>
  <si>
    <t>수학과제 탐구</t>
    <phoneticPr fontId="2" type="noConversion"/>
  </si>
  <si>
    <t>인간의 심리, 교육의 이해, 논술, 인간과 철학</t>
    <phoneticPr fontId="2" type="noConversion"/>
  </si>
  <si>
    <t>대수</t>
  </si>
  <si>
    <r>
      <t>미적분</t>
    </r>
    <r>
      <rPr>
        <sz val="10"/>
        <color theme="1"/>
        <rFont val="나눔고딕"/>
        <family val="1"/>
        <charset val="129"/>
      </rPr>
      <t>Ⅰ, 확률과 통계</t>
    </r>
    <phoneticPr fontId="2" type="noConversion"/>
  </si>
  <si>
    <r>
      <t>미적분</t>
    </r>
    <r>
      <rPr>
        <sz val="10"/>
        <color theme="1"/>
        <rFont val="나눔고딕"/>
        <family val="1"/>
        <charset val="129"/>
      </rPr>
      <t>Ⅰ</t>
    </r>
    <r>
      <rPr>
        <sz val="10"/>
        <color theme="1"/>
        <rFont val="나눔고딕"/>
        <family val="3"/>
        <charset val="129"/>
      </rPr>
      <t>, 확률과 통계</t>
    </r>
    <phoneticPr fontId="2" type="noConversion"/>
  </si>
  <si>
    <t>인공지능 수학</t>
    <phoneticPr fontId="2" type="noConversion"/>
  </si>
  <si>
    <t>2025학년도 신입생 3개년 교육과정 편제표(1안)</t>
    <phoneticPr fontId="2" type="noConversion"/>
  </si>
  <si>
    <t>2025학년도 신입생 3개년 교육과정 편제표(2안)</t>
    <phoneticPr fontId="2" type="noConversion"/>
  </si>
  <si>
    <t>여행지리</t>
  </si>
  <si>
    <t>여행지리</t>
    <phoneticPr fontId="2" type="noConversion"/>
  </si>
  <si>
    <t>세계사, 세계시민과 지리</t>
  </si>
  <si>
    <t>세계사, 세계시민과 지리</t>
    <phoneticPr fontId="2" type="noConversion"/>
  </si>
  <si>
    <t>한국지리 탐구</t>
  </si>
  <si>
    <t>융합</t>
    <phoneticPr fontId="2" type="noConversion"/>
  </si>
  <si>
    <t>역사로 탐구하는 현대세계</t>
  </si>
  <si>
    <t>역사로 탐구하는 현대세계</t>
    <phoneticPr fontId="2" type="noConversion"/>
  </si>
  <si>
    <t>진로</t>
    <phoneticPr fontId="2" type="noConversion"/>
  </si>
  <si>
    <t>도시의 미래 탐구</t>
  </si>
  <si>
    <t>도시의 미래 탐구</t>
    <phoneticPr fontId="2" type="noConversion"/>
  </si>
  <si>
    <t>사회문제 탐구, 윤리문제 탐구</t>
  </si>
  <si>
    <t>사회문제 탐구, 윤리문제 탐구</t>
    <phoneticPr fontId="2" type="noConversion"/>
  </si>
  <si>
    <t>사회와 문화, 현대사회와 윤리</t>
  </si>
  <si>
    <t>성공적인 직업생활*</t>
    <phoneticPr fontId="2" type="noConversion"/>
  </si>
  <si>
    <r>
      <t>미적분</t>
    </r>
    <r>
      <rPr>
        <sz val="10"/>
        <color theme="1"/>
        <rFont val="나눔고딕"/>
        <family val="1"/>
        <charset val="129"/>
      </rPr>
      <t>Ⅱ</t>
    </r>
    <r>
      <rPr>
        <sz val="10"/>
        <color theme="1"/>
        <rFont val="나눔고딕"/>
        <charset val="129"/>
      </rPr>
      <t xml:space="preserve">, </t>
    </r>
    <r>
      <rPr>
        <sz val="10"/>
        <color theme="1"/>
        <rFont val="나눔고딕"/>
        <family val="3"/>
        <charset val="129"/>
      </rPr>
      <t>기하, 경제수학</t>
    </r>
    <phoneticPr fontId="2" type="noConversion"/>
  </si>
  <si>
    <t>정치, 경제, 동아시아 역사 기행</t>
    <phoneticPr fontId="2" type="noConversion"/>
  </si>
  <si>
    <t>윤리와 사상, 법과 사회</t>
    <phoneticPr fontId="2" type="noConversion"/>
  </si>
  <si>
    <t>윤리와 사상, 법과 사회</t>
    <phoneticPr fontId="2" type="noConversion"/>
  </si>
  <si>
    <t>공통</t>
  </si>
  <si>
    <t>공통수학2</t>
  </si>
  <si>
    <t>일반</t>
    <phoneticPr fontId="2" type="noConversion"/>
  </si>
  <si>
    <t>대수</t>
    <phoneticPr fontId="2" type="noConversion"/>
  </si>
  <si>
    <r>
      <t>미적분</t>
    </r>
    <r>
      <rPr>
        <sz val="10"/>
        <color theme="1"/>
        <rFont val="돋움"/>
        <family val="3"/>
        <charset val="129"/>
      </rPr>
      <t>Ⅰ</t>
    </r>
    <phoneticPr fontId="2" type="noConversion"/>
  </si>
  <si>
    <t>확률과 통계</t>
  </si>
  <si>
    <t>확률과 통계</t>
    <phoneticPr fontId="2" type="noConversion"/>
  </si>
  <si>
    <t>택4</t>
    <phoneticPr fontId="2" type="noConversion"/>
  </si>
  <si>
    <t>인공지능 기초■</t>
  </si>
  <si>
    <t>프로그래밍*</t>
    <phoneticPr fontId="2" type="noConversion"/>
  </si>
  <si>
    <t>미적분Ⅰ</t>
  </si>
  <si>
    <t>4
4
4
4</t>
    <phoneticPr fontId="2" type="noConversion"/>
  </si>
  <si>
    <t>일본어</t>
    <phoneticPr fontId="2" type="noConversion"/>
  </si>
  <si>
    <t>중국어</t>
    <phoneticPr fontId="2" type="noConversion"/>
  </si>
  <si>
    <t>중국어 회화</t>
    <phoneticPr fontId="2" type="noConversion"/>
  </si>
  <si>
    <t>일본어 회화</t>
    <phoneticPr fontId="2" type="noConversion"/>
  </si>
  <si>
    <t>일본어 회화</t>
  </si>
  <si>
    <t>생태와 환경</t>
  </si>
  <si>
    <t>융합과학 탐구</t>
    <phoneticPr fontId="2" type="noConversion"/>
  </si>
  <si>
    <t>과학의 역사와 문화, 기후변화와 환경생태</t>
    <phoneticPr fontId="2" type="noConversion"/>
  </si>
  <si>
    <t>프로그래밍*(정보 교과 고시외 과목 예정)</t>
    <phoneticPr fontId="2" type="noConversion"/>
  </si>
  <si>
    <t>융합</t>
    <phoneticPr fontId="2" type="noConversion"/>
  </si>
  <si>
    <t>논술</t>
    <phoneticPr fontId="2" type="noConversion"/>
  </si>
  <si>
    <t>영어 독해와 작문</t>
    <phoneticPr fontId="2" type="noConversion"/>
  </si>
  <si>
    <t>역사로 탐구하는 현대 세계</t>
    <phoneticPr fontId="2" type="noConversion"/>
  </si>
  <si>
    <t>인간과 심리, 교육의 이해</t>
    <phoneticPr fontId="2" type="noConversion"/>
  </si>
  <si>
    <t>심화 영어 독해와 작문</t>
    <phoneticPr fontId="2" type="noConversion"/>
  </si>
  <si>
    <t>과학의 역사와 문화</t>
    <phoneticPr fontId="2" type="noConversion"/>
  </si>
  <si>
    <r>
      <t>미적분</t>
    </r>
    <r>
      <rPr>
        <sz val="10"/>
        <color theme="1"/>
        <rFont val="Yu Gothic"/>
        <family val="2"/>
        <charset val="128"/>
      </rPr>
      <t>Ⅰ</t>
    </r>
    <phoneticPr fontId="2" type="noConversion"/>
  </si>
  <si>
    <r>
      <t>미적분</t>
    </r>
    <r>
      <rPr>
        <sz val="10"/>
        <color theme="1"/>
        <rFont val="Yu Gothic"/>
        <family val="2"/>
        <charset val="128"/>
      </rPr>
      <t>Ⅱ</t>
    </r>
    <r>
      <rPr>
        <sz val="10"/>
        <color theme="1"/>
        <rFont val="나눔고딕"/>
        <charset val="129"/>
      </rPr>
      <t xml:space="preserve">, </t>
    </r>
    <r>
      <rPr>
        <sz val="10"/>
        <color theme="1"/>
        <rFont val="나눔고딕"/>
        <family val="3"/>
        <charset val="129"/>
      </rPr>
      <t>확률과 통계, 경제수학</t>
    </r>
    <phoneticPr fontId="2" type="noConversion"/>
  </si>
  <si>
    <t>기하</t>
    <phoneticPr fontId="2" type="noConversion"/>
  </si>
  <si>
    <t>2025학년도 신입생 3개년 교육과정 편제표(5안)</t>
    <phoneticPr fontId="2" type="noConversion"/>
  </si>
  <si>
    <t>정치, 법과 사회, 동아시아 역사 기행, 인문학과 윤리</t>
    <phoneticPr fontId="2" type="noConversion"/>
  </si>
  <si>
    <t>윤리와 사상, 경제</t>
    <phoneticPr fontId="2" type="noConversion"/>
  </si>
  <si>
    <r>
      <t>미적분</t>
    </r>
    <r>
      <rPr>
        <sz val="10"/>
        <color theme="1"/>
        <rFont val="Yu Gothic"/>
        <family val="2"/>
        <charset val="128"/>
      </rPr>
      <t>Ⅰ</t>
    </r>
    <r>
      <rPr>
        <sz val="10"/>
        <color theme="1"/>
        <rFont val="나눔고딕"/>
        <family val="3"/>
        <charset val="129"/>
      </rPr>
      <t>, 확률과 통계</t>
    </r>
    <phoneticPr fontId="2" type="noConversion"/>
  </si>
  <si>
    <t>☞＊표시 과목: 전문교과Ⅰ, ★표시 과목: 전문교과Ⅱ, ☆표시 과목: 고시외 과목, ■표시 과목: 교과특성화학교 운영 과목(26학점 이상)</t>
  </si>
  <si>
    <t>일반</t>
    <phoneticPr fontId="2" type="noConversion"/>
  </si>
  <si>
    <t>세계시민과 지리</t>
    <phoneticPr fontId="2" type="noConversion"/>
  </si>
  <si>
    <t>윤리와 사상, 법과 사회, 도시의 미래 탐구</t>
    <phoneticPr fontId="2" type="noConversion"/>
  </si>
  <si>
    <t>사회</t>
    <phoneticPr fontId="2" type="noConversion"/>
  </si>
  <si>
    <t>사회문제 탐구, 여행 지리</t>
    <phoneticPr fontId="2" type="noConversion"/>
  </si>
  <si>
    <t>윤리 문제 탐구</t>
    <phoneticPr fontId="2" type="noConversion"/>
  </si>
  <si>
    <t>진로</t>
    <phoneticPr fontId="2" type="noConversion"/>
  </si>
  <si>
    <t>인문학과 윤리</t>
    <phoneticPr fontId="2" type="noConversion"/>
  </si>
  <si>
    <t>교양</t>
    <phoneticPr fontId="2" type="noConversion"/>
  </si>
  <si>
    <t>인공지능 기초■</t>
    <phoneticPr fontId="2" type="noConversion"/>
  </si>
  <si>
    <t>기후변화와 환경생태, 융합과학 탐구</t>
    <phoneticPr fontId="2" type="noConversion"/>
  </si>
  <si>
    <t>과학</t>
    <phoneticPr fontId="2" type="noConversion"/>
  </si>
  <si>
    <t>체육</t>
    <phoneticPr fontId="2" type="noConversion"/>
  </si>
  <si>
    <t>예술</t>
    <phoneticPr fontId="2" type="noConversion"/>
  </si>
  <si>
    <t>정보</t>
    <phoneticPr fontId="2" type="noConversion"/>
  </si>
  <si>
    <t>국어</t>
    <phoneticPr fontId="2" type="noConversion"/>
  </si>
  <si>
    <t>수학</t>
    <phoneticPr fontId="2" type="noConversion"/>
  </si>
  <si>
    <t>영어</t>
    <phoneticPr fontId="2" type="noConversion"/>
  </si>
  <si>
    <t>정보와 디지털 문해력■☆</t>
    <phoneticPr fontId="2" type="noConversion"/>
  </si>
  <si>
    <t>사회</t>
  </si>
  <si>
    <t>과학</t>
  </si>
  <si>
    <t>기술∙
가정/정보</t>
  </si>
  <si>
    <t>소인수교육과정</t>
    <phoneticPr fontId="2" type="noConversion"/>
  </si>
  <si>
    <t>공동
교육과
정</t>
    <phoneticPr fontId="2" type="noConversion"/>
  </si>
  <si>
    <t>소인수/공동교육과정
(이수 시기별 2-3학점)</t>
    <phoneticPr fontId="2" type="noConversion"/>
  </si>
  <si>
    <t>보건 간호★, 공중 보건★</t>
    <phoneticPr fontId="2" type="noConversion"/>
  </si>
  <si>
    <t xml:space="preserve"> 자료 구조★■,컴퓨터 구조★■</t>
    <phoneticPr fontId="2" type="noConversion"/>
  </si>
  <si>
    <t>금융과 경제생활, 기후변화와 지속가능한 세계</t>
    <phoneticPr fontId="2" type="noConversion"/>
  </si>
  <si>
    <t>비교문화(5명이하), 현대 세계의 변화(5명이하)</t>
    <phoneticPr fontId="2" type="noConversion"/>
  </si>
  <si>
    <t>물리학 실험■, 생명과학 실험■  
화학 실험■,지구과학 실험■</t>
    <phoneticPr fontId="2" type="noConversion"/>
  </si>
  <si>
    <t>☞ ★표시 과목: 전문교과, ☆표시 과목: 고시외 과목, ■표시 과목: 교과특성화학교 운영 과목(26학점 이상)</t>
    <phoneticPr fontId="2" type="noConversion"/>
  </si>
  <si>
    <t>전자기와 양자■,물질과 에너지■, 생물의 유전■, 행성우주과학■</t>
    <phoneticPr fontId="2" type="noConversion"/>
  </si>
  <si>
    <t>역학과 에너지■, 화학 반응의 세계■, 세포와 물질대사■, 지구시스템과학■</t>
    <phoneticPr fontId="2" type="noConversion"/>
  </si>
  <si>
    <t>2026학년도 신입생 3개년 교육과정 편제표(안)_수정1219자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</si>
</sst>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charset val="129"/>
    </font>
    <font>
      <b/>
      <sz val="10"/>
      <color theme="1"/>
      <name val="나눔고딕"/>
      <charset val="129"/>
    </font>
    <font>
      <sz val="10"/>
      <color theme="1"/>
      <name val="돋움"/>
      <family val="3"/>
      <charset val="129"/>
    </font>
    <font>
      <sz val="10"/>
      <color rgb="FF000000"/>
      <name val="나눔고딕"/>
      <charset val="129"/>
    </font>
    <font>
      <sz val="10"/>
      <color theme="1"/>
      <name val="나눔고딕"/>
      <family val="1"/>
      <charset val="129"/>
    </font>
    <font>
      <sz val="6"/>
      <color theme="1"/>
      <name val="나눔고딕"/>
      <charset val="129"/>
    </font>
    <font>
      <sz val="10"/>
      <color rgb="FF000000"/>
      <name val="돋움"/>
      <family val="3"/>
      <charset val="129"/>
    </font>
    <font>
      <sz val="10"/>
      <color theme="1"/>
      <name val="Yu Gothic"/>
      <family val="2"/>
      <charset val="128"/>
    </font>
    <font>
      <sz val="8"/>
      <color theme="1"/>
      <name val="나눔고딕"/>
      <family val="3"/>
      <charset val="129"/>
    </font>
    <font>
      <sz val="8"/>
      <color theme="1"/>
      <name val="나눔고딕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FDE8"/>
        <bgColor indexed="64"/>
      </patternFill>
    </fill>
    <fill>
      <patternFill patternType="solid">
        <fgColor rgb="FFFAFEE8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13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11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5" fillId="3" borderId="17" xfId="0" applyNumberFormat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/>
    </xf>
    <xf numFmtId="176" fontId="5" fillId="3" borderId="31" xfId="0" applyNumberFormat="1" applyFont="1" applyFill="1" applyBorder="1" applyAlignment="1">
      <alignment horizontal="center" vertical="center" wrapText="1"/>
    </xf>
    <xf numFmtId="176" fontId="5" fillId="3" borderId="28" xfId="0" applyNumberFormat="1" applyFont="1" applyFill="1" applyBorder="1" applyAlignment="1">
      <alignment horizontal="center" vertical="center" wrapText="1"/>
    </xf>
    <xf numFmtId="176" fontId="5" fillId="3" borderId="29" xfId="0" applyNumberFormat="1" applyFont="1" applyFill="1" applyBorder="1" applyAlignment="1">
      <alignment horizontal="center" vertical="center" wrapText="1"/>
    </xf>
    <xf numFmtId="176" fontId="5" fillId="3" borderId="34" xfId="0" applyNumberFormat="1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shrinkToFit="1"/>
    </xf>
    <xf numFmtId="176" fontId="5" fillId="3" borderId="31" xfId="0" applyNumberFormat="1" applyFont="1" applyFill="1" applyBorder="1" applyAlignment="1">
      <alignment horizontal="center" vertical="center" shrinkToFit="1"/>
    </xf>
    <xf numFmtId="0" fontId="8" fillId="6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176" fontId="10" fillId="8" borderId="8" xfId="0" applyNumberFormat="1" applyFont="1" applyFill="1" applyBorder="1" applyAlignment="1">
      <alignment horizontal="center" vertical="center" wrapText="1"/>
    </xf>
    <xf numFmtId="176" fontId="5" fillId="8" borderId="9" xfId="0" applyNumberFormat="1" applyFont="1" applyFill="1" applyBorder="1" applyAlignment="1">
      <alignment horizontal="center" vertical="center" wrapText="1"/>
    </xf>
    <xf numFmtId="176" fontId="10" fillId="9" borderId="8" xfId="0" applyNumberFormat="1" applyFont="1" applyFill="1" applyBorder="1" applyAlignment="1">
      <alignment horizontal="center" vertical="center" wrapText="1"/>
    </xf>
    <xf numFmtId="176" fontId="6" fillId="2" borderId="23" xfId="0" applyNumberFormat="1" applyFont="1" applyFill="1" applyBorder="1" applyAlignment="1">
      <alignment horizontal="center" vertical="center" shrinkToFit="1"/>
    </xf>
    <xf numFmtId="176" fontId="6" fillId="2" borderId="22" xfId="0" applyNumberFormat="1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wrapText="1"/>
    </xf>
    <xf numFmtId="176" fontId="5" fillId="3" borderId="17" xfId="0" applyNumberFormat="1" applyFont="1" applyFill="1" applyBorder="1" applyAlignment="1">
      <alignment horizontal="left" vertical="center" wrapText="1"/>
    </xf>
    <xf numFmtId="176" fontId="5" fillId="3" borderId="2" xfId="0" applyNumberFormat="1" applyFont="1" applyFill="1" applyBorder="1" applyAlignment="1">
      <alignment horizontal="left" vertical="center" wrapText="1"/>
    </xf>
    <xf numFmtId="176" fontId="5" fillId="3" borderId="2" xfId="0" applyNumberFormat="1" applyFont="1" applyFill="1" applyBorder="1" applyAlignment="1">
      <alignment horizontal="left" vertical="center" shrinkToFit="1"/>
    </xf>
    <xf numFmtId="176" fontId="5" fillId="3" borderId="18" xfId="0" applyNumberFormat="1" applyFont="1" applyFill="1" applyBorder="1" applyAlignment="1">
      <alignment horizontal="left" vertical="center" shrinkToFit="1"/>
    </xf>
    <xf numFmtId="176" fontId="5" fillId="5" borderId="2" xfId="0" applyNumberFormat="1" applyFont="1" applyFill="1" applyBorder="1" applyAlignment="1">
      <alignment horizontal="left" vertical="center" wrapText="1" shrinkToFit="1"/>
    </xf>
    <xf numFmtId="176" fontId="5" fillId="5" borderId="2" xfId="0" applyNumberFormat="1" applyFont="1" applyFill="1" applyBorder="1" applyAlignment="1">
      <alignment horizontal="left" vertical="center" wrapText="1"/>
    </xf>
    <xf numFmtId="176" fontId="5" fillId="4" borderId="2" xfId="0" applyNumberFormat="1" applyFont="1" applyFill="1" applyBorder="1" applyAlignment="1">
      <alignment horizontal="left" vertical="center" wrapText="1"/>
    </xf>
    <xf numFmtId="176" fontId="5" fillId="6" borderId="17" xfId="0" applyNumberFormat="1" applyFont="1" applyFill="1" applyBorder="1" applyAlignment="1">
      <alignment horizontal="left" vertical="center" shrinkToFit="1"/>
    </xf>
    <xf numFmtId="176" fontId="5" fillId="6" borderId="2" xfId="0" applyNumberFormat="1" applyFont="1" applyFill="1" applyBorder="1" applyAlignment="1">
      <alignment horizontal="left" vertical="center" shrinkToFit="1"/>
    </xf>
    <xf numFmtId="176" fontId="5" fillId="6" borderId="2" xfId="0" applyNumberFormat="1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shrinkToFit="1"/>
    </xf>
    <xf numFmtId="0" fontId="5" fillId="6" borderId="2" xfId="0" applyFont="1" applyFill="1" applyBorder="1" applyAlignment="1">
      <alignment horizontal="left" vertical="center" wrapText="1" shrinkToFit="1"/>
    </xf>
    <xf numFmtId="0" fontId="5" fillId="6" borderId="18" xfId="0" applyFont="1" applyFill="1" applyBorder="1" applyAlignment="1">
      <alignment horizontal="left" vertical="center" wrapText="1" shrinkToFit="1"/>
    </xf>
    <xf numFmtId="176" fontId="5" fillId="7" borderId="17" xfId="0" applyNumberFormat="1" applyFont="1" applyFill="1" applyBorder="1" applyAlignment="1">
      <alignment horizontal="left" vertical="center" shrinkToFit="1"/>
    </xf>
    <xf numFmtId="176" fontId="5" fillId="7" borderId="2" xfId="0" applyNumberFormat="1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shrinkToFit="1"/>
    </xf>
    <xf numFmtId="0" fontId="5" fillId="7" borderId="2" xfId="0" applyFont="1" applyFill="1" applyBorder="1" applyAlignment="1">
      <alignment horizontal="left" vertical="center" wrapText="1" shrinkToFit="1"/>
    </xf>
    <xf numFmtId="0" fontId="5" fillId="7" borderId="18" xfId="0" applyFont="1" applyFill="1" applyBorder="1" applyAlignment="1">
      <alignment horizontal="left" vertical="center" wrapText="1" shrinkToFit="1"/>
    </xf>
    <xf numFmtId="176" fontId="5" fillId="8" borderId="17" xfId="0" applyNumberFormat="1" applyFont="1" applyFill="1" applyBorder="1" applyAlignment="1">
      <alignment horizontal="left" vertical="center" shrinkToFit="1"/>
    </xf>
    <xf numFmtId="176" fontId="5" fillId="8" borderId="18" xfId="0" applyNumberFormat="1" applyFont="1" applyFill="1" applyBorder="1" applyAlignment="1">
      <alignment horizontal="left" vertical="center" wrapText="1"/>
    </xf>
    <xf numFmtId="176" fontId="5" fillId="9" borderId="17" xfId="0" applyNumberFormat="1" applyFont="1" applyFill="1" applyBorder="1" applyAlignment="1">
      <alignment horizontal="left" vertical="center" shrinkToFit="1"/>
    </xf>
    <xf numFmtId="176" fontId="5" fillId="3" borderId="7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 shrinkToFit="1"/>
    </xf>
    <xf numFmtId="176" fontId="5" fillId="3" borderId="34" xfId="0" applyNumberFormat="1" applyFont="1" applyFill="1" applyBorder="1" applyAlignment="1">
      <alignment horizontal="center" vertical="center" wrapText="1" shrinkToFit="1"/>
    </xf>
    <xf numFmtId="176" fontId="5" fillId="3" borderId="31" xfId="0" applyNumberFormat="1" applyFont="1" applyFill="1" applyBorder="1" applyAlignment="1">
      <alignment horizontal="center" vertical="center" wrapText="1" shrinkToFit="1"/>
    </xf>
    <xf numFmtId="176" fontId="5" fillId="3" borderId="35" xfId="0" applyNumberFormat="1" applyFont="1" applyFill="1" applyBorder="1" applyAlignment="1">
      <alignment horizontal="center" vertical="center" wrapText="1" shrinkToFit="1"/>
    </xf>
    <xf numFmtId="176" fontId="5" fillId="10" borderId="1" xfId="0" applyNumberFormat="1" applyFont="1" applyFill="1" applyBorder="1" applyAlignment="1">
      <alignment horizontal="left" vertical="center" wrapText="1"/>
    </xf>
    <xf numFmtId="176" fontId="10" fillId="10" borderId="36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shrinkToFit="1"/>
    </xf>
    <xf numFmtId="176" fontId="5" fillId="10" borderId="7" xfId="0" applyNumberFormat="1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176" fontId="5" fillId="3" borderId="43" xfId="0" applyNumberFormat="1" applyFont="1" applyFill="1" applyBorder="1" applyAlignment="1">
      <alignment horizontal="center" vertical="center" shrinkToFit="1"/>
    </xf>
    <xf numFmtId="176" fontId="5" fillId="3" borderId="43" xfId="0" applyNumberFormat="1" applyFont="1" applyFill="1" applyBorder="1" applyAlignment="1">
      <alignment horizontal="center" vertical="center" wrapText="1"/>
    </xf>
    <xf numFmtId="176" fontId="5" fillId="4" borderId="43" xfId="0" applyNumberFormat="1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176" fontId="5" fillId="5" borderId="43" xfId="0" applyNumberFormat="1" applyFont="1" applyFill="1" applyBorder="1" applyAlignment="1">
      <alignment horizontal="left" vertical="center" wrapTex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3" borderId="22" xfId="0" applyNumberFormat="1" applyFont="1" applyFill="1" applyBorder="1" applyAlignment="1">
      <alignment horizontal="center" vertical="center" wrapText="1"/>
    </xf>
    <xf numFmtId="176" fontId="9" fillId="10" borderId="13" xfId="0" applyNumberFormat="1" applyFont="1" applyFill="1" applyBorder="1" applyAlignment="1">
      <alignment horizontal="center" vertical="center" wrapText="1"/>
    </xf>
    <xf numFmtId="176" fontId="6" fillId="3" borderId="43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shrinkToFit="1"/>
    </xf>
    <xf numFmtId="176" fontId="6" fillId="3" borderId="18" xfId="0" applyNumberFormat="1" applyFont="1" applyFill="1" applyBorder="1" applyAlignment="1">
      <alignment vertical="center" shrinkToFit="1"/>
    </xf>
    <xf numFmtId="0" fontId="5" fillId="7" borderId="1" xfId="0" applyFont="1" applyFill="1" applyBorder="1" applyAlignment="1">
      <alignment horizontal="left" vertical="center" wrapText="1" shrinkToFit="1"/>
    </xf>
    <xf numFmtId="176" fontId="6" fillId="3" borderId="43" xfId="0" applyNumberFormat="1" applyFont="1" applyFill="1" applyBorder="1" applyAlignment="1">
      <alignment vertical="center" wrapText="1"/>
    </xf>
    <xf numFmtId="176" fontId="5" fillId="3" borderId="33" xfId="0" applyNumberFormat="1" applyFont="1" applyFill="1" applyBorder="1" applyAlignment="1">
      <alignment vertical="center" wrapText="1"/>
    </xf>
    <xf numFmtId="176" fontId="9" fillId="10" borderId="36" xfId="0" applyNumberFormat="1" applyFont="1" applyFill="1" applyBorder="1" applyAlignment="1">
      <alignment horizontal="center" vertical="center" wrapText="1"/>
    </xf>
    <xf numFmtId="176" fontId="10" fillId="10" borderId="44" xfId="0" applyNumberFormat="1" applyFont="1" applyFill="1" applyBorder="1" applyAlignment="1">
      <alignment horizontal="center" vertical="center" wrapText="1"/>
    </xf>
    <xf numFmtId="176" fontId="5" fillId="3" borderId="39" xfId="0" applyNumberFormat="1" applyFont="1" applyFill="1" applyBorder="1" applyAlignment="1">
      <alignment vertical="center" wrapText="1"/>
    </xf>
    <xf numFmtId="176" fontId="5" fillId="4" borderId="3" xfId="0" applyNumberFormat="1" applyFont="1" applyFill="1" applyBorder="1" applyAlignment="1">
      <alignment horizontal="left" vertical="center" wrapText="1"/>
    </xf>
    <xf numFmtId="176" fontId="8" fillId="4" borderId="16" xfId="0" applyNumberFormat="1" applyFont="1" applyFill="1" applyBorder="1" applyAlignment="1">
      <alignment horizontal="center" vertical="center" wrapText="1"/>
    </xf>
    <xf numFmtId="176" fontId="5" fillId="5" borderId="17" xfId="0" applyNumberFormat="1" applyFont="1" applyFill="1" applyBorder="1" applyAlignment="1">
      <alignment horizontal="left" vertical="center" wrapText="1"/>
    </xf>
    <xf numFmtId="176" fontId="8" fillId="5" borderId="8" xfId="0" applyNumberFormat="1" applyFont="1" applyFill="1" applyBorder="1" applyAlignment="1">
      <alignment horizontal="center" vertical="center" wrapText="1"/>
    </xf>
    <xf numFmtId="176" fontId="5" fillId="3" borderId="65" xfId="0" applyNumberFormat="1" applyFont="1" applyFill="1" applyBorder="1" applyAlignment="1">
      <alignment vertical="center" wrapText="1"/>
    </xf>
    <xf numFmtId="176" fontId="5" fillId="3" borderId="66" xfId="0" applyNumberFormat="1" applyFont="1" applyFill="1" applyBorder="1" applyAlignment="1">
      <alignment vertical="center" wrapText="1"/>
    </xf>
    <xf numFmtId="176" fontId="6" fillId="3" borderId="61" xfId="0" applyNumberFormat="1" applyFont="1" applyFill="1" applyBorder="1" applyAlignment="1">
      <alignment horizontal="center" vertical="center" wrapText="1"/>
    </xf>
    <xf numFmtId="176" fontId="7" fillId="3" borderId="43" xfId="0" applyNumberFormat="1" applyFont="1" applyFill="1" applyBorder="1" applyAlignment="1">
      <alignment horizontal="center" vertical="center" wrapText="1"/>
    </xf>
    <xf numFmtId="176" fontId="6" fillId="3" borderId="64" xfId="0" applyNumberFormat="1" applyFont="1" applyFill="1" applyBorder="1" applyAlignment="1">
      <alignment horizontal="center" vertical="center" wrapText="1"/>
    </xf>
    <xf numFmtId="0" fontId="5" fillId="3" borderId="69" xfId="0" applyFont="1" applyFill="1" applyBorder="1" applyAlignment="1">
      <alignment horizontal="center" vertical="center" wrapText="1"/>
    </xf>
    <xf numFmtId="176" fontId="5" fillId="3" borderId="28" xfId="0" applyNumberFormat="1" applyFont="1" applyFill="1" applyBorder="1" applyAlignment="1">
      <alignment vertical="center" wrapText="1"/>
    </xf>
    <xf numFmtId="176" fontId="5" fillId="3" borderId="29" xfId="0" applyNumberFormat="1" applyFont="1" applyFill="1" applyBorder="1" applyAlignment="1">
      <alignment vertical="center" wrapText="1"/>
    </xf>
    <xf numFmtId="176" fontId="5" fillId="3" borderId="30" xfId="0" applyNumberFormat="1" applyFont="1" applyFill="1" applyBorder="1" applyAlignment="1">
      <alignment vertical="center" wrapText="1"/>
    </xf>
    <xf numFmtId="176" fontId="5" fillId="3" borderId="31" xfId="0" applyNumberFormat="1" applyFont="1" applyFill="1" applyBorder="1" applyAlignment="1">
      <alignment vertical="center" wrapText="1"/>
    </xf>
    <xf numFmtId="176" fontId="5" fillId="3" borderId="34" xfId="0" applyNumberFormat="1" applyFont="1" applyFill="1" applyBorder="1" applyAlignment="1">
      <alignment vertical="center" wrapText="1"/>
    </xf>
    <xf numFmtId="176" fontId="5" fillId="3" borderId="35" xfId="0" applyNumberFormat="1" applyFont="1" applyFill="1" applyBorder="1" applyAlignment="1">
      <alignment vertical="center" wrapText="1"/>
    </xf>
    <xf numFmtId="176" fontId="5" fillId="3" borderId="70" xfId="0" applyNumberFormat="1" applyFont="1" applyFill="1" applyBorder="1" applyAlignment="1">
      <alignment vertical="center" wrapText="1"/>
    </xf>
    <xf numFmtId="176" fontId="5" fillId="3" borderId="71" xfId="0" applyNumberFormat="1" applyFont="1" applyFill="1" applyBorder="1" applyAlignment="1">
      <alignment vertical="center" wrapText="1"/>
    </xf>
    <xf numFmtId="176" fontId="5" fillId="3" borderId="73" xfId="0" applyNumberFormat="1" applyFont="1" applyFill="1" applyBorder="1" applyAlignment="1">
      <alignment vertical="center" wrapText="1"/>
    </xf>
    <xf numFmtId="176" fontId="5" fillId="3" borderId="40" xfId="0" applyNumberFormat="1" applyFont="1" applyFill="1" applyBorder="1" applyAlignment="1">
      <alignment vertical="center" wrapText="1"/>
    </xf>
    <xf numFmtId="176" fontId="5" fillId="3" borderId="23" xfId="0" applyNumberFormat="1" applyFont="1" applyFill="1" applyBorder="1" applyAlignment="1">
      <alignment vertical="center" wrapText="1"/>
    </xf>
    <xf numFmtId="176" fontId="5" fillId="3" borderId="52" xfId="0" applyNumberFormat="1" applyFont="1" applyFill="1" applyBorder="1" applyAlignment="1">
      <alignment vertical="center" wrapText="1"/>
    </xf>
    <xf numFmtId="176" fontId="5" fillId="3" borderId="53" xfId="0" applyNumberFormat="1" applyFont="1" applyFill="1" applyBorder="1" applyAlignment="1">
      <alignment vertical="center" wrapText="1"/>
    </xf>
    <xf numFmtId="176" fontId="5" fillId="3" borderId="75" xfId="0" applyNumberFormat="1" applyFont="1" applyFill="1" applyBorder="1" applyAlignment="1">
      <alignment vertical="center" wrapText="1"/>
    </xf>
    <xf numFmtId="176" fontId="5" fillId="3" borderId="73" xfId="0" applyNumberFormat="1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 wrapText="1"/>
    </xf>
    <xf numFmtId="176" fontId="6" fillId="3" borderId="67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176" fontId="5" fillId="9" borderId="43" xfId="0" applyNumberFormat="1" applyFont="1" applyFill="1" applyBorder="1" applyAlignment="1">
      <alignment horizontal="left" vertical="center" shrinkToFit="1"/>
    </xf>
    <xf numFmtId="176" fontId="5" fillId="3" borderId="40" xfId="0" applyNumberFormat="1" applyFont="1" applyFill="1" applyBorder="1" applyAlignment="1">
      <alignment horizontal="center" vertical="center" wrapText="1"/>
    </xf>
    <xf numFmtId="176" fontId="9" fillId="9" borderId="72" xfId="0" applyNumberFormat="1" applyFont="1" applyFill="1" applyBorder="1" applyAlignment="1">
      <alignment horizontal="center" vertical="center" wrapText="1"/>
    </xf>
    <xf numFmtId="176" fontId="6" fillId="3" borderId="6" xfId="0" applyNumberFormat="1" applyFont="1" applyFill="1" applyBorder="1" applyAlignment="1">
      <alignment horizontal="center" vertical="center" wrapText="1"/>
    </xf>
    <xf numFmtId="176" fontId="6" fillId="3" borderId="11" xfId="0" applyNumberFormat="1" applyFont="1" applyFill="1" applyBorder="1" applyAlignment="1">
      <alignment horizontal="center" vertical="center" wrapText="1"/>
    </xf>
    <xf numFmtId="176" fontId="6" fillId="3" borderId="48" xfId="0" applyNumberFormat="1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horizontal="center" vertical="center" wrapText="1"/>
    </xf>
    <xf numFmtId="176" fontId="5" fillId="3" borderId="70" xfId="0" applyNumberFormat="1" applyFont="1" applyFill="1" applyBorder="1" applyAlignment="1">
      <alignment horizontal="center" vertical="center" wrapText="1"/>
    </xf>
    <xf numFmtId="176" fontId="5" fillId="3" borderId="77" xfId="0" applyNumberFormat="1" applyFont="1" applyFill="1" applyBorder="1" applyAlignment="1">
      <alignment horizontal="center" vertical="center" wrapText="1"/>
    </xf>
    <xf numFmtId="176" fontId="5" fillId="3" borderId="42" xfId="0" applyNumberFormat="1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5" fillId="3" borderId="79" xfId="0" applyFont="1" applyFill="1" applyBorder="1" applyAlignment="1">
      <alignment horizontal="center" vertical="center" wrapText="1"/>
    </xf>
    <xf numFmtId="176" fontId="5" fillId="3" borderId="80" xfId="0" applyNumberFormat="1" applyFont="1" applyFill="1" applyBorder="1" applyAlignment="1">
      <alignment horizontal="center" vertical="center" wrapText="1"/>
    </xf>
    <xf numFmtId="0" fontId="5" fillId="3" borderId="80" xfId="0" applyFont="1" applyFill="1" applyBorder="1" applyAlignment="1">
      <alignment horizontal="center" vertical="center" wrapText="1"/>
    </xf>
    <xf numFmtId="0" fontId="5" fillId="3" borderId="81" xfId="0" applyFont="1" applyFill="1" applyBorder="1" applyAlignment="1">
      <alignment horizontal="center" vertical="center" wrapText="1"/>
    </xf>
    <xf numFmtId="176" fontId="5" fillId="3" borderId="82" xfId="0" applyNumberFormat="1" applyFont="1" applyFill="1" applyBorder="1" applyAlignment="1">
      <alignment horizontal="center" vertical="center" wrapText="1"/>
    </xf>
    <xf numFmtId="176" fontId="5" fillId="9" borderId="82" xfId="0" applyNumberFormat="1" applyFont="1" applyFill="1" applyBorder="1" applyAlignment="1">
      <alignment horizontal="left" vertical="center" shrinkToFit="1"/>
    </xf>
    <xf numFmtId="0" fontId="5" fillId="3" borderId="82" xfId="0" applyFont="1" applyFill="1" applyBorder="1" applyAlignment="1">
      <alignment horizontal="center" vertical="center" wrapText="1"/>
    </xf>
    <xf numFmtId="0" fontId="5" fillId="3" borderId="78" xfId="0" applyFont="1" applyFill="1" applyBorder="1" applyAlignment="1">
      <alignment horizontal="center" vertical="center" wrapText="1"/>
    </xf>
    <xf numFmtId="176" fontId="5" fillId="11" borderId="80" xfId="0" applyNumberFormat="1" applyFont="1" applyFill="1" applyBorder="1" applyAlignment="1">
      <alignment horizontal="left" vertical="center" shrinkToFit="1"/>
    </xf>
    <xf numFmtId="176" fontId="5" fillId="11" borderId="42" xfId="0" applyNumberFormat="1" applyFont="1" applyFill="1" applyBorder="1" applyAlignment="1">
      <alignment horizontal="left" vertical="center" shrinkToFit="1"/>
    </xf>
    <xf numFmtId="176" fontId="10" fillId="3" borderId="32" xfId="0" applyNumberFormat="1" applyFont="1" applyFill="1" applyBorder="1" applyAlignment="1">
      <alignment vertical="center" wrapText="1"/>
    </xf>
    <xf numFmtId="176" fontId="10" fillId="3" borderId="76" xfId="0" applyNumberFormat="1" applyFont="1" applyFill="1" applyBorder="1" applyAlignment="1">
      <alignment vertical="center" wrapText="1"/>
    </xf>
    <xf numFmtId="176" fontId="5" fillId="3" borderId="41" xfId="0" applyNumberFormat="1" applyFont="1" applyFill="1" applyBorder="1" applyAlignment="1">
      <alignment horizontal="center" vertical="center" wrapText="1"/>
    </xf>
    <xf numFmtId="176" fontId="5" fillId="3" borderId="69" xfId="0" applyNumberFormat="1" applyFont="1" applyFill="1" applyBorder="1" applyAlignment="1">
      <alignment horizontal="center" vertical="center" wrapText="1"/>
    </xf>
    <xf numFmtId="176" fontId="9" fillId="10" borderId="39" xfId="0" applyNumberFormat="1" applyFont="1" applyFill="1" applyBorder="1" applyAlignment="1">
      <alignment horizontal="center" vertical="center" wrapText="1"/>
    </xf>
    <xf numFmtId="176" fontId="9" fillId="10" borderId="72" xfId="0" applyNumberFormat="1" applyFont="1" applyFill="1" applyBorder="1" applyAlignment="1">
      <alignment horizontal="center" vertical="center" wrapText="1"/>
    </xf>
    <xf numFmtId="176" fontId="5" fillId="3" borderId="84" xfId="0" applyNumberFormat="1" applyFont="1" applyFill="1" applyBorder="1" applyAlignment="1">
      <alignment horizontal="center" vertical="center" wrapText="1"/>
    </xf>
    <xf numFmtId="176" fontId="5" fillId="3" borderId="78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left" vertical="center" wrapText="1"/>
    </xf>
    <xf numFmtId="176" fontId="5" fillId="7" borderId="3" xfId="0" applyNumberFormat="1" applyFont="1" applyFill="1" applyBorder="1" applyAlignment="1">
      <alignment horizontal="left" vertical="center" shrinkToFit="1"/>
    </xf>
    <xf numFmtId="176" fontId="5" fillId="3" borderId="71" xfId="0" applyNumberFormat="1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vertical="center" wrapText="1"/>
    </xf>
    <xf numFmtId="176" fontId="5" fillId="3" borderId="77" xfId="0" applyNumberFormat="1" applyFont="1" applyFill="1" applyBorder="1" applyAlignment="1">
      <alignment vertical="center" wrapText="1"/>
    </xf>
    <xf numFmtId="176" fontId="5" fillId="3" borderId="92" xfId="0" applyNumberFormat="1" applyFont="1" applyFill="1" applyBorder="1" applyAlignment="1">
      <alignment horizontal="center" vertical="center" wrapText="1"/>
    </xf>
    <xf numFmtId="176" fontId="5" fillId="10" borderId="92" xfId="0" applyNumberFormat="1" applyFont="1" applyFill="1" applyBorder="1" applyAlignment="1">
      <alignment horizontal="left" vertical="center" wrapText="1"/>
    </xf>
    <xf numFmtId="0" fontId="5" fillId="3" borderId="92" xfId="0" applyFont="1" applyFill="1" applyBorder="1" applyAlignment="1">
      <alignment horizontal="center" vertical="center" wrapText="1"/>
    </xf>
    <xf numFmtId="0" fontId="5" fillId="3" borderId="91" xfId="0" applyFont="1" applyFill="1" applyBorder="1" applyAlignment="1">
      <alignment horizontal="center" vertical="center" wrapText="1"/>
    </xf>
    <xf numFmtId="176" fontId="9" fillId="10" borderId="93" xfId="0" applyNumberFormat="1" applyFont="1" applyFill="1" applyBorder="1" applyAlignment="1">
      <alignment horizontal="center" vertical="center" wrapText="1"/>
    </xf>
    <xf numFmtId="176" fontId="9" fillId="3" borderId="44" xfId="0" applyNumberFormat="1" applyFont="1" applyFill="1" applyBorder="1" applyAlignment="1">
      <alignment horizontal="center" vertical="center" wrapText="1"/>
    </xf>
    <xf numFmtId="176" fontId="9" fillId="3" borderId="93" xfId="0" applyNumberFormat="1" applyFont="1" applyFill="1" applyBorder="1" applyAlignment="1">
      <alignment horizontal="center" vertical="center" wrapText="1"/>
    </xf>
    <xf numFmtId="176" fontId="5" fillId="10" borderId="80" xfId="0" applyNumberFormat="1" applyFont="1" applyFill="1" applyBorder="1" applyAlignment="1">
      <alignment horizontal="left" vertical="center" wrapText="1"/>
    </xf>
    <xf numFmtId="0" fontId="5" fillId="3" borderId="94" xfId="0" applyFont="1" applyFill="1" applyBorder="1" applyAlignment="1">
      <alignment horizontal="center" vertical="center" wrapText="1"/>
    </xf>
    <xf numFmtId="176" fontId="5" fillId="3" borderId="95" xfId="0" applyNumberFormat="1" applyFont="1" applyFill="1" applyBorder="1" applyAlignment="1">
      <alignment vertical="center" wrapText="1"/>
    </xf>
    <xf numFmtId="176" fontId="5" fillId="3" borderId="81" xfId="0" applyNumberFormat="1" applyFont="1" applyFill="1" applyBorder="1" applyAlignment="1">
      <alignment vertical="center" wrapText="1"/>
    </xf>
    <xf numFmtId="176" fontId="10" fillId="3" borderId="96" xfId="0" applyNumberFormat="1" applyFont="1" applyFill="1" applyBorder="1" applyAlignment="1">
      <alignment horizontal="center" vertical="center" wrapText="1"/>
    </xf>
    <xf numFmtId="176" fontId="10" fillId="3" borderId="93" xfId="0" applyNumberFormat="1" applyFont="1" applyFill="1" applyBorder="1" applyAlignment="1">
      <alignment horizontal="center" vertical="center" wrapText="1"/>
    </xf>
    <xf numFmtId="176" fontId="5" fillId="3" borderId="97" xfId="0" applyNumberFormat="1" applyFont="1" applyFill="1" applyBorder="1" applyAlignment="1">
      <alignment vertical="center" wrapText="1"/>
    </xf>
    <xf numFmtId="176" fontId="5" fillId="3" borderId="98" xfId="0" applyNumberFormat="1" applyFont="1" applyFill="1" applyBorder="1" applyAlignment="1">
      <alignment horizontal="center" vertical="center" wrapText="1"/>
    </xf>
    <xf numFmtId="176" fontId="5" fillId="10" borderId="99" xfId="0" applyNumberFormat="1" applyFont="1" applyFill="1" applyBorder="1" applyAlignment="1">
      <alignment horizontal="left" vertical="center" wrapText="1"/>
    </xf>
    <xf numFmtId="0" fontId="5" fillId="3" borderId="99" xfId="0" applyFont="1" applyFill="1" applyBorder="1" applyAlignment="1">
      <alignment horizontal="center" vertical="center" wrapText="1"/>
    </xf>
    <xf numFmtId="0" fontId="5" fillId="3" borderId="100" xfId="0" applyFont="1" applyFill="1" applyBorder="1" applyAlignment="1">
      <alignment horizontal="center" vertical="center" wrapText="1"/>
    </xf>
    <xf numFmtId="176" fontId="5" fillId="3" borderId="101" xfId="0" applyNumberFormat="1" applyFont="1" applyFill="1" applyBorder="1" applyAlignment="1">
      <alignment vertical="center" wrapText="1"/>
    </xf>
    <xf numFmtId="176" fontId="5" fillId="3" borderId="104" xfId="0" applyNumberFormat="1" applyFont="1" applyFill="1" applyBorder="1" applyAlignment="1">
      <alignment vertical="center" wrapText="1"/>
    </xf>
    <xf numFmtId="176" fontId="5" fillId="3" borderId="22" xfId="0" applyNumberFormat="1" applyFont="1" applyFill="1" applyBorder="1" applyAlignment="1">
      <alignment vertical="center" wrapText="1"/>
    </xf>
    <xf numFmtId="0" fontId="5" fillId="3" borderId="104" xfId="0" applyFont="1" applyFill="1" applyBorder="1" applyAlignment="1">
      <alignment horizontal="center" vertical="center" wrapText="1"/>
    </xf>
    <xf numFmtId="176" fontId="5" fillId="12" borderId="31" xfId="0" applyNumberFormat="1" applyFont="1" applyFill="1" applyBorder="1" applyAlignment="1">
      <alignment horizontal="center" vertical="center" wrapText="1"/>
    </xf>
    <xf numFmtId="176" fontId="5" fillId="12" borderId="2" xfId="0" applyNumberFormat="1" applyFont="1" applyFill="1" applyBorder="1" applyAlignment="1">
      <alignment horizontal="left" vertical="center" shrinkToFit="1"/>
    </xf>
    <xf numFmtId="176" fontId="5" fillId="13" borderId="31" xfId="0" applyNumberFormat="1" applyFont="1" applyFill="1" applyBorder="1" applyAlignment="1">
      <alignment horizontal="center" vertical="center" wrapText="1"/>
    </xf>
    <xf numFmtId="176" fontId="5" fillId="13" borderId="30" xfId="0" applyNumberFormat="1" applyFont="1" applyFill="1" applyBorder="1" applyAlignment="1">
      <alignment horizontal="center" vertical="center" wrapText="1"/>
    </xf>
    <xf numFmtId="176" fontId="5" fillId="13" borderId="31" xfId="0" applyNumberFormat="1" applyFont="1" applyFill="1" applyBorder="1" applyAlignment="1">
      <alignment horizontal="center" vertical="center" shrinkToFi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12" borderId="30" xfId="0" applyNumberFormat="1" applyFont="1" applyFill="1" applyBorder="1" applyAlignment="1">
      <alignment horizontal="center" vertical="center" wrapText="1"/>
    </xf>
    <xf numFmtId="176" fontId="5" fillId="0" borderId="31" xfId="0" applyNumberFormat="1" applyFont="1" applyFill="1" applyBorder="1" applyAlignment="1">
      <alignment horizontal="center" vertical="center" wrapText="1"/>
    </xf>
    <xf numFmtId="176" fontId="5" fillId="3" borderId="108" xfId="0" applyNumberFormat="1" applyFont="1" applyFill="1" applyBorder="1" applyAlignment="1">
      <alignment horizontal="center" vertical="center" wrapText="1"/>
    </xf>
    <xf numFmtId="176" fontId="5" fillId="3" borderId="113" xfId="0" applyNumberFormat="1" applyFont="1" applyFill="1" applyBorder="1" applyAlignment="1">
      <alignment horizontal="center" vertical="center" wrapText="1"/>
    </xf>
    <xf numFmtId="176" fontId="5" fillId="3" borderId="113" xfId="0" applyNumberFormat="1" applyFont="1" applyFill="1" applyBorder="1" applyAlignment="1">
      <alignment horizontal="center" vertical="center" wrapText="1" shrinkToFit="1"/>
    </xf>
    <xf numFmtId="176" fontId="5" fillId="3" borderId="114" xfId="0" applyNumberFormat="1" applyFont="1" applyFill="1" applyBorder="1" applyAlignment="1">
      <alignment horizontal="center" vertical="center" wrapText="1"/>
    </xf>
    <xf numFmtId="176" fontId="5" fillId="0" borderId="112" xfId="0" applyNumberFormat="1" applyFont="1" applyBorder="1" applyAlignment="1">
      <alignment horizontal="center" vertical="center" wrapText="1"/>
    </xf>
    <xf numFmtId="176" fontId="9" fillId="9" borderId="13" xfId="0" applyNumberFormat="1" applyFont="1" applyFill="1" applyBorder="1" applyAlignment="1">
      <alignment horizontal="center" vertical="center" wrapText="1"/>
    </xf>
    <xf numFmtId="176" fontId="5" fillId="0" borderId="121" xfId="0" applyNumberFormat="1" applyFont="1" applyBorder="1" applyAlignment="1">
      <alignment horizontal="center" vertical="center" wrapText="1"/>
    </xf>
    <xf numFmtId="176" fontId="5" fillId="0" borderId="123" xfId="0" applyNumberFormat="1" applyFont="1" applyBorder="1" applyAlignment="1">
      <alignment horizontal="center" vertical="center" wrapText="1"/>
    </xf>
    <xf numFmtId="176" fontId="5" fillId="3" borderId="118" xfId="0" applyNumberFormat="1" applyFont="1" applyFill="1" applyBorder="1" applyAlignment="1">
      <alignment horizontal="center" vertical="center" wrapText="1"/>
    </xf>
    <xf numFmtId="176" fontId="5" fillId="3" borderId="118" xfId="0" applyNumberFormat="1" applyFont="1" applyFill="1" applyBorder="1" applyAlignment="1">
      <alignment horizontal="center" vertical="center" shrinkToFit="1"/>
    </xf>
    <xf numFmtId="176" fontId="5" fillId="3" borderId="112" xfId="0" applyNumberFormat="1" applyFont="1" applyFill="1" applyBorder="1" applyAlignment="1">
      <alignment horizontal="center" vertical="center" wrapText="1"/>
    </xf>
    <xf numFmtId="176" fontId="5" fillId="3" borderId="124" xfId="0" applyNumberFormat="1" applyFont="1" applyFill="1" applyBorder="1" applyAlignment="1">
      <alignment horizontal="center" vertical="center" wrapText="1"/>
    </xf>
    <xf numFmtId="176" fontId="5" fillId="3" borderId="121" xfId="0" applyNumberFormat="1" applyFont="1" applyFill="1" applyBorder="1" applyAlignment="1">
      <alignment horizontal="center" vertical="center" wrapText="1"/>
    </xf>
    <xf numFmtId="176" fontId="5" fillId="3" borderId="121" xfId="0" applyNumberFormat="1" applyFont="1" applyFill="1" applyBorder="1" applyAlignment="1">
      <alignment horizontal="center" vertical="center" wrapText="1" shrinkToFit="1"/>
    </xf>
    <xf numFmtId="176" fontId="5" fillId="3" borderId="111" xfId="0" applyNumberFormat="1" applyFont="1" applyFill="1" applyBorder="1" applyAlignment="1">
      <alignment horizontal="center" vertical="center" wrapText="1"/>
    </xf>
    <xf numFmtId="0" fontId="17" fillId="14" borderId="110" xfId="0" applyFont="1" applyFill="1" applyBorder="1" applyAlignment="1">
      <alignment horizontal="center" vertical="center" wrapText="1"/>
    </xf>
    <xf numFmtId="176" fontId="5" fillId="0" borderId="131" xfId="0" applyNumberFormat="1" applyFont="1" applyFill="1" applyBorder="1" applyAlignment="1">
      <alignment horizontal="center" vertical="center" wrapText="1"/>
    </xf>
    <xf numFmtId="176" fontId="5" fillId="0" borderId="130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5" fillId="3" borderId="11" xfId="0" applyNumberFormat="1" applyFont="1" applyFill="1" applyBorder="1" applyAlignment="1">
      <alignment horizontal="center" vertical="center" wrapText="1"/>
    </xf>
    <xf numFmtId="176" fontId="6" fillId="2" borderId="55" xfId="0" applyNumberFormat="1" applyFont="1" applyFill="1" applyBorder="1" applyAlignment="1">
      <alignment horizontal="center" vertical="center" wrapText="1"/>
    </xf>
    <xf numFmtId="176" fontId="6" fillId="2" borderId="57" xfId="0" applyNumberFormat="1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176" fontId="6" fillId="3" borderId="17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5" fillId="3" borderId="21" xfId="0" applyNumberFormat="1" applyFont="1" applyFill="1" applyBorder="1" applyAlignment="1">
      <alignment horizontal="center" vertical="center" wrapText="1"/>
    </xf>
    <xf numFmtId="176" fontId="5" fillId="3" borderId="6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6" fontId="5" fillId="3" borderId="25" xfId="0" applyNumberFormat="1" applyFont="1" applyFill="1" applyBorder="1" applyAlignment="1">
      <alignment horizontal="center" vertical="center" wrapText="1"/>
    </xf>
    <xf numFmtId="176" fontId="5" fillId="3" borderId="59" xfId="0" applyNumberFormat="1" applyFont="1" applyFill="1" applyBorder="1" applyAlignment="1">
      <alignment horizontal="center" vertical="center" wrapText="1"/>
    </xf>
    <xf numFmtId="176" fontId="5" fillId="3" borderId="6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2" borderId="49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176" fontId="6" fillId="2" borderId="50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6" fillId="2" borderId="51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176" fontId="6" fillId="2" borderId="52" xfId="0" applyNumberFormat="1" applyFont="1" applyFill="1" applyBorder="1" applyAlignment="1">
      <alignment horizontal="center" vertical="center" wrapText="1"/>
    </xf>
    <xf numFmtId="176" fontId="6" fillId="2" borderId="53" xfId="0" applyNumberFormat="1" applyFont="1" applyFill="1" applyBorder="1" applyAlignment="1">
      <alignment horizontal="center" vertical="center" wrapText="1"/>
    </xf>
    <xf numFmtId="176" fontId="6" fillId="2" borderId="54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shrinkToFit="1"/>
    </xf>
    <xf numFmtId="176" fontId="6" fillId="3" borderId="7" xfId="0" applyNumberFormat="1" applyFont="1" applyFill="1" applyBorder="1" applyAlignment="1">
      <alignment horizontal="center" vertical="center" shrinkToFit="1"/>
    </xf>
    <xf numFmtId="176" fontId="6" fillId="3" borderId="42" xfId="0" applyNumberFormat="1" applyFont="1" applyFill="1" applyBorder="1" applyAlignment="1">
      <alignment horizontal="center" vertical="center" shrinkToFit="1"/>
    </xf>
    <xf numFmtId="176" fontId="5" fillId="5" borderId="13" xfId="0" applyNumberFormat="1" applyFont="1" applyFill="1" applyBorder="1" applyAlignment="1">
      <alignment horizontal="center" vertical="center" wrapText="1"/>
    </xf>
    <xf numFmtId="176" fontId="5" fillId="5" borderId="36" xfId="0" applyNumberFormat="1" applyFont="1" applyFill="1" applyBorder="1" applyAlignment="1">
      <alignment horizontal="center" vertical="center" wrapText="1"/>
    </xf>
    <xf numFmtId="176" fontId="5" fillId="5" borderId="39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shrinkToFit="1"/>
    </xf>
    <xf numFmtId="176" fontId="5" fillId="3" borderId="7" xfId="0" applyNumberFormat="1" applyFont="1" applyFill="1" applyBorder="1" applyAlignment="1">
      <alignment horizontal="center" vertical="center" shrinkToFit="1"/>
    </xf>
    <xf numFmtId="176" fontId="6" fillId="3" borderId="2" xfId="0" applyNumberFormat="1" applyFont="1" applyFill="1" applyBorder="1" applyAlignment="1">
      <alignment horizontal="center" vertical="center" wrapText="1" shrinkToFit="1"/>
    </xf>
    <xf numFmtId="176" fontId="6" fillId="3" borderId="18" xfId="0" applyNumberFormat="1" applyFont="1" applyFill="1" applyBorder="1" applyAlignment="1">
      <alignment horizontal="center" vertical="center" wrapText="1" shrinkToFi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 shrinkToFit="1"/>
    </xf>
    <xf numFmtId="176" fontId="5" fillId="3" borderId="30" xfId="0" applyNumberFormat="1" applyFont="1" applyFill="1" applyBorder="1" applyAlignment="1">
      <alignment horizontal="center" vertical="center" shrinkToFit="1"/>
    </xf>
    <xf numFmtId="176" fontId="5" fillId="3" borderId="31" xfId="0" applyNumberFormat="1" applyFont="1" applyFill="1" applyBorder="1" applyAlignment="1">
      <alignment horizontal="center" vertical="center" wrapText="1" shrinkToFit="1"/>
    </xf>
    <xf numFmtId="176" fontId="5" fillId="3" borderId="31" xfId="0" applyNumberFormat="1" applyFont="1" applyFill="1" applyBorder="1" applyAlignment="1">
      <alignment horizontal="center" vertical="center" shrinkToFit="1"/>
    </xf>
    <xf numFmtId="176" fontId="6" fillId="3" borderId="7" xfId="0" applyNumberFormat="1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center" vertical="center"/>
    </xf>
    <xf numFmtId="176" fontId="10" fillId="3" borderId="46" xfId="0" applyNumberFormat="1" applyFont="1" applyFill="1" applyBorder="1" applyAlignment="1">
      <alignment horizontal="center" vertical="center" wrapText="1"/>
    </xf>
    <xf numFmtId="176" fontId="10" fillId="3" borderId="26" xfId="0" applyNumberFormat="1" applyFont="1" applyFill="1" applyBorder="1" applyAlignment="1">
      <alignment horizontal="center" vertical="center" wrapText="1"/>
    </xf>
    <xf numFmtId="176" fontId="10" fillId="3" borderId="47" xfId="0" applyNumberFormat="1" applyFont="1" applyFill="1" applyBorder="1" applyAlignment="1">
      <alignment horizontal="center" vertical="center" wrapText="1"/>
    </xf>
    <xf numFmtId="176" fontId="5" fillId="3" borderId="48" xfId="0" applyNumberFormat="1" applyFont="1" applyFill="1" applyBorder="1" applyAlignment="1">
      <alignment horizontal="center" vertical="center" wrapText="1"/>
    </xf>
    <xf numFmtId="176" fontId="5" fillId="3" borderId="74" xfId="0" applyNumberFormat="1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horizontal="center" vertical="center" wrapText="1"/>
    </xf>
    <xf numFmtId="176" fontId="5" fillId="3" borderId="45" xfId="0" applyNumberFormat="1" applyFont="1" applyFill="1" applyBorder="1" applyAlignment="1">
      <alignment horizontal="center" vertical="center" wrapText="1"/>
    </xf>
    <xf numFmtId="176" fontId="5" fillId="3" borderId="38" xfId="0" applyNumberFormat="1" applyFont="1" applyFill="1" applyBorder="1" applyAlignment="1">
      <alignment horizontal="center" vertical="center" wrapText="1"/>
    </xf>
    <xf numFmtId="176" fontId="5" fillId="3" borderId="64" xfId="0" applyNumberFormat="1" applyFont="1" applyFill="1" applyBorder="1" applyAlignment="1">
      <alignment horizontal="center" vertical="center" wrapText="1"/>
    </xf>
    <xf numFmtId="176" fontId="9" fillId="4" borderId="13" xfId="0" applyNumberFormat="1" applyFont="1" applyFill="1" applyBorder="1" applyAlignment="1">
      <alignment horizontal="center" vertical="center" wrapText="1"/>
    </xf>
    <xf numFmtId="176" fontId="9" fillId="4" borderId="36" xfId="0" applyNumberFormat="1" applyFont="1" applyFill="1" applyBorder="1" applyAlignment="1">
      <alignment horizontal="center" vertical="center" wrapText="1"/>
    </xf>
    <xf numFmtId="176" fontId="9" fillId="4" borderId="39" xfId="0" applyNumberFormat="1" applyFont="1" applyFill="1" applyBorder="1" applyAlignment="1">
      <alignment horizontal="center" vertical="center" wrapText="1"/>
    </xf>
    <xf numFmtId="176" fontId="6" fillId="3" borderId="49" xfId="0" applyNumberFormat="1" applyFont="1" applyFill="1" applyBorder="1" applyAlignment="1">
      <alignment horizontal="center" vertical="center" wrapText="1"/>
    </xf>
    <xf numFmtId="176" fontId="6" fillId="3" borderId="50" xfId="0" applyNumberFormat="1" applyFont="1" applyFill="1" applyBorder="1" applyAlignment="1">
      <alignment horizontal="center" vertical="center" wrapText="1"/>
    </xf>
    <xf numFmtId="176" fontId="6" fillId="3" borderId="55" xfId="0" applyNumberFormat="1" applyFont="1" applyFill="1" applyBorder="1" applyAlignment="1">
      <alignment horizontal="center" vertical="center" wrapText="1"/>
    </xf>
    <xf numFmtId="176" fontId="6" fillId="3" borderId="60" xfId="0" applyNumberFormat="1" applyFont="1" applyFill="1" applyBorder="1" applyAlignment="1">
      <alignment horizontal="center" vertical="center" wrapText="1"/>
    </xf>
    <xf numFmtId="176" fontId="6" fillId="3" borderId="61" xfId="0" applyNumberFormat="1" applyFont="1" applyFill="1" applyBorder="1" applyAlignment="1">
      <alignment horizontal="center" vertical="center" wrapText="1"/>
    </xf>
    <xf numFmtId="176" fontId="6" fillId="3" borderId="68" xfId="0" applyNumberFormat="1" applyFont="1" applyFill="1" applyBorder="1" applyAlignment="1">
      <alignment horizontal="center" vertical="center" wrapText="1"/>
    </xf>
    <xf numFmtId="176" fontId="6" fillId="3" borderId="43" xfId="0" applyNumberFormat="1" applyFont="1" applyFill="1" applyBorder="1" applyAlignment="1">
      <alignment horizontal="center" vertical="center" wrapText="1"/>
    </xf>
    <xf numFmtId="176" fontId="6" fillId="3" borderId="64" xfId="0" applyNumberFormat="1" applyFont="1" applyFill="1" applyBorder="1" applyAlignment="1">
      <alignment horizontal="center" vertical="center" wrapText="1"/>
    </xf>
    <xf numFmtId="176" fontId="12" fillId="3" borderId="3" xfId="0" applyNumberFormat="1" applyFont="1" applyFill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 wrapText="1"/>
    </xf>
    <xf numFmtId="176" fontId="12" fillId="3" borderId="43" xfId="0" applyNumberFormat="1" applyFont="1" applyFill="1" applyBorder="1" applyAlignment="1">
      <alignment horizontal="center" vertical="center" wrapText="1"/>
    </xf>
    <xf numFmtId="176" fontId="5" fillId="3" borderId="43" xfId="0" applyNumberFormat="1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vertical="center" wrapText="1"/>
    </xf>
    <xf numFmtId="176" fontId="5" fillId="3" borderId="17" xfId="0" applyNumberFormat="1" applyFont="1" applyFill="1" applyBorder="1" applyAlignment="1">
      <alignment horizontal="center" vertical="center" wrapText="1"/>
    </xf>
    <xf numFmtId="176" fontId="10" fillId="3" borderId="27" xfId="0" applyNumberFormat="1" applyFont="1" applyFill="1" applyBorder="1" applyAlignment="1">
      <alignment horizontal="center" vertical="center" wrapText="1"/>
    </xf>
    <xf numFmtId="176" fontId="5" fillId="3" borderId="52" xfId="0" applyNumberFormat="1" applyFont="1" applyFill="1" applyBorder="1" applyAlignment="1">
      <alignment horizontal="center" vertical="center" wrapText="1"/>
    </xf>
    <xf numFmtId="176" fontId="5" fillId="3" borderId="73" xfId="0" applyNumberFormat="1" applyFont="1" applyFill="1" applyBorder="1" applyAlignment="1">
      <alignment horizontal="center" vertical="center" wrapText="1"/>
    </xf>
    <xf numFmtId="176" fontId="10" fillId="3" borderId="32" xfId="0" applyNumberFormat="1" applyFont="1" applyFill="1" applyBorder="1" applyAlignment="1">
      <alignment horizontal="center" vertical="center" wrapText="1"/>
    </xf>
    <xf numFmtId="176" fontId="10" fillId="3" borderId="7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176" fontId="5" fillId="3" borderId="75" xfId="0" applyNumberFormat="1" applyFont="1" applyFill="1" applyBorder="1" applyAlignment="1">
      <alignment horizontal="center" vertical="center" wrapText="1"/>
    </xf>
    <xf numFmtId="176" fontId="5" fillId="3" borderId="65" xfId="0" applyNumberFormat="1" applyFont="1" applyFill="1" applyBorder="1" applyAlignment="1">
      <alignment horizontal="center" vertical="center" wrapText="1"/>
    </xf>
    <xf numFmtId="176" fontId="5" fillId="3" borderId="66" xfId="0" applyNumberFormat="1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3" borderId="70" xfId="0" applyNumberFormat="1" applyFont="1" applyFill="1" applyBorder="1" applyAlignment="1">
      <alignment horizontal="center" vertical="center" wrapText="1"/>
    </xf>
    <xf numFmtId="176" fontId="10" fillId="3" borderId="86" xfId="0" applyNumberFormat="1" applyFont="1" applyFill="1" applyBorder="1" applyAlignment="1">
      <alignment horizontal="center" vertical="center" wrapText="1"/>
    </xf>
    <xf numFmtId="176" fontId="5" fillId="3" borderId="67" xfId="0" applyNumberFormat="1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176" fontId="5" fillId="3" borderId="90" xfId="0" applyNumberFormat="1" applyFont="1" applyFill="1" applyBorder="1" applyAlignment="1">
      <alignment horizontal="center" vertical="center" shrinkToFit="1"/>
    </xf>
    <xf numFmtId="176" fontId="5" fillId="3" borderId="80" xfId="0" applyNumberFormat="1" applyFont="1" applyFill="1" applyBorder="1" applyAlignment="1">
      <alignment horizontal="center" vertical="center" shrinkToFit="1"/>
    </xf>
    <xf numFmtId="0" fontId="5" fillId="3" borderId="85" xfId="0" applyFont="1" applyFill="1" applyBorder="1" applyAlignment="1">
      <alignment horizontal="center" vertical="center" wrapText="1"/>
    </xf>
    <xf numFmtId="176" fontId="5" fillId="3" borderId="83" xfId="0" applyNumberFormat="1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3" borderId="87" xfId="0" applyFont="1" applyFill="1" applyBorder="1" applyAlignment="1">
      <alignment horizontal="center" vertical="center" wrapText="1"/>
    </xf>
    <xf numFmtId="0" fontId="5" fillId="3" borderId="88" xfId="0" applyFont="1" applyFill="1" applyBorder="1" applyAlignment="1">
      <alignment horizontal="center" vertical="center" wrapText="1"/>
    </xf>
    <xf numFmtId="0" fontId="5" fillId="3" borderId="89" xfId="0" applyFont="1" applyFill="1" applyBorder="1" applyAlignment="1">
      <alignment horizontal="center" vertical="center" wrapText="1"/>
    </xf>
    <xf numFmtId="176" fontId="5" fillId="3" borderId="42" xfId="0" applyNumberFormat="1" applyFont="1" applyFill="1" applyBorder="1" applyAlignment="1">
      <alignment horizontal="center" vertical="center" wrapText="1"/>
    </xf>
    <xf numFmtId="176" fontId="5" fillId="14" borderId="109" xfId="0" applyNumberFormat="1" applyFont="1" applyFill="1" applyBorder="1" applyAlignment="1">
      <alignment horizontal="center" vertical="center" wrapText="1"/>
    </xf>
    <xf numFmtId="176" fontId="5" fillId="14" borderId="125" xfId="0" applyNumberFormat="1" applyFont="1" applyFill="1" applyBorder="1" applyAlignment="1">
      <alignment horizontal="center" vertical="center" wrapText="1"/>
    </xf>
    <xf numFmtId="176" fontId="5" fillId="14" borderId="126" xfId="0" applyNumberFormat="1" applyFont="1" applyFill="1" applyBorder="1" applyAlignment="1">
      <alignment horizontal="center" vertical="center" wrapText="1"/>
    </xf>
    <xf numFmtId="176" fontId="5" fillId="14" borderId="115" xfId="0" applyNumberFormat="1" applyFont="1" applyFill="1" applyBorder="1" applyAlignment="1">
      <alignment horizontal="center" vertical="center" wrapText="1"/>
    </xf>
    <xf numFmtId="176" fontId="5" fillId="14" borderId="0" xfId="0" applyNumberFormat="1" applyFont="1" applyFill="1" applyBorder="1" applyAlignment="1">
      <alignment horizontal="center" vertical="center" wrapText="1"/>
    </xf>
    <xf numFmtId="176" fontId="5" fillId="14" borderId="116" xfId="0" applyNumberFormat="1" applyFont="1" applyFill="1" applyBorder="1" applyAlignment="1">
      <alignment horizontal="center" vertical="center" wrapText="1"/>
    </xf>
    <xf numFmtId="176" fontId="5" fillId="14" borderId="127" xfId="0" applyNumberFormat="1" applyFont="1" applyFill="1" applyBorder="1" applyAlignment="1">
      <alignment horizontal="center" vertical="center" wrapText="1"/>
    </xf>
    <xf numFmtId="176" fontId="5" fillId="14" borderId="128" xfId="0" applyNumberFormat="1" applyFont="1" applyFill="1" applyBorder="1" applyAlignment="1">
      <alignment horizontal="center" vertical="center" wrapText="1"/>
    </xf>
    <xf numFmtId="176" fontId="5" fillId="14" borderId="129" xfId="0" applyNumberFormat="1" applyFont="1" applyFill="1" applyBorder="1" applyAlignment="1">
      <alignment horizontal="center" vertical="center" wrapText="1"/>
    </xf>
    <xf numFmtId="176" fontId="9" fillId="10" borderId="105" xfId="0" applyNumberFormat="1" applyFont="1" applyFill="1" applyBorder="1" applyAlignment="1">
      <alignment horizontal="center" vertical="center" wrapText="1"/>
    </xf>
    <xf numFmtId="176" fontId="9" fillId="10" borderId="36" xfId="0" applyNumberFormat="1" applyFont="1" applyFill="1" applyBorder="1" applyAlignment="1">
      <alignment horizontal="center" vertical="center" wrapText="1"/>
    </xf>
    <xf numFmtId="176" fontId="9" fillId="10" borderId="14" xfId="0" applyNumberFormat="1" applyFont="1" applyFill="1" applyBorder="1" applyAlignment="1">
      <alignment horizontal="center" vertical="center" wrapText="1"/>
    </xf>
    <xf numFmtId="176" fontId="9" fillId="3" borderId="106" xfId="0" applyNumberFormat="1" applyFont="1" applyFill="1" applyBorder="1" applyAlignment="1">
      <alignment horizontal="center" vertical="center" wrapText="1"/>
    </xf>
    <xf numFmtId="176" fontId="9" fillId="3" borderId="36" xfId="0" applyNumberFormat="1" applyFont="1" applyFill="1" applyBorder="1" applyAlignment="1">
      <alignment horizontal="center" vertical="center" wrapText="1"/>
    </xf>
    <xf numFmtId="176" fontId="9" fillId="3" borderId="14" xfId="0" applyNumberFormat="1" applyFont="1" applyFill="1" applyBorder="1" applyAlignment="1">
      <alignment horizontal="center" vertical="center" wrapText="1"/>
    </xf>
    <xf numFmtId="176" fontId="10" fillId="3" borderId="106" xfId="0" applyNumberFormat="1" applyFont="1" applyFill="1" applyBorder="1" applyAlignment="1">
      <alignment horizontal="center" vertical="center" wrapText="1"/>
    </xf>
    <xf numFmtId="176" fontId="10" fillId="3" borderId="39" xfId="0" applyNumberFormat="1" applyFont="1" applyFill="1" applyBorder="1" applyAlignment="1">
      <alignment horizontal="center" vertical="center" wrapText="1"/>
    </xf>
    <xf numFmtId="176" fontId="5" fillId="3" borderId="41" xfId="0" applyNumberFormat="1" applyFont="1" applyFill="1" applyBorder="1" applyAlignment="1">
      <alignment horizontal="center" vertical="center" shrinkToFit="1"/>
    </xf>
    <xf numFmtId="176" fontId="5" fillId="3" borderId="103" xfId="0" applyNumberFormat="1" applyFont="1" applyFill="1" applyBorder="1" applyAlignment="1">
      <alignment horizontal="center" vertical="center" shrinkToFit="1"/>
    </xf>
    <xf numFmtId="0" fontId="17" fillId="14" borderId="109" xfId="0" applyFont="1" applyFill="1" applyBorder="1" applyAlignment="1">
      <alignment horizontal="center" vertical="center" wrapText="1"/>
    </xf>
    <xf numFmtId="0" fontId="17" fillId="14" borderId="115" xfId="0" applyFont="1" applyFill="1" applyBorder="1" applyAlignment="1">
      <alignment horizontal="center" vertical="center" wrapText="1"/>
    </xf>
    <xf numFmtId="0" fontId="18" fillId="14" borderId="115" xfId="0" applyFont="1" applyFill="1" applyBorder="1" applyAlignment="1">
      <alignment horizontal="center" vertical="center" wrapText="1"/>
    </xf>
    <xf numFmtId="176" fontId="5" fillId="0" borderId="121" xfId="0" applyNumberFormat="1" applyFont="1" applyBorder="1" applyAlignment="1">
      <alignment horizontal="center" vertical="center" wrapText="1"/>
    </xf>
    <xf numFmtId="176" fontId="5" fillId="0" borderId="122" xfId="0" applyNumberFormat="1" applyFont="1" applyBorder="1" applyAlignment="1">
      <alignment horizontal="center" vertical="center" wrapText="1"/>
    </xf>
    <xf numFmtId="176" fontId="5" fillId="0" borderId="119" xfId="0" applyNumberFormat="1" applyFont="1" applyFill="1" applyBorder="1" applyAlignment="1">
      <alignment horizontal="center" vertical="center" wrapText="1"/>
    </xf>
    <xf numFmtId="176" fontId="5" fillId="0" borderId="120" xfId="0" applyNumberFormat="1" applyFont="1" applyFill="1" applyBorder="1" applyAlignment="1">
      <alignment horizontal="center" vertical="center" wrapText="1"/>
    </xf>
    <xf numFmtId="176" fontId="5" fillId="0" borderId="111" xfId="0" applyNumberFormat="1" applyFont="1" applyFill="1" applyBorder="1" applyAlignment="1">
      <alignment horizontal="center" vertical="center" wrapText="1"/>
    </xf>
    <xf numFmtId="176" fontId="5" fillId="0" borderId="117" xfId="0" applyNumberFormat="1" applyFont="1" applyFill="1" applyBorder="1" applyAlignment="1">
      <alignment horizontal="center" vertical="center" wrapText="1"/>
    </xf>
    <xf numFmtId="176" fontId="5" fillId="3" borderId="107" xfId="0" applyNumberFormat="1" applyFont="1" applyFill="1" applyBorder="1" applyAlignment="1">
      <alignment horizontal="center" vertical="center" wrapText="1"/>
    </xf>
    <xf numFmtId="176" fontId="10" fillId="3" borderId="33" xfId="0" applyNumberFormat="1" applyFont="1" applyFill="1" applyBorder="1" applyAlignment="1">
      <alignment horizontal="center" vertical="center" wrapText="1"/>
    </xf>
    <xf numFmtId="176" fontId="5" fillId="3" borderId="10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E6FF"/>
      <color rgb="FFDDDDFF"/>
      <color rgb="FFC9C9FF"/>
      <color rgb="FFFAFEE8"/>
      <color rgb="FFDFF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5BCE-40D4-4EE8-B5E9-2B36F4A07022}">
  <sheetPr>
    <tabColor rgb="FFFFC000"/>
    <pageSetUpPr fitToPage="1"/>
  </sheetPr>
  <dimension ref="A1:O71"/>
  <sheetViews>
    <sheetView zoomScale="115" zoomScaleNormal="115" workbookViewId="0">
      <pane xSplit="2" ySplit="4" topLeftCell="C55" activePane="bottomRight" state="frozen"/>
      <selection activeCell="F47" sqref="F47"/>
      <selection pane="topRight" activeCell="F47" sqref="F47"/>
      <selection pane="bottomLeft" activeCell="F47" sqref="F47"/>
      <selection pane="bottomRight" activeCell="E62" sqref="E62"/>
    </sheetView>
  </sheetViews>
  <sheetFormatPr defaultColWidth="9" defaultRowHeight="14.25" x14ac:dyDescent="0.3"/>
  <cols>
    <col min="1" max="1" width="4" style="3" customWidth="1"/>
    <col min="2" max="2" width="6.25" style="3" customWidth="1"/>
    <col min="3" max="3" width="10.75" style="2" customWidth="1"/>
    <col min="4" max="4" width="7" style="3" customWidth="1"/>
    <col min="5" max="5" width="33.625" style="2" customWidth="1"/>
    <col min="6" max="7" width="4.375" style="3" customWidth="1"/>
    <col min="8" max="9" width="5.25" style="3" customWidth="1"/>
    <col min="10" max="11" width="5.25" style="2" customWidth="1"/>
    <col min="12" max="13" width="5.25" style="3" customWidth="1"/>
    <col min="14" max="14" width="5.25" style="2" customWidth="1"/>
    <col min="15" max="15" width="5.75" style="2" customWidth="1"/>
    <col min="16" max="16" width="4.875" style="1" customWidth="1"/>
    <col min="17" max="16384" width="9" style="1"/>
  </cols>
  <sheetData>
    <row r="1" spans="1:15" ht="31.9" customHeight="1" x14ac:dyDescent="0.3">
      <c r="A1" s="218" t="s">
        <v>44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</row>
    <row r="2" spans="1:15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</row>
    <row r="3" spans="1:15" x14ac:dyDescent="0.3">
      <c r="A3" s="220" t="s">
        <v>0</v>
      </c>
      <c r="B3" s="222" t="s">
        <v>1</v>
      </c>
      <c r="C3" s="222" t="s">
        <v>2</v>
      </c>
      <c r="D3" s="222" t="s">
        <v>3</v>
      </c>
      <c r="E3" s="222"/>
      <c r="F3" s="222" t="s">
        <v>37</v>
      </c>
      <c r="G3" s="224" t="s">
        <v>38</v>
      </c>
      <c r="H3" s="226" t="s">
        <v>4</v>
      </c>
      <c r="I3" s="227"/>
      <c r="J3" s="226" t="s">
        <v>5</v>
      </c>
      <c r="K3" s="227"/>
      <c r="L3" s="226" t="s">
        <v>6</v>
      </c>
      <c r="M3" s="227"/>
      <c r="N3" s="228" t="s">
        <v>41</v>
      </c>
      <c r="O3" s="204" t="s">
        <v>98</v>
      </c>
    </row>
    <row r="4" spans="1:15" ht="15" thickBot="1" x14ac:dyDescent="0.35">
      <c r="A4" s="221"/>
      <c r="B4" s="223"/>
      <c r="C4" s="223"/>
      <c r="D4" s="223"/>
      <c r="E4" s="223"/>
      <c r="F4" s="223"/>
      <c r="G4" s="225"/>
      <c r="H4" s="37" t="s">
        <v>7</v>
      </c>
      <c r="I4" s="38" t="s">
        <v>8</v>
      </c>
      <c r="J4" s="37" t="s">
        <v>7</v>
      </c>
      <c r="K4" s="38" t="s">
        <v>8</v>
      </c>
      <c r="L4" s="37" t="s">
        <v>7</v>
      </c>
      <c r="M4" s="38" t="s">
        <v>8</v>
      </c>
      <c r="N4" s="229"/>
      <c r="O4" s="205"/>
    </row>
    <row r="5" spans="1:15" x14ac:dyDescent="0.3">
      <c r="A5" s="206" t="s">
        <v>9</v>
      </c>
      <c r="B5" s="209" t="s">
        <v>10</v>
      </c>
      <c r="C5" s="211" t="s">
        <v>11</v>
      </c>
      <c r="D5" s="15" t="s">
        <v>12</v>
      </c>
      <c r="E5" s="40" t="s">
        <v>45</v>
      </c>
      <c r="F5" s="16">
        <v>4</v>
      </c>
      <c r="G5" s="21">
        <v>4</v>
      </c>
      <c r="H5" s="24">
        <v>4</v>
      </c>
      <c r="I5" s="25"/>
      <c r="J5" s="24"/>
      <c r="K5" s="25"/>
      <c r="L5" s="24"/>
      <c r="M5" s="25"/>
      <c r="N5" s="215">
        <v>8</v>
      </c>
      <c r="O5" s="216">
        <v>8</v>
      </c>
    </row>
    <row r="6" spans="1:15" x14ac:dyDescent="0.3">
      <c r="A6" s="207"/>
      <c r="B6" s="210"/>
      <c r="C6" s="202"/>
      <c r="D6" s="4" t="s">
        <v>12</v>
      </c>
      <c r="E6" s="41" t="s">
        <v>46</v>
      </c>
      <c r="F6" s="6">
        <v>4</v>
      </c>
      <c r="G6" s="19">
        <v>4</v>
      </c>
      <c r="H6" s="22"/>
      <c r="I6" s="23">
        <v>4</v>
      </c>
      <c r="J6" s="22"/>
      <c r="K6" s="23"/>
      <c r="L6" s="22"/>
      <c r="M6" s="23"/>
      <c r="N6" s="203"/>
      <c r="O6" s="212"/>
    </row>
    <row r="7" spans="1:15" x14ac:dyDescent="0.3">
      <c r="A7" s="207"/>
      <c r="B7" s="210"/>
      <c r="C7" s="201" t="s">
        <v>14</v>
      </c>
      <c r="D7" s="4" t="s">
        <v>12</v>
      </c>
      <c r="E7" s="41" t="s">
        <v>47</v>
      </c>
      <c r="F7" s="6">
        <v>4</v>
      </c>
      <c r="G7" s="19">
        <v>4</v>
      </c>
      <c r="H7" s="22">
        <v>4</v>
      </c>
      <c r="I7" s="23"/>
      <c r="J7" s="22"/>
      <c r="K7" s="23"/>
      <c r="L7" s="22"/>
      <c r="M7" s="23"/>
      <c r="N7" s="203">
        <v>8</v>
      </c>
      <c r="O7" s="212">
        <v>8</v>
      </c>
    </row>
    <row r="8" spans="1:15" x14ac:dyDescent="0.3">
      <c r="A8" s="207"/>
      <c r="B8" s="210"/>
      <c r="C8" s="202"/>
      <c r="D8" s="4" t="s">
        <v>12</v>
      </c>
      <c r="E8" s="41" t="s">
        <v>48</v>
      </c>
      <c r="F8" s="6">
        <v>4</v>
      </c>
      <c r="G8" s="19">
        <v>4</v>
      </c>
      <c r="H8" s="22"/>
      <c r="I8" s="23">
        <v>4</v>
      </c>
      <c r="J8" s="22"/>
      <c r="K8" s="23"/>
      <c r="L8" s="22"/>
      <c r="M8" s="23"/>
      <c r="N8" s="203"/>
      <c r="O8" s="212"/>
    </row>
    <row r="9" spans="1:15" x14ac:dyDescent="0.3">
      <c r="A9" s="207"/>
      <c r="B9" s="210"/>
      <c r="C9" s="201" t="s">
        <v>15</v>
      </c>
      <c r="D9" s="4" t="s">
        <v>12</v>
      </c>
      <c r="E9" s="41" t="s">
        <v>49</v>
      </c>
      <c r="F9" s="6">
        <v>4</v>
      </c>
      <c r="G9" s="19">
        <v>4</v>
      </c>
      <c r="H9" s="22">
        <v>4</v>
      </c>
      <c r="I9" s="23"/>
      <c r="J9" s="22"/>
      <c r="K9" s="23"/>
      <c r="L9" s="22"/>
      <c r="M9" s="23"/>
      <c r="N9" s="203">
        <v>8</v>
      </c>
      <c r="O9" s="212">
        <v>8</v>
      </c>
    </row>
    <row r="10" spans="1:15" x14ac:dyDescent="0.3">
      <c r="A10" s="207"/>
      <c r="B10" s="210"/>
      <c r="C10" s="202"/>
      <c r="D10" s="4" t="s">
        <v>12</v>
      </c>
      <c r="E10" s="41" t="s">
        <v>50</v>
      </c>
      <c r="F10" s="6">
        <v>4</v>
      </c>
      <c r="G10" s="19">
        <v>4</v>
      </c>
      <c r="H10" s="22"/>
      <c r="I10" s="23">
        <v>4</v>
      </c>
      <c r="J10" s="22"/>
      <c r="K10" s="23"/>
      <c r="L10" s="22"/>
      <c r="M10" s="23"/>
      <c r="N10" s="203"/>
      <c r="O10" s="212"/>
    </row>
    <row r="11" spans="1:15" x14ac:dyDescent="0.3">
      <c r="A11" s="207"/>
      <c r="B11" s="210"/>
      <c r="C11" s="213" t="s">
        <v>16</v>
      </c>
      <c r="D11" s="4" t="s">
        <v>12</v>
      </c>
      <c r="E11" s="41" t="s">
        <v>51</v>
      </c>
      <c r="F11" s="6">
        <v>3</v>
      </c>
      <c r="G11" s="19">
        <v>3</v>
      </c>
      <c r="H11" s="22">
        <v>3</v>
      </c>
      <c r="I11" s="23"/>
      <c r="J11" s="22"/>
      <c r="K11" s="23"/>
      <c r="L11" s="22"/>
      <c r="M11" s="23"/>
      <c r="N11" s="203">
        <v>6</v>
      </c>
      <c r="O11" s="212">
        <v>6</v>
      </c>
    </row>
    <row r="12" spans="1:15" x14ac:dyDescent="0.3">
      <c r="A12" s="207"/>
      <c r="B12" s="210"/>
      <c r="C12" s="214"/>
      <c r="D12" s="4" t="s">
        <v>12</v>
      </c>
      <c r="E12" s="41" t="s">
        <v>52</v>
      </c>
      <c r="F12" s="6">
        <v>3</v>
      </c>
      <c r="G12" s="19">
        <v>3</v>
      </c>
      <c r="H12" s="29"/>
      <c r="I12" s="23">
        <v>3</v>
      </c>
      <c r="J12" s="22"/>
      <c r="K12" s="23"/>
      <c r="L12" s="22"/>
      <c r="M12" s="23"/>
      <c r="N12" s="203"/>
      <c r="O12" s="212"/>
    </row>
    <row r="13" spans="1:15" x14ac:dyDescent="0.3">
      <c r="A13" s="207"/>
      <c r="B13" s="242" t="s">
        <v>17</v>
      </c>
      <c r="C13" s="201" t="s">
        <v>90</v>
      </c>
      <c r="D13" s="4" t="s">
        <v>12</v>
      </c>
      <c r="E13" s="41" t="s">
        <v>53</v>
      </c>
      <c r="F13" s="6">
        <v>4</v>
      </c>
      <c r="G13" s="19">
        <v>4</v>
      </c>
      <c r="H13" s="29">
        <v>4</v>
      </c>
      <c r="I13" s="23"/>
      <c r="J13" s="22"/>
      <c r="K13" s="23"/>
      <c r="L13" s="22"/>
      <c r="M13" s="23"/>
      <c r="N13" s="203">
        <v>8</v>
      </c>
      <c r="O13" s="250">
        <v>8</v>
      </c>
    </row>
    <row r="14" spans="1:15" x14ac:dyDescent="0.3">
      <c r="A14" s="207"/>
      <c r="B14" s="249"/>
      <c r="C14" s="202"/>
      <c r="D14" s="4" t="s">
        <v>12</v>
      </c>
      <c r="E14" s="41" t="s">
        <v>54</v>
      </c>
      <c r="F14" s="6">
        <v>4</v>
      </c>
      <c r="G14" s="19">
        <v>4</v>
      </c>
      <c r="H14" s="29"/>
      <c r="I14" s="23">
        <v>4</v>
      </c>
      <c r="J14" s="22"/>
      <c r="K14" s="23"/>
      <c r="L14" s="22"/>
      <c r="M14" s="23"/>
      <c r="N14" s="203"/>
      <c r="O14" s="250"/>
    </row>
    <row r="15" spans="1:15" x14ac:dyDescent="0.3">
      <c r="A15" s="207"/>
      <c r="B15" s="249"/>
      <c r="C15" s="201" t="s">
        <v>95</v>
      </c>
      <c r="D15" s="4" t="s">
        <v>12</v>
      </c>
      <c r="E15" s="42" t="s">
        <v>55</v>
      </c>
      <c r="F15" s="6">
        <v>4</v>
      </c>
      <c r="G15" s="19">
        <v>4</v>
      </c>
      <c r="H15" s="29">
        <v>4</v>
      </c>
      <c r="I15" s="23"/>
      <c r="J15" s="22"/>
      <c r="K15" s="23"/>
      <c r="L15" s="22"/>
      <c r="M15" s="23"/>
      <c r="N15" s="203">
        <v>10</v>
      </c>
      <c r="O15" s="212">
        <v>10</v>
      </c>
    </row>
    <row r="16" spans="1:15" x14ac:dyDescent="0.3">
      <c r="A16" s="207"/>
      <c r="B16" s="249"/>
      <c r="C16" s="230"/>
      <c r="D16" s="4" t="s">
        <v>12</v>
      </c>
      <c r="E16" s="42" t="s">
        <v>56</v>
      </c>
      <c r="F16" s="6">
        <v>4</v>
      </c>
      <c r="G16" s="19">
        <v>4</v>
      </c>
      <c r="H16" s="29"/>
      <c r="I16" s="23">
        <v>4</v>
      </c>
      <c r="J16" s="22"/>
      <c r="K16" s="23"/>
      <c r="L16" s="22"/>
      <c r="M16" s="23"/>
      <c r="N16" s="203"/>
      <c r="O16" s="212"/>
    </row>
    <row r="17" spans="1:15" x14ac:dyDescent="0.3">
      <c r="A17" s="207"/>
      <c r="B17" s="249"/>
      <c r="C17" s="230"/>
      <c r="D17" s="4" t="s">
        <v>12</v>
      </c>
      <c r="E17" s="42" t="s">
        <v>59</v>
      </c>
      <c r="F17" s="6">
        <v>1</v>
      </c>
      <c r="G17" s="19">
        <v>1</v>
      </c>
      <c r="H17" s="29">
        <v>1</v>
      </c>
      <c r="I17" s="23"/>
      <c r="J17" s="22"/>
      <c r="K17" s="23"/>
      <c r="L17" s="22"/>
      <c r="M17" s="23"/>
      <c r="N17" s="203"/>
      <c r="O17" s="212"/>
    </row>
    <row r="18" spans="1:15" x14ac:dyDescent="0.3">
      <c r="A18" s="207"/>
      <c r="B18" s="243"/>
      <c r="C18" s="202"/>
      <c r="D18" s="4" t="s">
        <v>12</v>
      </c>
      <c r="E18" s="42" t="s">
        <v>60</v>
      </c>
      <c r="F18" s="6">
        <v>1</v>
      </c>
      <c r="G18" s="19">
        <v>1</v>
      </c>
      <c r="H18" s="29"/>
      <c r="I18" s="23">
        <v>1</v>
      </c>
      <c r="J18" s="22"/>
      <c r="K18" s="23"/>
      <c r="L18" s="22"/>
      <c r="M18" s="23"/>
      <c r="N18" s="203"/>
      <c r="O18" s="212"/>
    </row>
    <row r="19" spans="1:15" x14ac:dyDescent="0.3">
      <c r="A19" s="207"/>
      <c r="B19" s="210" t="s">
        <v>18</v>
      </c>
      <c r="C19" s="201" t="s">
        <v>97</v>
      </c>
      <c r="D19" s="4" t="s">
        <v>24</v>
      </c>
      <c r="E19" s="42" t="s">
        <v>70</v>
      </c>
      <c r="F19" s="6">
        <v>3</v>
      </c>
      <c r="G19" s="19">
        <v>2</v>
      </c>
      <c r="H19" s="22">
        <v>2</v>
      </c>
      <c r="I19" s="23"/>
      <c r="J19" s="22"/>
      <c r="K19" s="23"/>
      <c r="L19" s="22"/>
      <c r="M19" s="23"/>
      <c r="N19" s="203">
        <f>SUM(H19:M24)</f>
        <v>10</v>
      </c>
      <c r="O19" s="212">
        <v>10</v>
      </c>
    </row>
    <row r="20" spans="1:15" x14ac:dyDescent="0.3">
      <c r="A20" s="207"/>
      <c r="B20" s="210"/>
      <c r="C20" s="230"/>
      <c r="D20" s="4" t="s">
        <v>24</v>
      </c>
      <c r="E20" s="42" t="s">
        <v>57</v>
      </c>
      <c r="F20" s="6">
        <v>3</v>
      </c>
      <c r="G20" s="19">
        <v>2</v>
      </c>
      <c r="H20" s="22"/>
      <c r="I20" s="23">
        <v>2</v>
      </c>
      <c r="J20" s="22"/>
      <c r="K20" s="23"/>
      <c r="L20" s="22"/>
      <c r="M20" s="23"/>
      <c r="N20" s="203"/>
      <c r="O20" s="212"/>
    </row>
    <row r="21" spans="1:15" x14ac:dyDescent="0.3">
      <c r="A21" s="207"/>
      <c r="B21" s="210"/>
      <c r="C21" s="230"/>
      <c r="D21" s="4" t="s">
        <v>22</v>
      </c>
      <c r="E21" s="42" t="s">
        <v>69</v>
      </c>
      <c r="F21" s="6">
        <v>2</v>
      </c>
      <c r="G21" s="19">
        <v>1</v>
      </c>
      <c r="H21" s="22"/>
      <c r="I21" s="23"/>
      <c r="J21" s="22">
        <v>1</v>
      </c>
      <c r="K21" s="23"/>
      <c r="L21" s="22"/>
      <c r="M21" s="23"/>
      <c r="N21" s="203"/>
      <c r="O21" s="212"/>
    </row>
    <row r="22" spans="1:15" x14ac:dyDescent="0.3">
      <c r="A22" s="207"/>
      <c r="B22" s="210"/>
      <c r="C22" s="230"/>
      <c r="D22" s="4" t="s">
        <v>22</v>
      </c>
      <c r="E22" s="42" t="s">
        <v>71</v>
      </c>
      <c r="F22" s="6">
        <v>2</v>
      </c>
      <c r="G22" s="19">
        <v>1</v>
      </c>
      <c r="H22" s="22"/>
      <c r="I22" s="23"/>
      <c r="J22" s="22"/>
      <c r="K22" s="23">
        <v>1</v>
      </c>
      <c r="L22" s="22"/>
      <c r="M22" s="23"/>
      <c r="N22" s="203"/>
      <c r="O22" s="212"/>
    </row>
    <row r="23" spans="1:15" x14ac:dyDescent="0.3">
      <c r="A23" s="207"/>
      <c r="B23" s="210"/>
      <c r="C23" s="230"/>
      <c r="D23" s="4" t="s">
        <v>58</v>
      </c>
      <c r="E23" s="42" t="s">
        <v>77</v>
      </c>
      <c r="F23" s="6">
        <v>3</v>
      </c>
      <c r="G23" s="19">
        <v>2</v>
      </c>
      <c r="H23" s="22"/>
      <c r="I23" s="23"/>
      <c r="J23" s="22"/>
      <c r="K23" s="23"/>
      <c r="L23" s="22">
        <v>2</v>
      </c>
      <c r="M23" s="23"/>
      <c r="N23" s="203"/>
      <c r="O23" s="212"/>
    </row>
    <row r="24" spans="1:15" x14ac:dyDescent="0.3">
      <c r="A24" s="207"/>
      <c r="B24" s="210"/>
      <c r="C24" s="202"/>
      <c r="D24" s="4" t="s">
        <v>58</v>
      </c>
      <c r="E24" s="42" t="s">
        <v>99</v>
      </c>
      <c r="F24" s="6">
        <v>3</v>
      </c>
      <c r="G24" s="19">
        <v>2</v>
      </c>
      <c r="H24" s="22"/>
      <c r="I24" s="23"/>
      <c r="J24" s="22"/>
      <c r="K24" s="23"/>
      <c r="L24" s="22"/>
      <c r="M24" s="23">
        <v>2</v>
      </c>
      <c r="N24" s="203"/>
      <c r="O24" s="212"/>
    </row>
    <row r="25" spans="1:15" x14ac:dyDescent="0.3">
      <c r="A25" s="207"/>
      <c r="B25" s="210"/>
      <c r="C25" s="241" t="s">
        <v>96</v>
      </c>
      <c r="D25" s="4" t="s">
        <v>13</v>
      </c>
      <c r="E25" s="42" t="s">
        <v>19</v>
      </c>
      <c r="F25" s="6">
        <v>3</v>
      </c>
      <c r="G25" s="19">
        <v>2</v>
      </c>
      <c r="H25" s="245" t="s">
        <v>67</v>
      </c>
      <c r="I25" s="247" t="s">
        <v>67</v>
      </c>
      <c r="J25" s="22"/>
      <c r="K25" s="23"/>
      <c r="L25" s="22"/>
      <c r="M25" s="23"/>
      <c r="N25" s="203">
        <v>4</v>
      </c>
      <c r="O25" s="212">
        <v>10</v>
      </c>
    </row>
    <row r="26" spans="1:15" x14ac:dyDescent="0.3">
      <c r="A26" s="207"/>
      <c r="B26" s="210"/>
      <c r="C26" s="241"/>
      <c r="D26" s="4" t="s">
        <v>13</v>
      </c>
      <c r="E26" s="42" t="s">
        <v>20</v>
      </c>
      <c r="F26" s="6">
        <v>3</v>
      </c>
      <c r="G26" s="19">
        <v>2</v>
      </c>
      <c r="H26" s="246"/>
      <c r="I26" s="248"/>
      <c r="J26" s="22"/>
      <c r="K26" s="23"/>
      <c r="L26" s="22"/>
      <c r="M26" s="23"/>
      <c r="N26" s="203"/>
      <c r="O26" s="212"/>
    </row>
    <row r="27" spans="1:15" x14ac:dyDescent="0.3">
      <c r="A27" s="207"/>
      <c r="B27" s="239" t="s">
        <v>78</v>
      </c>
      <c r="C27" s="241" t="s">
        <v>93</v>
      </c>
      <c r="D27" s="4" t="s">
        <v>13</v>
      </c>
      <c r="E27" s="42" t="s">
        <v>43</v>
      </c>
      <c r="F27" s="6">
        <v>4</v>
      </c>
      <c r="G27" s="19">
        <v>3</v>
      </c>
      <c r="H27" s="30"/>
      <c r="I27" s="31"/>
      <c r="J27" s="22">
        <v>3</v>
      </c>
      <c r="K27" s="23"/>
      <c r="L27" s="22"/>
      <c r="M27" s="23"/>
      <c r="N27" s="11">
        <v>3</v>
      </c>
      <c r="O27" s="212">
        <v>16</v>
      </c>
    </row>
    <row r="28" spans="1:15" x14ac:dyDescent="0.3">
      <c r="A28" s="207"/>
      <c r="B28" s="239"/>
      <c r="C28" s="241"/>
      <c r="D28" s="4" t="s">
        <v>42</v>
      </c>
      <c r="E28" s="42" t="s">
        <v>76</v>
      </c>
      <c r="F28" s="6">
        <v>4</v>
      </c>
      <c r="G28" s="19">
        <v>3</v>
      </c>
      <c r="H28" s="30"/>
      <c r="I28" s="31"/>
      <c r="J28" s="22"/>
      <c r="K28" s="23">
        <v>3</v>
      </c>
      <c r="L28" s="22"/>
      <c r="M28" s="23"/>
      <c r="N28" s="11">
        <v>3</v>
      </c>
      <c r="O28" s="212"/>
    </row>
    <row r="29" spans="1:15" x14ac:dyDescent="0.3">
      <c r="A29" s="207"/>
      <c r="B29" s="239"/>
      <c r="C29" s="241" t="s">
        <v>94</v>
      </c>
      <c r="D29" s="4" t="s">
        <v>13</v>
      </c>
      <c r="E29" s="41" t="s">
        <v>68</v>
      </c>
      <c r="F29" s="6">
        <v>3</v>
      </c>
      <c r="G29" s="19">
        <v>2</v>
      </c>
      <c r="H29" s="62">
        <v>2</v>
      </c>
      <c r="I29" s="64"/>
      <c r="J29" s="22"/>
      <c r="K29" s="23"/>
      <c r="L29" s="22"/>
      <c r="M29" s="23"/>
      <c r="N29" s="203">
        <v>4</v>
      </c>
      <c r="O29" s="212"/>
    </row>
    <row r="30" spans="1:15" ht="15" thickBot="1" x14ac:dyDescent="0.35">
      <c r="A30" s="208"/>
      <c r="B30" s="240"/>
      <c r="C30" s="244"/>
      <c r="D30" s="17" t="s">
        <v>13</v>
      </c>
      <c r="E30" s="43" t="s">
        <v>66</v>
      </c>
      <c r="F30" s="18">
        <v>3</v>
      </c>
      <c r="G30" s="20">
        <v>2</v>
      </c>
      <c r="H30" s="63"/>
      <c r="I30" s="65">
        <v>2</v>
      </c>
      <c r="J30" s="26"/>
      <c r="K30" s="27"/>
      <c r="L30" s="26"/>
      <c r="M30" s="27"/>
      <c r="N30" s="258"/>
      <c r="O30" s="217"/>
    </row>
    <row r="31" spans="1:15" x14ac:dyDescent="0.3">
      <c r="A31" s="206" t="s">
        <v>21</v>
      </c>
      <c r="B31" s="209" t="s">
        <v>26</v>
      </c>
      <c r="C31" s="15" t="s">
        <v>27</v>
      </c>
      <c r="D31" s="15" t="s">
        <v>24</v>
      </c>
      <c r="E31" s="93" t="s">
        <v>83</v>
      </c>
      <c r="F31" s="16">
        <v>4</v>
      </c>
      <c r="G31" s="21">
        <v>4</v>
      </c>
      <c r="H31" s="101"/>
      <c r="I31" s="102"/>
      <c r="J31" s="94" t="s">
        <v>33</v>
      </c>
      <c r="K31" s="251"/>
      <c r="L31" s="101"/>
      <c r="M31" s="102"/>
      <c r="N31" s="215">
        <v>24</v>
      </c>
      <c r="O31" s="216"/>
    </row>
    <row r="32" spans="1:15" ht="13.9" customHeight="1" x14ac:dyDescent="0.3">
      <c r="A32" s="207"/>
      <c r="B32" s="210"/>
      <c r="C32" s="4" t="s">
        <v>28</v>
      </c>
      <c r="D32" s="4" t="s">
        <v>24</v>
      </c>
      <c r="E32" s="44" t="s">
        <v>85</v>
      </c>
      <c r="F32" s="6">
        <v>4</v>
      </c>
      <c r="G32" s="19">
        <v>4</v>
      </c>
      <c r="H32" s="103"/>
      <c r="I32" s="104"/>
      <c r="J32" s="234" t="s">
        <v>81</v>
      </c>
      <c r="K32" s="252"/>
      <c r="L32" s="103"/>
      <c r="M32" s="104"/>
      <c r="N32" s="203"/>
      <c r="O32" s="212"/>
    </row>
    <row r="33" spans="1:15" x14ac:dyDescent="0.3">
      <c r="A33" s="207"/>
      <c r="B33" s="210"/>
      <c r="C33" s="241" t="s">
        <v>29</v>
      </c>
      <c r="D33" s="4" t="s">
        <v>24</v>
      </c>
      <c r="E33" s="44" t="s">
        <v>87</v>
      </c>
      <c r="F33" s="6">
        <v>4</v>
      </c>
      <c r="G33" s="19">
        <v>4</v>
      </c>
      <c r="H33" s="103"/>
      <c r="I33" s="104"/>
      <c r="J33" s="235"/>
      <c r="K33" s="252"/>
      <c r="L33" s="103"/>
      <c r="M33" s="104"/>
      <c r="N33" s="203"/>
      <c r="O33" s="212"/>
    </row>
    <row r="34" spans="1:15" x14ac:dyDescent="0.3">
      <c r="A34" s="207"/>
      <c r="B34" s="210"/>
      <c r="C34" s="241"/>
      <c r="D34" s="4" t="s">
        <v>22</v>
      </c>
      <c r="E34" s="45" t="s">
        <v>63</v>
      </c>
      <c r="F34" s="6">
        <v>4</v>
      </c>
      <c r="G34" s="19">
        <v>4</v>
      </c>
      <c r="H34" s="103"/>
      <c r="I34" s="104"/>
      <c r="J34" s="235"/>
      <c r="K34" s="252"/>
      <c r="L34" s="103"/>
      <c r="M34" s="104"/>
      <c r="N34" s="203"/>
      <c r="O34" s="212"/>
    </row>
    <row r="35" spans="1:15" x14ac:dyDescent="0.3">
      <c r="A35" s="207"/>
      <c r="B35" s="242" t="s">
        <v>17</v>
      </c>
      <c r="C35" s="201" t="s">
        <v>30</v>
      </c>
      <c r="D35" s="4" t="s">
        <v>24</v>
      </c>
      <c r="E35" s="45" t="s">
        <v>122</v>
      </c>
      <c r="F35" s="6">
        <v>4</v>
      </c>
      <c r="G35" s="19">
        <v>4</v>
      </c>
      <c r="H35" s="103"/>
      <c r="I35" s="104"/>
      <c r="J35" s="235"/>
      <c r="K35" s="252"/>
      <c r="L35" s="103"/>
      <c r="M35" s="104"/>
      <c r="N35" s="203"/>
      <c r="O35" s="212"/>
    </row>
    <row r="36" spans="1:15" x14ac:dyDescent="0.3">
      <c r="A36" s="207"/>
      <c r="B36" s="243"/>
      <c r="C36" s="202"/>
      <c r="D36" s="4" t="s">
        <v>121</v>
      </c>
      <c r="E36" s="44" t="s">
        <v>123</v>
      </c>
      <c r="F36" s="6">
        <v>4</v>
      </c>
      <c r="G36" s="19">
        <v>4</v>
      </c>
      <c r="H36" s="103"/>
      <c r="I36" s="104"/>
      <c r="J36" s="235"/>
      <c r="K36" s="252"/>
      <c r="L36" s="103"/>
      <c r="M36" s="104"/>
      <c r="N36" s="203"/>
      <c r="O36" s="212"/>
    </row>
    <row r="37" spans="1:15" ht="15" thickBot="1" x14ac:dyDescent="0.35">
      <c r="A37" s="207"/>
      <c r="B37" s="86"/>
      <c r="C37" s="74" t="s">
        <v>31</v>
      </c>
      <c r="D37" s="74" t="s">
        <v>24</v>
      </c>
      <c r="E37" s="78" t="s">
        <v>105</v>
      </c>
      <c r="F37" s="76">
        <v>4</v>
      </c>
      <c r="G37" s="77">
        <v>4</v>
      </c>
      <c r="H37" s="109"/>
      <c r="I37" s="110"/>
      <c r="J37" s="236"/>
      <c r="K37" s="253"/>
      <c r="L37" s="109"/>
      <c r="M37" s="110"/>
      <c r="N37" s="254"/>
      <c r="O37" s="259"/>
    </row>
    <row r="38" spans="1:15" x14ac:dyDescent="0.3">
      <c r="A38" s="207"/>
      <c r="B38" s="232" t="s">
        <v>88</v>
      </c>
      <c r="C38" s="238" t="s">
        <v>91</v>
      </c>
      <c r="D38" s="12" t="s">
        <v>13</v>
      </c>
      <c r="E38" s="91" t="s">
        <v>82</v>
      </c>
      <c r="F38" s="14">
        <v>4</v>
      </c>
      <c r="G38" s="39">
        <v>4</v>
      </c>
      <c r="H38" s="107"/>
      <c r="I38" s="108"/>
      <c r="J38" s="87"/>
      <c r="K38" s="92" t="s">
        <v>33</v>
      </c>
      <c r="L38" s="112"/>
      <c r="M38" s="113"/>
      <c r="N38" s="255">
        <v>24</v>
      </c>
      <c r="O38" s="283"/>
    </row>
    <row r="39" spans="1:15" ht="13.9" customHeight="1" x14ac:dyDescent="0.3">
      <c r="A39" s="207"/>
      <c r="B39" s="232"/>
      <c r="C39" s="214"/>
      <c r="D39" s="4" t="s">
        <v>42</v>
      </c>
      <c r="E39" s="118" t="s">
        <v>86</v>
      </c>
      <c r="F39" s="6">
        <v>4</v>
      </c>
      <c r="G39" s="19">
        <v>4</v>
      </c>
      <c r="H39" s="103"/>
      <c r="I39" s="104"/>
      <c r="J39" s="87"/>
      <c r="K39" s="260" t="s">
        <v>81</v>
      </c>
      <c r="L39" s="103"/>
      <c r="M39" s="104"/>
      <c r="N39" s="256"/>
      <c r="O39" s="284"/>
    </row>
    <row r="40" spans="1:15" x14ac:dyDescent="0.3">
      <c r="A40" s="207"/>
      <c r="B40" s="232"/>
      <c r="C40" s="213" t="s">
        <v>92</v>
      </c>
      <c r="D40" s="4" t="s">
        <v>13</v>
      </c>
      <c r="E40" s="46" t="s">
        <v>84</v>
      </c>
      <c r="F40" s="6">
        <v>4</v>
      </c>
      <c r="G40" s="19">
        <v>4</v>
      </c>
      <c r="H40" s="103"/>
      <c r="I40" s="104"/>
      <c r="J40" s="87"/>
      <c r="K40" s="261"/>
      <c r="L40" s="103"/>
      <c r="M40" s="104"/>
      <c r="N40" s="256"/>
      <c r="O40" s="284"/>
    </row>
    <row r="41" spans="1:15" x14ac:dyDescent="0.3">
      <c r="A41" s="207"/>
      <c r="B41" s="232"/>
      <c r="C41" s="214"/>
      <c r="D41" s="4" t="s">
        <v>42</v>
      </c>
      <c r="E41" s="46" t="s">
        <v>116</v>
      </c>
      <c r="F41" s="6">
        <v>4</v>
      </c>
      <c r="G41" s="19">
        <v>4</v>
      </c>
      <c r="H41" s="103"/>
      <c r="I41" s="104"/>
      <c r="J41" s="87"/>
      <c r="K41" s="261"/>
      <c r="L41" s="103"/>
      <c r="M41" s="104"/>
      <c r="N41" s="256"/>
      <c r="O41" s="284"/>
    </row>
    <row r="42" spans="1:15" x14ac:dyDescent="0.3">
      <c r="A42" s="207"/>
      <c r="B42" s="232"/>
      <c r="C42" s="213" t="s">
        <v>89</v>
      </c>
      <c r="D42" s="4" t="s">
        <v>24</v>
      </c>
      <c r="E42" s="46" t="s">
        <v>129</v>
      </c>
      <c r="F42" s="6">
        <v>4</v>
      </c>
      <c r="G42" s="19">
        <v>4</v>
      </c>
      <c r="H42" s="103"/>
      <c r="I42" s="104"/>
      <c r="J42" s="87"/>
      <c r="K42" s="261"/>
      <c r="L42" s="103"/>
      <c r="M42" s="104"/>
      <c r="N42" s="256"/>
      <c r="O42" s="284"/>
    </row>
    <row r="43" spans="1:15" x14ac:dyDescent="0.3">
      <c r="A43" s="207"/>
      <c r="B43" s="237"/>
      <c r="C43" s="214"/>
      <c r="D43" s="4" t="s">
        <v>58</v>
      </c>
      <c r="E43" s="46" t="s">
        <v>120</v>
      </c>
      <c r="F43" s="6">
        <v>4</v>
      </c>
      <c r="G43" s="19">
        <v>4</v>
      </c>
      <c r="H43" s="103"/>
      <c r="I43" s="104"/>
      <c r="J43" s="87"/>
      <c r="K43" s="261"/>
      <c r="L43" s="103"/>
      <c r="M43" s="104"/>
      <c r="N43" s="256"/>
      <c r="O43" s="284"/>
    </row>
    <row r="44" spans="1:15" x14ac:dyDescent="0.3">
      <c r="A44" s="207"/>
      <c r="B44" s="231" t="s">
        <v>64</v>
      </c>
      <c r="C44" s="213" t="s">
        <v>90</v>
      </c>
      <c r="D44" s="4" t="s">
        <v>124</v>
      </c>
      <c r="E44" s="46" t="s">
        <v>125</v>
      </c>
      <c r="F44" s="6">
        <v>4</v>
      </c>
      <c r="G44" s="19">
        <v>4</v>
      </c>
      <c r="H44" s="103"/>
      <c r="I44" s="104"/>
      <c r="J44" s="87"/>
      <c r="K44" s="261"/>
      <c r="L44" s="103"/>
      <c r="M44" s="104"/>
      <c r="N44" s="256"/>
      <c r="O44" s="284"/>
    </row>
    <row r="45" spans="1:15" x14ac:dyDescent="0.3">
      <c r="A45" s="207"/>
      <c r="B45" s="232"/>
      <c r="C45" s="214"/>
      <c r="D45" s="4" t="s">
        <v>42</v>
      </c>
      <c r="E45" s="46" t="s">
        <v>126</v>
      </c>
      <c r="F45" s="6">
        <v>4</v>
      </c>
      <c r="G45" s="72">
        <v>4</v>
      </c>
      <c r="H45" s="103"/>
      <c r="I45" s="104"/>
      <c r="J45" s="87"/>
      <c r="K45" s="261"/>
      <c r="L45" s="103"/>
      <c r="M45" s="104"/>
      <c r="N45" s="256"/>
      <c r="O45" s="284"/>
    </row>
    <row r="46" spans="1:15" ht="15" thickBot="1" x14ac:dyDescent="0.35">
      <c r="A46" s="207"/>
      <c r="B46" s="233"/>
      <c r="C46" s="73" t="s">
        <v>95</v>
      </c>
      <c r="D46" s="74" t="s">
        <v>13</v>
      </c>
      <c r="E46" s="75" t="s">
        <v>106</v>
      </c>
      <c r="F46" s="76">
        <v>4</v>
      </c>
      <c r="G46" s="77">
        <v>4</v>
      </c>
      <c r="H46" s="109"/>
      <c r="I46" s="110"/>
      <c r="J46" s="90"/>
      <c r="K46" s="262"/>
      <c r="L46" s="109"/>
      <c r="M46" s="110"/>
      <c r="N46" s="257"/>
      <c r="O46" s="285"/>
    </row>
    <row r="47" spans="1:15" x14ac:dyDescent="0.3">
      <c r="A47" s="207"/>
      <c r="B47" s="232" t="s">
        <v>110</v>
      </c>
      <c r="C47" s="68" t="s">
        <v>32</v>
      </c>
      <c r="D47" s="61" t="s">
        <v>72</v>
      </c>
      <c r="E47" s="69" t="s">
        <v>102</v>
      </c>
      <c r="F47" s="70">
        <v>4</v>
      </c>
      <c r="G47" s="71">
        <v>3</v>
      </c>
      <c r="H47" s="107"/>
      <c r="I47" s="108"/>
      <c r="J47" s="89" t="s">
        <v>34</v>
      </c>
      <c r="K47" s="67" t="s">
        <v>34</v>
      </c>
      <c r="L47" s="107"/>
      <c r="M47" s="108"/>
      <c r="N47" s="256">
        <v>6</v>
      </c>
      <c r="O47" s="95"/>
    </row>
    <row r="48" spans="1:15" ht="15" thickBot="1" x14ac:dyDescent="0.35">
      <c r="A48" s="207"/>
      <c r="B48" s="232"/>
      <c r="C48" s="5" t="s">
        <v>101</v>
      </c>
      <c r="D48" s="10" t="s">
        <v>22</v>
      </c>
      <c r="E48" s="66" t="s">
        <v>115</v>
      </c>
      <c r="F48" s="13">
        <v>3</v>
      </c>
      <c r="G48" s="28">
        <v>3</v>
      </c>
      <c r="H48" s="105"/>
      <c r="I48" s="106"/>
      <c r="J48" s="88">
        <v>3</v>
      </c>
      <c r="K48" s="81">
        <v>3</v>
      </c>
      <c r="L48" s="111"/>
      <c r="M48" s="110"/>
      <c r="N48" s="257"/>
      <c r="O48" s="96"/>
    </row>
    <row r="49" spans="1:15" x14ac:dyDescent="0.3">
      <c r="A49" s="207"/>
      <c r="B49" s="209" t="s">
        <v>10</v>
      </c>
      <c r="C49" s="276" t="s">
        <v>91</v>
      </c>
      <c r="D49" s="15" t="s">
        <v>24</v>
      </c>
      <c r="E49" s="47" t="s">
        <v>61</v>
      </c>
      <c r="F49" s="16">
        <v>4</v>
      </c>
      <c r="G49" s="21">
        <v>3</v>
      </c>
      <c r="H49" s="24"/>
      <c r="I49" s="25"/>
      <c r="J49" s="24"/>
      <c r="K49" s="25"/>
      <c r="L49" s="32" t="s">
        <v>103</v>
      </c>
      <c r="M49" s="292"/>
      <c r="N49" s="255">
        <v>21</v>
      </c>
      <c r="O49" s="114"/>
    </row>
    <row r="50" spans="1:15" x14ac:dyDescent="0.3">
      <c r="A50" s="207"/>
      <c r="B50" s="210"/>
      <c r="C50" s="241"/>
      <c r="D50" s="4" t="s">
        <v>42</v>
      </c>
      <c r="E50" s="48" t="s">
        <v>74</v>
      </c>
      <c r="F50" s="6">
        <v>4</v>
      </c>
      <c r="G50" s="19">
        <v>3</v>
      </c>
      <c r="H50" s="22"/>
      <c r="I50" s="23"/>
      <c r="J50" s="22"/>
      <c r="K50" s="23"/>
      <c r="L50" s="294" t="s">
        <v>104</v>
      </c>
      <c r="M50" s="292"/>
      <c r="N50" s="256"/>
      <c r="O50" s="95"/>
    </row>
    <row r="51" spans="1:15" x14ac:dyDescent="0.3">
      <c r="A51" s="207"/>
      <c r="B51" s="210"/>
      <c r="C51" s="4" t="s">
        <v>92</v>
      </c>
      <c r="D51" s="4" t="s">
        <v>22</v>
      </c>
      <c r="E51" s="49" t="s">
        <v>117</v>
      </c>
      <c r="F51" s="6">
        <v>4</v>
      </c>
      <c r="G51" s="19">
        <v>3</v>
      </c>
      <c r="H51" s="22"/>
      <c r="I51" s="23"/>
      <c r="J51" s="22"/>
      <c r="K51" s="23"/>
      <c r="L51" s="294"/>
      <c r="M51" s="292"/>
      <c r="N51" s="256"/>
      <c r="O51" s="95"/>
    </row>
    <row r="52" spans="1:15" x14ac:dyDescent="0.3">
      <c r="A52" s="207"/>
      <c r="B52" s="210"/>
      <c r="C52" s="241" t="s">
        <v>89</v>
      </c>
      <c r="D52" s="4" t="s">
        <v>24</v>
      </c>
      <c r="E52" s="50" t="s">
        <v>62</v>
      </c>
      <c r="F52" s="6">
        <v>4</v>
      </c>
      <c r="G52" s="19">
        <v>3</v>
      </c>
      <c r="H52" s="22"/>
      <c r="I52" s="23"/>
      <c r="J52" s="22"/>
      <c r="K52" s="23"/>
      <c r="L52" s="294"/>
      <c r="M52" s="292"/>
      <c r="N52" s="256"/>
      <c r="O52" s="95"/>
    </row>
    <row r="53" spans="1:15" x14ac:dyDescent="0.3">
      <c r="A53" s="207"/>
      <c r="B53" s="210"/>
      <c r="C53" s="241"/>
      <c r="D53" s="4" t="s">
        <v>22</v>
      </c>
      <c r="E53" s="50" t="s">
        <v>80</v>
      </c>
      <c r="F53" s="6">
        <v>4</v>
      </c>
      <c r="G53" s="19">
        <v>3</v>
      </c>
      <c r="H53" s="22"/>
      <c r="I53" s="23"/>
      <c r="J53" s="22"/>
      <c r="K53" s="23"/>
      <c r="L53" s="294"/>
      <c r="M53" s="292"/>
      <c r="N53" s="256"/>
      <c r="O53" s="95"/>
    </row>
    <row r="54" spans="1:15" x14ac:dyDescent="0.3">
      <c r="A54" s="207"/>
      <c r="B54" s="242" t="s">
        <v>64</v>
      </c>
      <c r="C54" s="201" t="s">
        <v>90</v>
      </c>
      <c r="D54" s="4" t="s">
        <v>124</v>
      </c>
      <c r="E54" s="51" t="s">
        <v>127</v>
      </c>
      <c r="F54" s="6">
        <v>4</v>
      </c>
      <c r="G54" s="19">
        <v>3</v>
      </c>
      <c r="H54" s="22"/>
      <c r="I54" s="23"/>
      <c r="J54" s="22"/>
      <c r="K54" s="23"/>
      <c r="L54" s="294"/>
      <c r="M54" s="292"/>
      <c r="N54" s="256"/>
      <c r="O54" s="95"/>
    </row>
    <row r="55" spans="1:15" x14ac:dyDescent="0.3">
      <c r="A55" s="207"/>
      <c r="B55" s="249"/>
      <c r="C55" s="230"/>
      <c r="D55" s="4" t="s">
        <v>22</v>
      </c>
      <c r="E55" s="51" t="s">
        <v>131</v>
      </c>
      <c r="F55" s="6">
        <v>4</v>
      </c>
      <c r="G55" s="19">
        <v>3</v>
      </c>
      <c r="H55" s="22"/>
      <c r="I55" s="23"/>
      <c r="J55" s="22"/>
      <c r="K55" s="23"/>
      <c r="L55" s="294"/>
      <c r="M55" s="292"/>
      <c r="N55" s="256"/>
      <c r="O55" s="95"/>
    </row>
    <row r="56" spans="1:15" ht="51" x14ac:dyDescent="0.3">
      <c r="A56" s="207"/>
      <c r="B56" s="243"/>
      <c r="C56" s="10" t="s">
        <v>31</v>
      </c>
      <c r="D56" s="10" t="s">
        <v>22</v>
      </c>
      <c r="E56" s="83" t="s">
        <v>128</v>
      </c>
      <c r="F56" s="13">
        <v>4</v>
      </c>
      <c r="G56" s="28">
        <v>3</v>
      </c>
      <c r="H56" s="79"/>
      <c r="I56" s="80"/>
      <c r="J56" s="79"/>
      <c r="K56" s="80"/>
      <c r="L56" s="295"/>
      <c r="M56" s="292"/>
      <c r="N56" s="256"/>
      <c r="O56" s="95"/>
    </row>
    <row r="57" spans="1:15" ht="15" thickBot="1" x14ac:dyDescent="0.35">
      <c r="A57" s="207"/>
      <c r="B57" s="84" t="s">
        <v>109</v>
      </c>
      <c r="C57" s="17" t="s">
        <v>107</v>
      </c>
      <c r="D57" s="17" t="s">
        <v>22</v>
      </c>
      <c r="E57" s="52" t="s">
        <v>108</v>
      </c>
      <c r="F57" s="18">
        <v>4</v>
      </c>
      <c r="G57" s="20">
        <v>3</v>
      </c>
      <c r="H57" s="26"/>
      <c r="I57" s="27"/>
      <c r="J57" s="26"/>
      <c r="K57" s="27"/>
      <c r="L57" s="296"/>
      <c r="M57" s="293"/>
      <c r="N57" s="257"/>
      <c r="O57" s="96"/>
    </row>
    <row r="58" spans="1:15" x14ac:dyDescent="0.3">
      <c r="A58" s="207"/>
      <c r="B58" s="209" t="s">
        <v>10</v>
      </c>
      <c r="C58" s="15" t="s">
        <v>91</v>
      </c>
      <c r="D58" s="15" t="s">
        <v>72</v>
      </c>
      <c r="E58" s="53" t="s">
        <v>79</v>
      </c>
      <c r="F58" s="16">
        <v>4</v>
      </c>
      <c r="G58" s="21">
        <v>3</v>
      </c>
      <c r="H58" s="24"/>
      <c r="I58" s="25"/>
      <c r="J58" s="24"/>
      <c r="K58" s="25"/>
      <c r="L58" s="286"/>
      <c r="M58" s="33" t="s">
        <v>103</v>
      </c>
      <c r="N58" s="255">
        <v>21</v>
      </c>
      <c r="O58" s="283"/>
    </row>
    <row r="59" spans="1:15" x14ac:dyDescent="0.3">
      <c r="A59" s="207"/>
      <c r="B59" s="210"/>
      <c r="C59" s="4" t="s">
        <v>92</v>
      </c>
      <c r="D59" s="4" t="s">
        <v>42</v>
      </c>
      <c r="E59" s="54" t="s">
        <v>118</v>
      </c>
      <c r="F59" s="6">
        <v>4</v>
      </c>
      <c r="G59" s="19">
        <v>3</v>
      </c>
      <c r="H59" s="22"/>
      <c r="I59" s="23"/>
      <c r="J59" s="22"/>
      <c r="K59" s="23"/>
      <c r="L59" s="287"/>
      <c r="M59" s="289" t="s">
        <v>104</v>
      </c>
      <c r="N59" s="256"/>
      <c r="O59" s="284"/>
    </row>
    <row r="60" spans="1:15" x14ac:dyDescent="0.3">
      <c r="A60" s="207"/>
      <c r="B60" s="210"/>
      <c r="C60" s="201" t="s">
        <v>29</v>
      </c>
      <c r="D60" s="4" t="s">
        <v>22</v>
      </c>
      <c r="E60" s="54" t="s">
        <v>119</v>
      </c>
      <c r="F60" s="6">
        <v>4</v>
      </c>
      <c r="G60" s="19">
        <v>3</v>
      </c>
      <c r="H60" s="22"/>
      <c r="I60" s="23"/>
      <c r="J60" s="22"/>
      <c r="K60" s="23"/>
      <c r="L60" s="287"/>
      <c r="M60" s="289"/>
      <c r="N60" s="256"/>
      <c r="O60" s="284"/>
    </row>
    <row r="61" spans="1:15" x14ac:dyDescent="0.3">
      <c r="A61" s="207"/>
      <c r="B61" s="210"/>
      <c r="C61" s="202"/>
      <c r="D61" s="4" t="s">
        <v>42</v>
      </c>
      <c r="E61" s="55" t="s">
        <v>130</v>
      </c>
      <c r="F61" s="6">
        <v>4</v>
      </c>
      <c r="G61" s="19">
        <v>3</v>
      </c>
      <c r="H61" s="22"/>
      <c r="I61" s="23"/>
      <c r="J61" s="22"/>
      <c r="K61" s="23"/>
      <c r="L61" s="287"/>
      <c r="M61" s="289"/>
      <c r="N61" s="256"/>
      <c r="O61" s="284"/>
    </row>
    <row r="62" spans="1:15" ht="25.5" x14ac:dyDescent="0.3">
      <c r="A62" s="207"/>
      <c r="B62" s="242" t="s">
        <v>64</v>
      </c>
      <c r="C62" s="4" t="s">
        <v>90</v>
      </c>
      <c r="D62" s="4" t="s">
        <v>72</v>
      </c>
      <c r="E62" s="56" t="s">
        <v>132</v>
      </c>
      <c r="F62" s="6">
        <v>4</v>
      </c>
      <c r="G62" s="19">
        <v>3</v>
      </c>
      <c r="H62" s="22"/>
      <c r="I62" s="23"/>
      <c r="J62" s="22"/>
      <c r="K62" s="23"/>
      <c r="L62" s="287"/>
      <c r="M62" s="289"/>
      <c r="N62" s="256"/>
      <c r="O62" s="284"/>
    </row>
    <row r="63" spans="1:15" ht="25.5" x14ac:dyDescent="0.3">
      <c r="A63" s="207"/>
      <c r="B63" s="243"/>
      <c r="C63" s="10" t="s">
        <v>31</v>
      </c>
      <c r="D63" s="10" t="s">
        <v>72</v>
      </c>
      <c r="E63" s="85" t="s">
        <v>111</v>
      </c>
      <c r="F63" s="13">
        <v>4</v>
      </c>
      <c r="G63" s="28">
        <v>3</v>
      </c>
      <c r="H63" s="79"/>
      <c r="I63" s="80"/>
      <c r="J63" s="79"/>
      <c r="K63" s="80"/>
      <c r="L63" s="287"/>
      <c r="M63" s="290"/>
      <c r="N63" s="256"/>
      <c r="O63" s="284"/>
    </row>
    <row r="64" spans="1:15" ht="15" thickBot="1" x14ac:dyDescent="0.35">
      <c r="A64" s="207"/>
      <c r="B64" s="84" t="s">
        <v>112</v>
      </c>
      <c r="C64" s="17" t="s">
        <v>100</v>
      </c>
      <c r="D64" s="17" t="s">
        <v>113</v>
      </c>
      <c r="E64" s="57" t="s">
        <v>114</v>
      </c>
      <c r="F64" s="18">
        <v>4</v>
      </c>
      <c r="G64" s="20">
        <v>3</v>
      </c>
      <c r="H64" s="26"/>
      <c r="I64" s="27"/>
      <c r="J64" s="26"/>
      <c r="K64" s="27"/>
      <c r="L64" s="288"/>
      <c r="M64" s="291"/>
      <c r="N64" s="257"/>
      <c r="O64" s="285"/>
    </row>
    <row r="65" spans="1:15" x14ac:dyDescent="0.3">
      <c r="A65" s="207"/>
      <c r="B65" s="271" t="s">
        <v>35</v>
      </c>
      <c r="C65" s="202" t="s">
        <v>96</v>
      </c>
      <c r="D65" s="15" t="s">
        <v>22</v>
      </c>
      <c r="E65" s="58" t="s">
        <v>65</v>
      </c>
      <c r="F65" s="16">
        <v>3</v>
      </c>
      <c r="G65" s="21">
        <v>3</v>
      </c>
      <c r="H65" s="24"/>
      <c r="I65" s="25"/>
      <c r="J65" s="24"/>
      <c r="K65" s="25"/>
      <c r="L65" s="34" t="s">
        <v>34</v>
      </c>
      <c r="M65" s="277"/>
      <c r="N65" s="278">
        <v>3</v>
      </c>
      <c r="O65" s="283"/>
    </row>
    <row r="66" spans="1:15" ht="15" thickBot="1" x14ac:dyDescent="0.35">
      <c r="A66" s="207"/>
      <c r="B66" s="272"/>
      <c r="C66" s="241"/>
      <c r="D66" s="17" t="s">
        <v>22</v>
      </c>
      <c r="E66" s="59" t="s">
        <v>36</v>
      </c>
      <c r="F66" s="18">
        <v>3</v>
      </c>
      <c r="G66" s="20">
        <v>3</v>
      </c>
      <c r="H66" s="26"/>
      <c r="I66" s="27"/>
      <c r="J66" s="26"/>
      <c r="K66" s="27"/>
      <c r="L66" s="35">
        <v>3</v>
      </c>
      <c r="M66" s="277"/>
      <c r="N66" s="279"/>
      <c r="O66" s="285"/>
    </row>
    <row r="67" spans="1:15" x14ac:dyDescent="0.3">
      <c r="A67" s="207"/>
      <c r="B67" s="272"/>
      <c r="C67" s="241"/>
      <c r="D67" s="15" t="s">
        <v>22</v>
      </c>
      <c r="E67" s="60" t="s">
        <v>73</v>
      </c>
      <c r="F67" s="16">
        <v>3</v>
      </c>
      <c r="G67" s="21">
        <v>3</v>
      </c>
      <c r="H67" s="24"/>
      <c r="I67" s="25"/>
      <c r="J67" s="24"/>
      <c r="K67" s="25"/>
      <c r="L67" s="280"/>
      <c r="M67" s="36" t="s">
        <v>34</v>
      </c>
      <c r="N67" s="282">
        <v>3</v>
      </c>
      <c r="O67" s="284"/>
    </row>
    <row r="68" spans="1:15" ht="15" thickBot="1" x14ac:dyDescent="0.35">
      <c r="A68" s="275"/>
      <c r="B68" s="273"/>
      <c r="C68" s="274"/>
      <c r="D68" s="74" t="s">
        <v>22</v>
      </c>
      <c r="E68" s="119" t="s">
        <v>75</v>
      </c>
      <c r="F68" s="76">
        <v>3</v>
      </c>
      <c r="G68" s="100">
        <v>3</v>
      </c>
      <c r="H68" s="115"/>
      <c r="I68" s="120"/>
      <c r="J68" s="115"/>
      <c r="K68" s="120"/>
      <c r="L68" s="281"/>
      <c r="M68" s="121">
        <v>3</v>
      </c>
      <c r="N68" s="254"/>
      <c r="O68" s="285"/>
    </row>
    <row r="69" spans="1:15" x14ac:dyDescent="0.3">
      <c r="A69" s="263" t="s">
        <v>39</v>
      </c>
      <c r="B69" s="264"/>
      <c r="C69" s="264"/>
      <c r="D69" s="264"/>
      <c r="E69" s="264"/>
      <c r="F69" s="264"/>
      <c r="G69" s="265"/>
      <c r="H69" s="122">
        <v>30</v>
      </c>
      <c r="I69" s="8">
        <v>30</v>
      </c>
      <c r="J69" s="8">
        <v>31</v>
      </c>
      <c r="K69" s="8">
        <v>31</v>
      </c>
      <c r="L69" s="8">
        <v>26</v>
      </c>
      <c r="M69" s="8">
        <v>26</v>
      </c>
      <c r="N69" s="116">
        <f>SUM(H69:M69)</f>
        <v>174</v>
      </c>
      <c r="O69" s="117">
        <f>SUM(O5:O30)</f>
        <v>84</v>
      </c>
    </row>
    <row r="70" spans="1:15" x14ac:dyDescent="0.3">
      <c r="A70" s="266" t="s">
        <v>23</v>
      </c>
      <c r="B70" s="210"/>
      <c r="C70" s="210"/>
      <c r="D70" s="210"/>
      <c r="E70" s="210"/>
      <c r="F70" s="210"/>
      <c r="G70" s="267"/>
      <c r="H70" s="123">
        <v>3</v>
      </c>
      <c r="I70" s="7">
        <v>3</v>
      </c>
      <c r="J70" s="7">
        <v>3</v>
      </c>
      <c r="K70" s="7">
        <v>3</v>
      </c>
      <c r="L70" s="7">
        <v>3</v>
      </c>
      <c r="M70" s="7">
        <v>3</v>
      </c>
      <c r="N70" s="9">
        <f>SUM(H70:M70)</f>
        <v>18</v>
      </c>
      <c r="O70" s="97">
        <v>18</v>
      </c>
    </row>
    <row r="71" spans="1:15" ht="15" thickBot="1" x14ac:dyDescent="0.35">
      <c r="A71" s="268" t="s">
        <v>40</v>
      </c>
      <c r="B71" s="269"/>
      <c r="C71" s="269"/>
      <c r="D71" s="269"/>
      <c r="E71" s="269"/>
      <c r="F71" s="269"/>
      <c r="G71" s="270"/>
      <c r="H71" s="124">
        <f t="shared" ref="H71:M71" si="0">H69+H70</f>
        <v>33</v>
      </c>
      <c r="I71" s="82">
        <f t="shared" si="0"/>
        <v>33</v>
      </c>
      <c r="J71" s="82">
        <f t="shared" si="0"/>
        <v>34</v>
      </c>
      <c r="K71" s="82">
        <f t="shared" si="0"/>
        <v>34</v>
      </c>
      <c r="L71" s="82">
        <f t="shared" si="0"/>
        <v>29</v>
      </c>
      <c r="M71" s="82">
        <f t="shared" si="0"/>
        <v>29</v>
      </c>
      <c r="N71" s="98">
        <f>SUM(H71:M71)</f>
        <v>192</v>
      </c>
      <c r="O71" s="99"/>
    </row>
  </sheetData>
  <mergeCells count="94">
    <mergeCell ref="O38:O46"/>
    <mergeCell ref="O65:O66"/>
    <mergeCell ref="O67:O68"/>
    <mergeCell ref="L58:L64"/>
    <mergeCell ref="N58:N64"/>
    <mergeCell ref="O58:O64"/>
    <mergeCell ref="M59:M64"/>
    <mergeCell ref="M49:M57"/>
    <mergeCell ref="N49:N57"/>
    <mergeCell ref="L50:L57"/>
    <mergeCell ref="B62:B63"/>
    <mergeCell ref="C60:C61"/>
    <mergeCell ref="M65:M66"/>
    <mergeCell ref="N65:N66"/>
    <mergeCell ref="L67:L68"/>
    <mergeCell ref="N67:N68"/>
    <mergeCell ref="O31:O37"/>
    <mergeCell ref="K39:K46"/>
    <mergeCell ref="A69:G69"/>
    <mergeCell ref="A70:G70"/>
    <mergeCell ref="A71:G71"/>
    <mergeCell ref="B47:B48"/>
    <mergeCell ref="B65:B68"/>
    <mergeCell ref="C65:C68"/>
    <mergeCell ref="B58:B61"/>
    <mergeCell ref="B49:B53"/>
    <mergeCell ref="B54:B56"/>
    <mergeCell ref="A31:A68"/>
    <mergeCell ref="C33:C34"/>
    <mergeCell ref="C40:C41"/>
    <mergeCell ref="C49:C50"/>
    <mergeCell ref="C52:C53"/>
    <mergeCell ref="K31:K37"/>
    <mergeCell ref="N31:N37"/>
    <mergeCell ref="N38:N46"/>
    <mergeCell ref="N47:N48"/>
    <mergeCell ref="N29:N30"/>
    <mergeCell ref="B13:B18"/>
    <mergeCell ref="C13:C14"/>
    <mergeCell ref="N13:N14"/>
    <mergeCell ref="O13:O14"/>
    <mergeCell ref="C15:C18"/>
    <mergeCell ref="N15:N18"/>
    <mergeCell ref="O15:O18"/>
    <mergeCell ref="O19:O24"/>
    <mergeCell ref="C25:C26"/>
    <mergeCell ref="H25:H26"/>
    <mergeCell ref="I25:I26"/>
    <mergeCell ref="N25:N26"/>
    <mergeCell ref="O25:O26"/>
    <mergeCell ref="B19:B26"/>
    <mergeCell ref="C19:C24"/>
    <mergeCell ref="N19:N24"/>
    <mergeCell ref="C54:C55"/>
    <mergeCell ref="C42:C43"/>
    <mergeCell ref="B44:B46"/>
    <mergeCell ref="C44:C45"/>
    <mergeCell ref="J32:J37"/>
    <mergeCell ref="B38:B43"/>
    <mergeCell ref="C38:C39"/>
    <mergeCell ref="B27:B30"/>
    <mergeCell ref="C27:C28"/>
    <mergeCell ref="B31:B34"/>
    <mergeCell ref="C35:C36"/>
    <mergeCell ref="B35:B36"/>
    <mergeCell ref="C29:C30"/>
    <mergeCell ref="A1:O1"/>
    <mergeCell ref="A2:O2"/>
    <mergeCell ref="A3:A4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C9:C10"/>
    <mergeCell ref="N9:N10"/>
    <mergeCell ref="O3:O4"/>
    <mergeCell ref="A5:A30"/>
    <mergeCell ref="B5:B12"/>
    <mergeCell ref="C5:C6"/>
    <mergeCell ref="O9:O10"/>
    <mergeCell ref="C11:C12"/>
    <mergeCell ref="N11:N12"/>
    <mergeCell ref="O11:O12"/>
    <mergeCell ref="N5:N6"/>
    <mergeCell ref="O5:O6"/>
    <mergeCell ref="C7:C8"/>
    <mergeCell ref="N7:N8"/>
    <mergeCell ref="O7:O8"/>
    <mergeCell ref="O27:O30"/>
  </mergeCells>
  <phoneticPr fontId="2" type="noConversion"/>
  <printOptions horizontalCentered="1"/>
  <pageMargins left="0.25" right="0.25" top="0.75" bottom="0.75" header="0.3" footer="0.3"/>
  <pageSetup paperSize="12" scale="8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F832-5F46-4F69-A42B-B0B4DE99D50E}">
  <sheetPr>
    <tabColor rgb="FFFFC000"/>
    <pageSetUpPr fitToPage="1"/>
  </sheetPr>
  <dimension ref="A1:N78"/>
  <sheetViews>
    <sheetView zoomScale="115" zoomScaleNormal="115" workbookViewId="0">
      <pane xSplit="1" ySplit="4" topLeftCell="B59" activePane="bottomRight" state="frozen"/>
      <selection activeCell="L64" sqref="L64:L71"/>
      <selection pane="topRight" activeCell="L64" sqref="L64:L71"/>
      <selection pane="bottomLeft" activeCell="L64" sqref="L64:L71"/>
      <selection pane="bottomRight" activeCell="D67" sqref="D67"/>
    </sheetView>
  </sheetViews>
  <sheetFormatPr defaultColWidth="9" defaultRowHeight="14.25" x14ac:dyDescent="0.3"/>
  <cols>
    <col min="1" max="1" width="4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151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20</v>
      </c>
      <c r="N7" s="212">
        <v>8</v>
      </c>
    </row>
    <row r="8" spans="1:14" x14ac:dyDescent="0.3">
      <c r="A8" s="207"/>
      <c r="B8" s="230"/>
      <c r="C8" s="4" t="s">
        <v>172</v>
      </c>
      <c r="D8" s="41" t="s">
        <v>173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30"/>
      <c r="C9" s="4" t="s">
        <v>174</v>
      </c>
      <c r="D9" s="41" t="s">
        <v>175</v>
      </c>
      <c r="E9" s="6">
        <v>4</v>
      </c>
      <c r="F9" s="19">
        <v>4</v>
      </c>
      <c r="G9" s="22"/>
      <c r="H9" s="23"/>
      <c r="I9" s="22">
        <v>4</v>
      </c>
      <c r="J9" s="23"/>
      <c r="K9" s="22"/>
      <c r="L9" s="23"/>
      <c r="M9" s="203"/>
      <c r="N9" s="212"/>
    </row>
    <row r="10" spans="1:14" x14ac:dyDescent="0.3">
      <c r="A10" s="207"/>
      <c r="B10" s="230"/>
      <c r="C10" s="4" t="s">
        <v>174</v>
      </c>
      <c r="D10" s="41" t="s">
        <v>176</v>
      </c>
      <c r="E10" s="6">
        <v>4</v>
      </c>
      <c r="F10" s="19">
        <v>4</v>
      </c>
      <c r="G10" s="22"/>
      <c r="H10" s="23"/>
      <c r="I10" s="22"/>
      <c r="J10" s="23">
        <v>4</v>
      </c>
      <c r="K10" s="22"/>
      <c r="L10" s="23"/>
      <c r="M10" s="203"/>
      <c r="N10" s="212"/>
    </row>
    <row r="11" spans="1:14" x14ac:dyDescent="0.3">
      <c r="A11" s="207"/>
      <c r="B11" s="202"/>
      <c r="C11" s="4" t="s">
        <v>174</v>
      </c>
      <c r="D11" s="41" t="s">
        <v>178</v>
      </c>
      <c r="E11" s="6">
        <v>4</v>
      </c>
      <c r="F11" s="19">
        <v>4</v>
      </c>
      <c r="G11" s="22"/>
      <c r="H11" s="23"/>
      <c r="I11" s="22"/>
      <c r="J11" s="23">
        <v>4</v>
      </c>
      <c r="K11" s="22"/>
      <c r="L11" s="23"/>
      <c r="M11" s="203"/>
      <c r="N11" s="212"/>
    </row>
    <row r="12" spans="1:14" x14ac:dyDescent="0.3">
      <c r="A12" s="207"/>
      <c r="B12" s="201" t="s">
        <v>15</v>
      </c>
      <c r="C12" s="4" t="s">
        <v>12</v>
      </c>
      <c r="D12" s="41" t="s">
        <v>49</v>
      </c>
      <c r="E12" s="6">
        <v>4</v>
      </c>
      <c r="F12" s="19">
        <v>4</v>
      </c>
      <c r="G12" s="22">
        <v>4</v>
      </c>
      <c r="H12" s="23"/>
      <c r="I12" s="22"/>
      <c r="J12" s="23"/>
      <c r="K12" s="22"/>
      <c r="L12" s="23"/>
      <c r="M12" s="203">
        <v>8</v>
      </c>
      <c r="N12" s="212">
        <v>8</v>
      </c>
    </row>
    <row r="13" spans="1:14" x14ac:dyDescent="0.3">
      <c r="A13" s="207"/>
      <c r="B13" s="202"/>
      <c r="C13" s="4" t="s">
        <v>12</v>
      </c>
      <c r="D13" s="41" t="s">
        <v>50</v>
      </c>
      <c r="E13" s="6">
        <v>4</v>
      </c>
      <c r="F13" s="19">
        <v>4</v>
      </c>
      <c r="G13" s="22"/>
      <c r="H13" s="23">
        <v>4</v>
      </c>
      <c r="I13" s="22"/>
      <c r="J13" s="23"/>
      <c r="K13" s="22"/>
      <c r="L13" s="23"/>
      <c r="M13" s="203"/>
      <c r="N13" s="212"/>
    </row>
    <row r="14" spans="1:14" x14ac:dyDescent="0.3">
      <c r="A14" s="207"/>
      <c r="B14" s="213" t="s">
        <v>16</v>
      </c>
      <c r="C14" s="4" t="s">
        <v>12</v>
      </c>
      <c r="D14" s="41" t="s">
        <v>51</v>
      </c>
      <c r="E14" s="6">
        <v>3</v>
      </c>
      <c r="F14" s="19">
        <v>3</v>
      </c>
      <c r="G14" s="22">
        <v>3</v>
      </c>
      <c r="H14" s="23"/>
      <c r="I14" s="22"/>
      <c r="J14" s="23"/>
      <c r="K14" s="22"/>
      <c r="L14" s="23"/>
      <c r="M14" s="203">
        <v>6</v>
      </c>
      <c r="N14" s="212">
        <v>6</v>
      </c>
    </row>
    <row r="15" spans="1:14" x14ac:dyDescent="0.3">
      <c r="A15" s="207"/>
      <c r="B15" s="214"/>
      <c r="C15" s="4" t="s">
        <v>12</v>
      </c>
      <c r="D15" s="41" t="s">
        <v>52</v>
      </c>
      <c r="E15" s="6">
        <v>3</v>
      </c>
      <c r="F15" s="19">
        <v>3</v>
      </c>
      <c r="G15" s="29"/>
      <c r="H15" s="23">
        <v>3</v>
      </c>
      <c r="I15" s="22"/>
      <c r="J15" s="23"/>
      <c r="K15" s="22"/>
      <c r="L15" s="23"/>
      <c r="M15" s="203"/>
      <c r="N15" s="212"/>
    </row>
    <row r="16" spans="1:14" x14ac:dyDescent="0.3">
      <c r="A16" s="207"/>
      <c r="B16" s="201" t="s">
        <v>90</v>
      </c>
      <c r="C16" s="4" t="s">
        <v>12</v>
      </c>
      <c r="D16" s="41" t="s">
        <v>53</v>
      </c>
      <c r="E16" s="6">
        <v>4</v>
      </c>
      <c r="F16" s="19">
        <v>4</v>
      </c>
      <c r="G16" s="29">
        <v>4</v>
      </c>
      <c r="H16" s="23"/>
      <c r="I16" s="22"/>
      <c r="J16" s="23"/>
      <c r="K16" s="22"/>
      <c r="L16" s="23"/>
      <c r="M16" s="203">
        <v>8</v>
      </c>
      <c r="N16" s="250">
        <v>8</v>
      </c>
    </row>
    <row r="17" spans="1:14" x14ac:dyDescent="0.3">
      <c r="A17" s="207"/>
      <c r="B17" s="202"/>
      <c r="C17" s="4" t="s">
        <v>12</v>
      </c>
      <c r="D17" s="41" t="s">
        <v>54</v>
      </c>
      <c r="E17" s="6">
        <v>4</v>
      </c>
      <c r="F17" s="19">
        <v>4</v>
      </c>
      <c r="G17" s="29"/>
      <c r="H17" s="23">
        <v>4</v>
      </c>
      <c r="I17" s="22"/>
      <c r="J17" s="23"/>
      <c r="K17" s="22"/>
      <c r="L17" s="23"/>
      <c r="M17" s="203"/>
      <c r="N17" s="250"/>
    </row>
    <row r="18" spans="1:14" x14ac:dyDescent="0.3">
      <c r="A18" s="207"/>
      <c r="B18" s="201" t="s">
        <v>95</v>
      </c>
      <c r="C18" s="4" t="s">
        <v>12</v>
      </c>
      <c r="D18" s="42" t="s">
        <v>55</v>
      </c>
      <c r="E18" s="6">
        <v>4</v>
      </c>
      <c r="F18" s="19">
        <v>4</v>
      </c>
      <c r="G18" s="29">
        <v>4</v>
      </c>
      <c r="H18" s="23"/>
      <c r="I18" s="22"/>
      <c r="J18" s="23"/>
      <c r="K18" s="22"/>
      <c r="L18" s="23"/>
      <c r="M18" s="203">
        <v>10</v>
      </c>
      <c r="N18" s="212">
        <v>10</v>
      </c>
    </row>
    <row r="19" spans="1:14" x14ac:dyDescent="0.3">
      <c r="A19" s="207"/>
      <c r="B19" s="230"/>
      <c r="C19" s="4" t="s">
        <v>12</v>
      </c>
      <c r="D19" s="42" t="s">
        <v>56</v>
      </c>
      <c r="E19" s="6">
        <v>4</v>
      </c>
      <c r="F19" s="19">
        <v>4</v>
      </c>
      <c r="G19" s="29"/>
      <c r="H19" s="23">
        <v>4</v>
      </c>
      <c r="I19" s="22"/>
      <c r="J19" s="23"/>
      <c r="K19" s="22"/>
      <c r="L19" s="23"/>
      <c r="M19" s="203"/>
      <c r="N19" s="212"/>
    </row>
    <row r="20" spans="1:14" x14ac:dyDescent="0.3">
      <c r="A20" s="207"/>
      <c r="B20" s="230"/>
      <c r="C20" s="4" t="s">
        <v>12</v>
      </c>
      <c r="D20" s="42" t="s">
        <v>59</v>
      </c>
      <c r="E20" s="6">
        <v>1</v>
      </c>
      <c r="F20" s="19">
        <v>1</v>
      </c>
      <c r="G20" s="29">
        <v>1</v>
      </c>
      <c r="H20" s="23"/>
      <c r="I20" s="22"/>
      <c r="J20" s="23"/>
      <c r="K20" s="22"/>
      <c r="L20" s="23"/>
      <c r="M20" s="203"/>
      <c r="N20" s="212"/>
    </row>
    <row r="21" spans="1:14" x14ac:dyDescent="0.3">
      <c r="A21" s="207"/>
      <c r="B21" s="202"/>
      <c r="C21" s="4" t="s">
        <v>12</v>
      </c>
      <c r="D21" s="42" t="s">
        <v>60</v>
      </c>
      <c r="E21" s="6">
        <v>1</v>
      </c>
      <c r="F21" s="19">
        <v>1</v>
      </c>
      <c r="G21" s="29"/>
      <c r="H21" s="23">
        <v>1</v>
      </c>
      <c r="I21" s="22"/>
      <c r="J21" s="23"/>
      <c r="K21" s="22"/>
      <c r="L21" s="23"/>
      <c r="M21" s="203"/>
      <c r="N21" s="212"/>
    </row>
    <row r="22" spans="1:14" x14ac:dyDescent="0.3">
      <c r="A22" s="207"/>
      <c r="B22" s="201" t="s">
        <v>97</v>
      </c>
      <c r="C22" s="4" t="s">
        <v>24</v>
      </c>
      <c r="D22" s="42" t="s">
        <v>70</v>
      </c>
      <c r="E22" s="6">
        <v>3</v>
      </c>
      <c r="F22" s="19">
        <v>2</v>
      </c>
      <c r="G22" s="22">
        <v>2</v>
      </c>
      <c r="H22" s="23"/>
      <c r="I22" s="22"/>
      <c r="J22" s="23"/>
      <c r="K22" s="22"/>
      <c r="L22" s="23"/>
      <c r="M22" s="203">
        <f>SUM(G22:L27)</f>
        <v>10</v>
      </c>
      <c r="N22" s="212">
        <v>10</v>
      </c>
    </row>
    <row r="23" spans="1:14" x14ac:dyDescent="0.3">
      <c r="A23" s="207"/>
      <c r="B23" s="230"/>
      <c r="C23" s="4" t="s">
        <v>24</v>
      </c>
      <c r="D23" s="42" t="s">
        <v>57</v>
      </c>
      <c r="E23" s="6">
        <v>3</v>
      </c>
      <c r="F23" s="19">
        <v>2</v>
      </c>
      <c r="G23" s="22"/>
      <c r="H23" s="23">
        <v>2</v>
      </c>
      <c r="I23" s="22"/>
      <c r="J23" s="23"/>
      <c r="K23" s="22"/>
      <c r="L23" s="23"/>
      <c r="M23" s="203"/>
      <c r="N23" s="212"/>
    </row>
    <row r="24" spans="1:14" x14ac:dyDescent="0.3">
      <c r="A24" s="207"/>
      <c r="B24" s="230"/>
      <c r="C24" s="4" t="s">
        <v>22</v>
      </c>
      <c r="D24" s="42" t="s">
        <v>69</v>
      </c>
      <c r="E24" s="6">
        <v>2</v>
      </c>
      <c r="F24" s="19">
        <v>1</v>
      </c>
      <c r="G24" s="22"/>
      <c r="H24" s="23"/>
      <c r="I24" s="22">
        <v>1</v>
      </c>
      <c r="J24" s="23"/>
      <c r="K24" s="22"/>
      <c r="L24" s="23"/>
      <c r="M24" s="203"/>
      <c r="N24" s="212"/>
    </row>
    <row r="25" spans="1:14" x14ac:dyDescent="0.3">
      <c r="A25" s="207"/>
      <c r="B25" s="230"/>
      <c r="C25" s="4" t="s">
        <v>22</v>
      </c>
      <c r="D25" s="42" t="s">
        <v>71</v>
      </c>
      <c r="E25" s="6">
        <v>2</v>
      </c>
      <c r="F25" s="19">
        <v>1</v>
      </c>
      <c r="G25" s="22"/>
      <c r="H25" s="23"/>
      <c r="I25" s="22"/>
      <c r="J25" s="23">
        <v>1</v>
      </c>
      <c r="K25" s="22"/>
      <c r="L25" s="23"/>
      <c r="M25" s="203"/>
      <c r="N25" s="212"/>
    </row>
    <row r="26" spans="1:14" x14ac:dyDescent="0.3">
      <c r="A26" s="207"/>
      <c r="B26" s="230"/>
      <c r="C26" s="4" t="s">
        <v>58</v>
      </c>
      <c r="D26" s="42" t="s">
        <v>77</v>
      </c>
      <c r="E26" s="6">
        <v>3</v>
      </c>
      <c r="F26" s="19">
        <v>2</v>
      </c>
      <c r="G26" s="22"/>
      <c r="H26" s="23"/>
      <c r="I26" s="22"/>
      <c r="J26" s="23"/>
      <c r="K26" s="22">
        <v>2</v>
      </c>
      <c r="L26" s="23"/>
      <c r="M26" s="203"/>
      <c r="N26" s="212"/>
    </row>
    <row r="27" spans="1:14" x14ac:dyDescent="0.3">
      <c r="A27" s="207"/>
      <c r="B27" s="202"/>
      <c r="C27" s="4" t="s">
        <v>58</v>
      </c>
      <c r="D27" s="42" t="s">
        <v>99</v>
      </c>
      <c r="E27" s="6">
        <v>3</v>
      </c>
      <c r="F27" s="19">
        <v>2</v>
      </c>
      <c r="G27" s="22"/>
      <c r="H27" s="23"/>
      <c r="I27" s="22"/>
      <c r="J27" s="23"/>
      <c r="K27" s="22"/>
      <c r="L27" s="23">
        <v>2</v>
      </c>
      <c r="M27" s="203"/>
      <c r="N27" s="212"/>
    </row>
    <row r="28" spans="1:14" x14ac:dyDescent="0.3">
      <c r="A28" s="207"/>
      <c r="B28" s="241" t="s">
        <v>96</v>
      </c>
      <c r="C28" s="4" t="s">
        <v>13</v>
      </c>
      <c r="D28" s="42" t="s">
        <v>19</v>
      </c>
      <c r="E28" s="6">
        <v>3</v>
      </c>
      <c r="F28" s="19">
        <v>2</v>
      </c>
      <c r="G28" s="245" t="s">
        <v>67</v>
      </c>
      <c r="H28" s="247" t="s">
        <v>67</v>
      </c>
      <c r="I28" s="22"/>
      <c r="J28" s="23"/>
      <c r="K28" s="22"/>
      <c r="L28" s="23"/>
      <c r="M28" s="203">
        <v>4</v>
      </c>
      <c r="N28" s="212">
        <v>10</v>
      </c>
    </row>
    <row r="29" spans="1:14" x14ac:dyDescent="0.3">
      <c r="A29" s="207"/>
      <c r="B29" s="241"/>
      <c r="C29" s="4" t="s">
        <v>13</v>
      </c>
      <c r="D29" s="42" t="s">
        <v>20</v>
      </c>
      <c r="E29" s="6">
        <v>3</v>
      </c>
      <c r="F29" s="19">
        <v>2</v>
      </c>
      <c r="G29" s="246"/>
      <c r="H29" s="248"/>
      <c r="I29" s="22"/>
      <c r="J29" s="23"/>
      <c r="K29" s="22"/>
      <c r="L29" s="23"/>
      <c r="M29" s="203"/>
      <c r="N29" s="212"/>
    </row>
    <row r="30" spans="1:14" x14ac:dyDescent="0.3">
      <c r="A30" s="207"/>
      <c r="B30" s="241" t="s">
        <v>93</v>
      </c>
      <c r="C30" s="4" t="s">
        <v>13</v>
      </c>
      <c r="D30" s="42" t="s">
        <v>43</v>
      </c>
      <c r="E30" s="6">
        <v>4</v>
      </c>
      <c r="F30" s="19">
        <v>3</v>
      </c>
      <c r="G30" s="30"/>
      <c r="H30" s="31"/>
      <c r="I30" s="22">
        <v>3</v>
      </c>
      <c r="J30" s="23"/>
      <c r="K30" s="22"/>
      <c r="L30" s="23"/>
      <c r="M30" s="297">
        <v>8</v>
      </c>
      <c r="N30" s="212">
        <v>16</v>
      </c>
    </row>
    <row r="31" spans="1:14" x14ac:dyDescent="0.3">
      <c r="A31" s="207"/>
      <c r="B31" s="241"/>
      <c r="C31" s="4" t="s">
        <v>22</v>
      </c>
      <c r="D31" s="42" t="s">
        <v>180</v>
      </c>
      <c r="E31" s="6">
        <v>4</v>
      </c>
      <c r="F31" s="19">
        <v>3</v>
      </c>
      <c r="G31" s="30"/>
      <c r="H31" s="31"/>
      <c r="I31" s="22"/>
      <c r="J31" s="23">
        <v>3</v>
      </c>
      <c r="K31" s="22"/>
      <c r="L31" s="23"/>
      <c r="M31" s="256"/>
      <c r="N31" s="212"/>
    </row>
    <row r="32" spans="1:14" x14ac:dyDescent="0.3">
      <c r="A32" s="207"/>
      <c r="B32" s="241"/>
      <c r="C32" s="4" t="s">
        <v>42</v>
      </c>
      <c r="D32" s="42" t="s">
        <v>181</v>
      </c>
      <c r="E32" s="6">
        <v>4</v>
      </c>
      <c r="F32" s="19">
        <v>2</v>
      </c>
      <c r="G32" s="30"/>
      <c r="H32" s="31">
        <v>2</v>
      </c>
      <c r="I32" s="22"/>
      <c r="J32" s="23"/>
      <c r="K32" s="22"/>
      <c r="L32" s="23"/>
      <c r="M32" s="298"/>
      <c r="N32" s="212"/>
    </row>
    <row r="33" spans="1:14" ht="15" thickBot="1" x14ac:dyDescent="0.35">
      <c r="A33" s="207"/>
      <c r="B33" s="10" t="s">
        <v>94</v>
      </c>
      <c r="C33" s="4" t="s">
        <v>13</v>
      </c>
      <c r="D33" s="41" t="s">
        <v>68</v>
      </c>
      <c r="E33" s="6">
        <v>3</v>
      </c>
      <c r="F33" s="19">
        <v>2</v>
      </c>
      <c r="G33" s="62">
        <v>2</v>
      </c>
      <c r="H33" s="64"/>
      <c r="I33" s="22"/>
      <c r="J33" s="23"/>
      <c r="K33" s="22"/>
      <c r="L33" s="23"/>
      <c r="M33" s="79">
        <v>2</v>
      </c>
      <c r="N33" s="212"/>
    </row>
    <row r="34" spans="1:14" x14ac:dyDescent="0.3">
      <c r="A34" s="206" t="s">
        <v>21</v>
      </c>
      <c r="B34" s="15" t="s">
        <v>27</v>
      </c>
      <c r="C34" s="15" t="s">
        <v>24</v>
      </c>
      <c r="D34" s="93" t="s">
        <v>83</v>
      </c>
      <c r="E34" s="16">
        <v>4</v>
      </c>
      <c r="F34" s="21">
        <v>4</v>
      </c>
      <c r="G34" s="101"/>
      <c r="H34" s="102"/>
      <c r="I34" s="94" t="s">
        <v>133</v>
      </c>
      <c r="J34" s="251"/>
      <c r="K34" s="101"/>
      <c r="L34" s="102"/>
      <c r="M34" s="215">
        <v>20</v>
      </c>
      <c r="N34" s="216"/>
    </row>
    <row r="35" spans="1:14" ht="17.45" customHeight="1" x14ac:dyDescent="0.3">
      <c r="A35" s="307"/>
      <c r="B35" s="10" t="s">
        <v>28</v>
      </c>
      <c r="C35" s="12" t="s">
        <v>24</v>
      </c>
      <c r="D35" s="148" t="s">
        <v>147</v>
      </c>
      <c r="E35" s="14">
        <v>4</v>
      </c>
      <c r="F35" s="39">
        <v>4</v>
      </c>
      <c r="G35" s="107"/>
      <c r="H35" s="108"/>
      <c r="I35" s="234" t="s">
        <v>139</v>
      </c>
      <c r="J35" s="299"/>
      <c r="K35" s="107"/>
      <c r="L35" s="108"/>
      <c r="M35" s="282"/>
      <c r="N35" s="300"/>
    </row>
    <row r="36" spans="1:14" ht="17.45" customHeight="1" x14ac:dyDescent="0.3">
      <c r="A36" s="207"/>
      <c r="B36" s="241" t="s">
        <v>29</v>
      </c>
      <c r="C36" s="4" t="s">
        <v>24</v>
      </c>
      <c r="D36" s="44" t="s">
        <v>87</v>
      </c>
      <c r="E36" s="6">
        <v>4</v>
      </c>
      <c r="F36" s="19">
        <v>4</v>
      </c>
      <c r="G36" s="103"/>
      <c r="H36" s="104"/>
      <c r="I36" s="235"/>
      <c r="J36" s="252"/>
      <c r="K36" s="103"/>
      <c r="L36" s="104"/>
      <c r="M36" s="203"/>
      <c r="N36" s="212"/>
    </row>
    <row r="37" spans="1:14" ht="17.45" customHeight="1" x14ac:dyDescent="0.3">
      <c r="A37" s="207"/>
      <c r="B37" s="241"/>
      <c r="C37" s="4" t="s">
        <v>22</v>
      </c>
      <c r="D37" s="45" t="s">
        <v>63</v>
      </c>
      <c r="E37" s="6">
        <v>4</v>
      </c>
      <c r="F37" s="19">
        <v>4</v>
      </c>
      <c r="G37" s="103"/>
      <c r="H37" s="104"/>
      <c r="I37" s="235"/>
      <c r="J37" s="252"/>
      <c r="K37" s="103"/>
      <c r="L37" s="104"/>
      <c r="M37" s="203"/>
      <c r="N37" s="212"/>
    </row>
    <row r="38" spans="1:14" ht="17.45" customHeight="1" x14ac:dyDescent="0.3">
      <c r="A38" s="207"/>
      <c r="B38" s="201" t="s">
        <v>30</v>
      </c>
      <c r="C38" s="4" t="s">
        <v>22</v>
      </c>
      <c r="D38" s="45" t="s">
        <v>169</v>
      </c>
      <c r="E38" s="6">
        <v>4</v>
      </c>
      <c r="F38" s="19">
        <v>4</v>
      </c>
      <c r="G38" s="103"/>
      <c r="H38" s="104"/>
      <c r="I38" s="235"/>
      <c r="J38" s="252"/>
      <c r="K38" s="103"/>
      <c r="L38" s="104"/>
      <c r="M38" s="203"/>
      <c r="N38" s="212"/>
    </row>
    <row r="39" spans="1:14" ht="17.45" customHeight="1" x14ac:dyDescent="0.3">
      <c r="A39" s="207"/>
      <c r="B39" s="202"/>
      <c r="C39" s="4" t="s">
        <v>72</v>
      </c>
      <c r="D39" s="44" t="s">
        <v>153</v>
      </c>
      <c r="E39" s="6">
        <v>4</v>
      </c>
      <c r="F39" s="19">
        <v>4</v>
      </c>
      <c r="G39" s="103"/>
      <c r="H39" s="104"/>
      <c r="I39" s="235"/>
      <c r="J39" s="252"/>
      <c r="K39" s="103"/>
      <c r="L39" s="104"/>
      <c r="M39" s="203"/>
      <c r="N39" s="212"/>
    </row>
    <row r="40" spans="1:14" ht="18" customHeight="1" thickBot="1" x14ac:dyDescent="0.35">
      <c r="A40" s="207"/>
      <c r="B40" s="74" t="s">
        <v>31</v>
      </c>
      <c r="C40" s="74" t="s">
        <v>24</v>
      </c>
      <c r="D40" s="78" t="s">
        <v>140</v>
      </c>
      <c r="E40" s="76">
        <v>4</v>
      </c>
      <c r="F40" s="77">
        <v>4</v>
      </c>
      <c r="G40" s="109"/>
      <c r="H40" s="110"/>
      <c r="I40" s="236"/>
      <c r="J40" s="253"/>
      <c r="K40" s="109"/>
      <c r="L40" s="110"/>
      <c r="M40" s="254"/>
      <c r="N40" s="259"/>
    </row>
    <row r="41" spans="1:14" x14ac:dyDescent="0.3">
      <c r="A41" s="207"/>
      <c r="B41" s="238" t="s">
        <v>91</v>
      </c>
      <c r="C41" s="12" t="s">
        <v>13</v>
      </c>
      <c r="D41" s="91" t="s">
        <v>82</v>
      </c>
      <c r="E41" s="14">
        <v>4</v>
      </c>
      <c r="F41" s="39">
        <v>4</v>
      </c>
      <c r="G41" s="107"/>
      <c r="H41" s="108"/>
      <c r="I41" s="87"/>
      <c r="J41" s="92" t="s">
        <v>179</v>
      </c>
      <c r="K41" s="112"/>
      <c r="L41" s="113"/>
      <c r="M41" s="255">
        <v>16</v>
      </c>
      <c r="N41" s="283"/>
    </row>
    <row r="42" spans="1:14" ht="13.9" customHeight="1" x14ac:dyDescent="0.3">
      <c r="A42" s="207"/>
      <c r="B42" s="214"/>
      <c r="C42" s="4" t="s">
        <v>42</v>
      </c>
      <c r="D42" s="118" t="s">
        <v>86</v>
      </c>
      <c r="E42" s="6">
        <v>4</v>
      </c>
      <c r="F42" s="19">
        <v>4</v>
      </c>
      <c r="G42" s="103"/>
      <c r="H42" s="104"/>
      <c r="I42" s="87"/>
      <c r="J42" s="260" t="s">
        <v>183</v>
      </c>
      <c r="K42" s="103"/>
      <c r="L42" s="104"/>
      <c r="M42" s="256"/>
      <c r="N42" s="284"/>
    </row>
    <row r="43" spans="1:14" x14ac:dyDescent="0.3">
      <c r="A43" s="207"/>
      <c r="B43" s="5" t="s">
        <v>92</v>
      </c>
      <c r="C43" s="4" t="s">
        <v>13</v>
      </c>
      <c r="D43" s="46" t="s">
        <v>149</v>
      </c>
      <c r="E43" s="6">
        <v>4</v>
      </c>
      <c r="F43" s="19">
        <v>4</v>
      </c>
      <c r="G43" s="103"/>
      <c r="H43" s="104"/>
      <c r="I43" s="87"/>
      <c r="J43" s="261"/>
      <c r="K43" s="103"/>
      <c r="L43" s="104"/>
      <c r="M43" s="256"/>
      <c r="N43" s="284"/>
    </row>
    <row r="44" spans="1:14" x14ac:dyDescent="0.3">
      <c r="A44" s="207"/>
      <c r="B44" s="213" t="s">
        <v>89</v>
      </c>
      <c r="C44" s="4" t="s">
        <v>24</v>
      </c>
      <c r="D44" s="46" t="s">
        <v>129</v>
      </c>
      <c r="E44" s="6">
        <v>4</v>
      </c>
      <c r="F44" s="19">
        <v>4</v>
      </c>
      <c r="G44" s="103"/>
      <c r="H44" s="104"/>
      <c r="I44" s="87"/>
      <c r="J44" s="261"/>
      <c r="K44" s="103"/>
      <c r="L44" s="104"/>
      <c r="M44" s="256"/>
      <c r="N44" s="284"/>
    </row>
    <row r="45" spans="1:14" x14ac:dyDescent="0.3">
      <c r="A45" s="207"/>
      <c r="B45" s="214"/>
      <c r="C45" s="4" t="s">
        <v>58</v>
      </c>
      <c r="D45" s="46" t="s">
        <v>120</v>
      </c>
      <c r="E45" s="6">
        <v>4</v>
      </c>
      <c r="F45" s="19">
        <v>4</v>
      </c>
      <c r="G45" s="103"/>
      <c r="H45" s="104"/>
      <c r="I45" s="87"/>
      <c r="J45" s="261"/>
      <c r="K45" s="103"/>
      <c r="L45" s="104"/>
      <c r="M45" s="256"/>
      <c r="N45" s="284"/>
    </row>
    <row r="46" spans="1:14" x14ac:dyDescent="0.3">
      <c r="A46" s="207"/>
      <c r="B46" s="213" t="s">
        <v>90</v>
      </c>
      <c r="C46" s="4" t="s">
        <v>24</v>
      </c>
      <c r="D46" s="46" t="s">
        <v>155</v>
      </c>
      <c r="E46" s="6">
        <v>4</v>
      </c>
      <c r="F46" s="19">
        <v>4</v>
      </c>
      <c r="G46" s="103"/>
      <c r="H46" s="104"/>
      <c r="I46" s="87"/>
      <c r="J46" s="261"/>
      <c r="K46" s="103"/>
      <c r="L46" s="104"/>
      <c r="M46" s="256"/>
      <c r="N46" s="284"/>
    </row>
    <row r="47" spans="1:14" x14ac:dyDescent="0.3">
      <c r="A47" s="207"/>
      <c r="B47" s="214"/>
      <c r="C47" s="4" t="s">
        <v>22</v>
      </c>
      <c r="D47" s="46" t="s">
        <v>170</v>
      </c>
      <c r="E47" s="6">
        <v>4</v>
      </c>
      <c r="F47" s="72">
        <v>4</v>
      </c>
      <c r="G47" s="103"/>
      <c r="H47" s="104"/>
      <c r="I47" s="87"/>
      <c r="J47" s="261"/>
      <c r="K47" s="103"/>
      <c r="L47" s="104"/>
      <c r="M47" s="256"/>
      <c r="N47" s="284"/>
    </row>
    <row r="48" spans="1:14" ht="26.25" thickBot="1" x14ac:dyDescent="0.35">
      <c r="A48" s="207"/>
      <c r="B48" s="73" t="s">
        <v>95</v>
      </c>
      <c r="C48" s="74" t="s">
        <v>13</v>
      </c>
      <c r="D48" s="75" t="s">
        <v>142</v>
      </c>
      <c r="E48" s="76">
        <v>4</v>
      </c>
      <c r="F48" s="77">
        <v>4</v>
      </c>
      <c r="G48" s="109"/>
      <c r="H48" s="110"/>
      <c r="I48" s="90"/>
      <c r="J48" s="262"/>
      <c r="K48" s="109"/>
      <c r="L48" s="110"/>
      <c r="M48" s="257"/>
      <c r="N48" s="285"/>
    </row>
    <row r="49" spans="1:14" x14ac:dyDescent="0.3">
      <c r="A49" s="207"/>
      <c r="B49" s="305" t="s">
        <v>32</v>
      </c>
      <c r="C49" s="153" t="s">
        <v>13</v>
      </c>
      <c r="D49" s="154" t="s">
        <v>185</v>
      </c>
      <c r="E49" s="155">
        <v>4</v>
      </c>
      <c r="F49" s="156">
        <v>3</v>
      </c>
      <c r="G49" s="112"/>
      <c r="H49" s="113"/>
      <c r="I49" s="89" t="s">
        <v>34</v>
      </c>
      <c r="J49" s="164"/>
      <c r="K49" s="107"/>
      <c r="L49" s="108"/>
      <c r="M49" s="256">
        <v>6</v>
      </c>
      <c r="N49" s="95"/>
    </row>
    <row r="50" spans="1:14" ht="15" thickBot="1" x14ac:dyDescent="0.35">
      <c r="A50" s="207"/>
      <c r="B50" s="306"/>
      <c r="C50" s="131" t="s">
        <v>13</v>
      </c>
      <c r="D50" s="160" t="s">
        <v>184</v>
      </c>
      <c r="E50" s="132">
        <v>4</v>
      </c>
      <c r="F50" s="161">
        <v>3</v>
      </c>
      <c r="G50" s="162"/>
      <c r="H50" s="163"/>
      <c r="I50" s="157">
        <v>3</v>
      </c>
      <c r="J50" s="165"/>
      <c r="K50" s="151"/>
      <c r="L50" s="152"/>
      <c r="M50" s="256"/>
      <c r="N50" s="95"/>
    </row>
    <row r="51" spans="1:14" x14ac:dyDescent="0.3">
      <c r="A51" s="207"/>
      <c r="B51" s="238" t="s">
        <v>32</v>
      </c>
      <c r="C51" s="131" t="s">
        <v>42</v>
      </c>
      <c r="D51" s="160" t="s">
        <v>186</v>
      </c>
      <c r="E51" s="132">
        <v>4</v>
      </c>
      <c r="F51" s="133">
        <v>3</v>
      </c>
      <c r="G51" s="107"/>
      <c r="H51" s="108"/>
      <c r="I51" s="158"/>
      <c r="J51" s="89" t="s">
        <v>34</v>
      </c>
      <c r="K51" s="107"/>
      <c r="L51" s="152"/>
      <c r="M51" s="256"/>
      <c r="N51" s="95"/>
    </row>
    <row r="52" spans="1:14" ht="15" thickBot="1" x14ac:dyDescent="0.35">
      <c r="A52" s="207"/>
      <c r="B52" s="214"/>
      <c r="C52" s="61" t="s">
        <v>42</v>
      </c>
      <c r="D52" s="69" t="s">
        <v>187</v>
      </c>
      <c r="E52" s="70">
        <v>4</v>
      </c>
      <c r="F52" s="71">
        <v>3</v>
      </c>
      <c r="G52" s="151"/>
      <c r="H52" s="152"/>
      <c r="I52" s="159"/>
      <c r="J52" s="88">
        <v>3</v>
      </c>
      <c r="K52" s="151"/>
      <c r="L52" s="166"/>
      <c r="M52" s="256"/>
      <c r="N52" s="95"/>
    </row>
    <row r="53" spans="1:14" x14ac:dyDescent="0.3">
      <c r="A53" s="207"/>
      <c r="B53" s="276" t="s">
        <v>91</v>
      </c>
      <c r="C53" s="15" t="s">
        <v>24</v>
      </c>
      <c r="D53" s="47" t="s">
        <v>61</v>
      </c>
      <c r="E53" s="16">
        <v>4</v>
      </c>
      <c r="F53" s="21">
        <v>3</v>
      </c>
      <c r="G53" s="24"/>
      <c r="H53" s="25"/>
      <c r="I53" s="24"/>
      <c r="J53" s="25"/>
      <c r="K53" s="32" t="s">
        <v>103</v>
      </c>
      <c r="L53" s="292"/>
      <c r="M53" s="255">
        <v>21</v>
      </c>
      <c r="N53" s="114"/>
    </row>
    <row r="54" spans="1:14" x14ac:dyDescent="0.3">
      <c r="A54" s="207"/>
      <c r="B54" s="241"/>
      <c r="C54" s="4" t="s">
        <v>42</v>
      </c>
      <c r="D54" s="48" t="s">
        <v>74</v>
      </c>
      <c r="E54" s="6">
        <v>4</v>
      </c>
      <c r="F54" s="19">
        <v>3</v>
      </c>
      <c r="G54" s="22"/>
      <c r="H54" s="23"/>
      <c r="I54" s="22"/>
      <c r="J54" s="23"/>
      <c r="K54" s="294" t="s">
        <v>104</v>
      </c>
      <c r="L54" s="292"/>
      <c r="M54" s="256"/>
      <c r="N54" s="95"/>
    </row>
    <row r="55" spans="1:14" x14ac:dyDescent="0.3">
      <c r="A55" s="207"/>
      <c r="B55" s="4" t="s">
        <v>92</v>
      </c>
      <c r="C55" s="4" t="s">
        <v>22</v>
      </c>
      <c r="D55" s="49" t="s">
        <v>168</v>
      </c>
      <c r="E55" s="6">
        <v>4</v>
      </c>
      <c r="F55" s="19">
        <v>3</v>
      </c>
      <c r="G55" s="22"/>
      <c r="H55" s="23"/>
      <c r="I55" s="22"/>
      <c r="J55" s="23"/>
      <c r="K55" s="303"/>
      <c r="L55" s="292"/>
      <c r="M55" s="256"/>
      <c r="N55" s="95"/>
    </row>
    <row r="56" spans="1:14" x14ac:dyDescent="0.3">
      <c r="A56" s="207"/>
      <c r="B56" s="241" t="s">
        <v>89</v>
      </c>
      <c r="C56" s="4" t="s">
        <v>24</v>
      </c>
      <c r="D56" s="50" t="s">
        <v>62</v>
      </c>
      <c r="E56" s="6">
        <v>4</v>
      </c>
      <c r="F56" s="19">
        <v>3</v>
      </c>
      <c r="G56" s="22"/>
      <c r="H56" s="23"/>
      <c r="I56" s="22"/>
      <c r="J56" s="23"/>
      <c r="K56" s="303"/>
      <c r="L56" s="292"/>
      <c r="M56" s="256"/>
      <c r="N56" s="95"/>
    </row>
    <row r="57" spans="1:14" x14ac:dyDescent="0.3">
      <c r="A57" s="207"/>
      <c r="B57" s="241"/>
      <c r="C57" s="4" t="s">
        <v>22</v>
      </c>
      <c r="D57" s="50" t="s">
        <v>80</v>
      </c>
      <c r="E57" s="6">
        <v>4</v>
      </c>
      <c r="F57" s="19">
        <v>3</v>
      </c>
      <c r="G57" s="22"/>
      <c r="H57" s="23"/>
      <c r="I57" s="22"/>
      <c r="J57" s="23"/>
      <c r="K57" s="303"/>
      <c r="L57" s="292"/>
      <c r="M57" s="256"/>
      <c r="N57" s="95"/>
    </row>
    <row r="58" spans="1:14" x14ac:dyDescent="0.3">
      <c r="A58" s="207"/>
      <c r="B58" s="201" t="s">
        <v>90</v>
      </c>
      <c r="C58" s="4" t="s">
        <v>24</v>
      </c>
      <c r="D58" s="51" t="s">
        <v>166</v>
      </c>
      <c r="E58" s="6">
        <v>4</v>
      </c>
      <c r="F58" s="19">
        <v>3</v>
      </c>
      <c r="G58" s="22"/>
      <c r="H58" s="23"/>
      <c r="I58" s="22"/>
      <c r="J58" s="23"/>
      <c r="K58" s="303"/>
      <c r="L58" s="292"/>
      <c r="M58" s="256"/>
      <c r="N58" s="95"/>
    </row>
    <row r="59" spans="1:14" x14ac:dyDescent="0.3">
      <c r="A59" s="207"/>
      <c r="B59" s="230"/>
      <c r="C59" s="4" t="s">
        <v>22</v>
      </c>
      <c r="D59" s="51" t="s">
        <v>157</v>
      </c>
      <c r="E59" s="6">
        <v>4</v>
      </c>
      <c r="F59" s="19">
        <v>3</v>
      </c>
      <c r="G59" s="22"/>
      <c r="H59" s="23"/>
      <c r="I59" s="22"/>
      <c r="J59" s="23"/>
      <c r="K59" s="303"/>
      <c r="L59" s="292"/>
      <c r="M59" s="256"/>
      <c r="N59" s="95"/>
    </row>
    <row r="60" spans="1:14" ht="17.45" customHeight="1" x14ac:dyDescent="0.3">
      <c r="A60" s="207"/>
      <c r="B60" s="230"/>
      <c r="C60" s="4" t="s">
        <v>72</v>
      </c>
      <c r="D60" s="51" t="s">
        <v>159</v>
      </c>
      <c r="E60" s="6">
        <v>4</v>
      </c>
      <c r="F60" s="19">
        <v>3</v>
      </c>
      <c r="G60" s="22"/>
      <c r="H60" s="23"/>
      <c r="I60" s="22"/>
      <c r="J60" s="23"/>
      <c r="K60" s="303"/>
      <c r="L60" s="292"/>
      <c r="M60" s="256"/>
      <c r="N60" s="95"/>
    </row>
    <row r="61" spans="1:14" ht="25.5" x14ac:dyDescent="0.3">
      <c r="A61" s="207"/>
      <c r="B61" s="10" t="s">
        <v>31</v>
      </c>
      <c r="C61" s="10" t="s">
        <v>22</v>
      </c>
      <c r="D61" s="83" t="s">
        <v>144</v>
      </c>
      <c r="E61" s="13">
        <v>4</v>
      </c>
      <c r="F61" s="28">
        <v>3</v>
      </c>
      <c r="G61" s="79"/>
      <c r="H61" s="80"/>
      <c r="I61" s="79"/>
      <c r="J61" s="80"/>
      <c r="K61" s="303"/>
      <c r="L61" s="292"/>
      <c r="M61" s="256"/>
      <c r="N61" s="95"/>
    </row>
    <row r="62" spans="1:14" ht="18" customHeight="1" thickBot="1" x14ac:dyDescent="0.35">
      <c r="A62" s="207"/>
      <c r="B62" s="17" t="s">
        <v>93</v>
      </c>
      <c r="C62" s="17" t="s">
        <v>22</v>
      </c>
      <c r="D62" s="52" t="s">
        <v>108</v>
      </c>
      <c r="E62" s="18">
        <v>4</v>
      </c>
      <c r="F62" s="20">
        <v>3</v>
      </c>
      <c r="G62" s="26"/>
      <c r="H62" s="27"/>
      <c r="I62" s="26"/>
      <c r="J62" s="27"/>
      <c r="K62" s="304"/>
      <c r="L62" s="293"/>
      <c r="M62" s="257"/>
      <c r="N62" s="96"/>
    </row>
    <row r="63" spans="1:14" x14ac:dyDescent="0.3">
      <c r="A63" s="207"/>
      <c r="B63" s="15" t="s">
        <v>91</v>
      </c>
      <c r="C63" s="15" t="s">
        <v>72</v>
      </c>
      <c r="D63" s="53" t="s">
        <v>79</v>
      </c>
      <c r="E63" s="16">
        <v>4</v>
      </c>
      <c r="F63" s="21">
        <v>3</v>
      </c>
      <c r="G63" s="24"/>
      <c r="H63" s="25"/>
      <c r="I63" s="24"/>
      <c r="J63" s="25"/>
      <c r="K63" s="286"/>
      <c r="L63" s="33" t="s">
        <v>103</v>
      </c>
      <c r="M63" s="255">
        <v>21</v>
      </c>
      <c r="N63" s="283"/>
    </row>
    <row r="64" spans="1:14" x14ac:dyDescent="0.3">
      <c r="A64" s="207"/>
      <c r="B64" s="201" t="s">
        <v>92</v>
      </c>
      <c r="C64" s="12" t="s">
        <v>42</v>
      </c>
      <c r="D64" s="149" t="s">
        <v>150</v>
      </c>
      <c r="E64" s="14">
        <v>4</v>
      </c>
      <c r="F64" s="39">
        <v>3</v>
      </c>
      <c r="G64" s="126"/>
      <c r="H64" s="150"/>
      <c r="I64" s="126"/>
      <c r="J64" s="150"/>
      <c r="K64" s="287"/>
      <c r="L64" s="290" t="s">
        <v>104</v>
      </c>
      <c r="M64" s="256"/>
      <c r="N64" s="284"/>
    </row>
    <row r="65" spans="1:14" ht="13.9" customHeight="1" x14ac:dyDescent="0.3">
      <c r="A65" s="207"/>
      <c r="B65" s="202"/>
      <c r="C65" s="4" t="s">
        <v>58</v>
      </c>
      <c r="D65" s="54" t="s">
        <v>145</v>
      </c>
      <c r="E65" s="6">
        <v>4</v>
      </c>
      <c r="F65" s="19">
        <v>3</v>
      </c>
      <c r="G65" s="22"/>
      <c r="H65" s="23"/>
      <c r="I65" s="22"/>
      <c r="J65" s="23"/>
      <c r="K65" s="287"/>
      <c r="L65" s="301"/>
      <c r="M65" s="256"/>
      <c r="N65" s="284"/>
    </row>
    <row r="66" spans="1:14" ht="17.45" customHeight="1" x14ac:dyDescent="0.3">
      <c r="A66" s="207"/>
      <c r="B66" s="201" t="s">
        <v>29</v>
      </c>
      <c r="C66" s="4" t="s">
        <v>22</v>
      </c>
      <c r="D66" s="54" t="s">
        <v>119</v>
      </c>
      <c r="E66" s="6">
        <v>4</v>
      </c>
      <c r="F66" s="19">
        <v>3</v>
      </c>
      <c r="G66" s="22"/>
      <c r="H66" s="23"/>
      <c r="I66" s="22"/>
      <c r="J66" s="23"/>
      <c r="K66" s="287"/>
      <c r="L66" s="301"/>
      <c r="M66" s="256"/>
      <c r="N66" s="284"/>
    </row>
    <row r="67" spans="1:14" ht="17.45" customHeight="1" x14ac:dyDescent="0.3">
      <c r="A67" s="207"/>
      <c r="B67" s="202"/>
      <c r="C67" s="4" t="s">
        <v>42</v>
      </c>
      <c r="D67" s="55" t="s">
        <v>130</v>
      </c>
      <c r="E67" s="6">
        <v>4</v>
      </c>
      <c r="F67" s="19">
        <v>3</v>
      </c>
      <c r="G67" s="22"/>
      <c r="H67" s="23"/>
      <c r="I67" s="22"/>
      <c r="J67" s="23"/>
      <c r="K67" s="287"/>
      <c r="L67" s="301"/>
      <c r="M67" s="256"/>
      <c r="N67" s="284"/>
    </row>
    <row r="68" spans="1:14" ht="17.45" customHeight="1" x14ac:dyDescent="0.3">
      <c r="A68" s="207"/>
      <c r="B68" s="201" t="s">
        <v>90</v>
      </c>
      <c r="C68" s="4" t="s">
        <v>22</v>
      </c>
      <c r="D68" s="55" t="s">
        <v>162</v>
      </c>
      <c r="E68" s="6">
        <v>4</v>
      </c>
      <c r="F68" s="19">
        <v>3</v>
      </c>
      <c r="G68" s="22"/>
      <c r="H68" s="23"/>
      <c r="I68" s="22"/>
      <c r="J68" s="23"/>
      <c r="K68" s="287"/>
      <c r="L68" s="301"/>
      <c r="M68" s="256"/>
      <c r="N68" s="284"/>
    </row>
    <row r="69" spans="1:14" x14ac:dyDescent="0.3">
      <c r="A69" s="207"/>
      <c r="B69" s="202"/>
      <c r="C69" s="4" t="s">
        <v>72</v>
      </c>
      <c r="D69" s="56" t="s">
        <v>164</v>
      </c>
      <c r="E69" s="6">
        <v>4</v>
      </c>
      <c r="F69" s="19">
        <v>3</v>
      </c>
      <c r="G69" s="22"/>
      <c r="H69" s="23"/>
      <c r="I69" s="22"/>
      <c r="J69" s="23"/>
      <c r="K69" s="287"/>
      <c r="L69" s="301"/>
      <c r="M69" s="256"/>
      <c r="N69" s="284"/>
    </row>
    <row r="70" spans="1:14" ht="25.5" x14ac:dyDescent="0.3">
      <c r="A70" s="207"/>
      <c r="B70" s="10" t="s">
        <v>31</v>
      </c>
      <c r="C70" s="10" t="s">
        <v>72</v>
      </c>
      <c r="D70" s="85" t="s">
        <v>111</v>
      </c>
      <c r="E70" s="13">
        <v>4</v>
      </c>
      <c r="F70" s="28">
        <v>3</v>
      </c>
      <c r="G70" s="79"/>
      <c r="H70" s="80"/>
      <c r="I70" s="79"/>
      <c r="J70" s="80"/>
      <c r="K70" s="287"/>
      <c r="L70" s="301"/>
      <c r="M70" s="256"/>
      <c r="N70" s="284"/>
    </row>
    <row r="71" spans="1:14" ht="18" customHeight="1" thickBot="1" x14ac:dyDescent="0.35">
      <c r="A71" s="207"/>
      <c r="B71" s="17" t="s">
        <v>100</v>
      </c>
      <c r="C71" s="17" t="s">
        <v>58</v>
      </c>
      <c r="D71" s="57" t="s">
        <v>114</v>
      </c>
      <c r="E71" s="18">
        <v>4</v>
      </c>
      <c r="F71" s="20">
        <v>3</v>
      </c>
      <c r="G71" s="26"/>
      <c r="H71" s="27"/>
      <c r="I71" s="26"/>
      <c r="J71" s="27"/>
      <c r="K71" s="288"/>
      <c r="L71" s="302"/>
      <c r="M71" s="257"/>
      <c r="N71" s="285"/>
    </row>
    <row r="72" spans="1:14" x14ac:dyDescent="0.3">
      <c r="A72" s="207"/>
      <c r="B72" s="202" t="s">
        <v>96</v>
      </c>
      <c r="C72" s="15" t="s">
        <v>22</v>
      </c>
      <c r="D72" s="58" t="s">
        <v>65</v>
      </c>
      <c r="E72" s="16">
        <v>3</v>
      </c>
      <c r="F72" s="21">
        <v>3</v>
      </c>
      <c r="G72" s="24"/>
      <c r="H72" s="25"/>
      <c r="I72" s="24"/>
      <c r="J72" s="25"/>
      <c r="K72" s="34" t="s">
        <v>34</v>
      </c>
      <c r="L72" s="277"/>
      <c r="M72" s="278">
        <v>3</v>
      </c>
      <c r="N72" s="283"/>
    </row>
    <row r="73" spans="1:14" ht="15" thickBot="1" x14ac:dyDescent="0.35">
      <c r="A73" s="207"/>
      <c r="B73" s="241"/>
      <c r="C73" s="17" t="s">
        <v>22</v>
      </c>
      <c r="D73" s="59" t="s">
        <v>36</v>
      </c>
      <c r="E73" s="18">
        <v>3</v>
      </c>
      <c r="F73" s="20">
        <v>3</v>
      </c>
      <c r="G73" s="26"/>
      <c r="H73" s="27"/>
      <c r="I73" s="26"/>
      <c r="J73" s="27"/>
      <c r="K73" s="35">
        <v>3</v>
      </c>
      <c r="L73" s="277"/>
      <c r="M73" s="279"/>
      <c r="N73" s="285"/>
    </row>
    <row r="74" spans="1:14" x14ac:dyDescent="0.3">
      <c r="A74" s="207"/>
      <c r="B74" s="241"/>
      <c r="C74" s="15" t="s">
        <v>22</v>
      </c>
      <c r="D74" s="60" t="s">
        <v>73</v>
      </c>
      <c r="E74" s="16">
        <v>3</v>
      </c>
      <c r="F74" s="21">
        <v>3</v>
      </c>
      <c r="G74" s="24"/>
      <c r="H74" s="25"/>
      <c r="I74" s="24"/>
      <c r="J74" s="25"/>
      <c r="K74" s="280"/>
      <c r="L74" s="36" t="s">
        <v>34</v>
      </c>
      <c r="M74" s="282">
        <v>3</v>
      </c>
      <c r="N74" s="284"/>
    </row>
    <row r="75" spans="1:14" ht="15" thickBot="1" x14ac:dyDescent="0.35">
      <c r="A75" s="275"/>
      <c r="B75" s="274"/>
      <c r="C75" s="74" t="s">
        <v>22</v>
      </c>
      <c r="D75" s="119" t="s">
        <v>75</v>
      </c>
      <c r="E75" s="76">
        <v>3</v>
      </c>
      <c r="F75" s="100">
        <v>3</v>
      </c>
      <c r="G75" s="115"/>
      <c r="H75" s="120"/>
      <c r="I75" s="115"/>
      <c r="J75" s="120"/>
      <c r="K75" s="281"/>
      <c r="L75" s="121">
        <v>3</v>
      </c>
      <c r="M75" s="254"/>
      <c r="N75" s="285"/>
    </row>
    <row r="76" spans="1:14" x14ac:dyDescent="0.3">
      <c r="A76" s="263" t="s">
        <v>39</v>
      </c>
      <c r="B76" s="264"/>
      <c r="C76" s="264"/>
      <c r="D76" s="264"/>
      <c r="E76" s="264"/>
      <c r="F76" s="265"/>
      <c r="G76" s="122">
        <v>30</v>
      </c>
      <c r="H76" s="8">
        <v>30</v>
      </c>
      <c r="I76" s="8">
        <v>31</v>
      </c>
      <c r="J76" s="8">
        <v>31</v>
      </c>
      <c r="K76" s="8">
        <v>26</v>
      </c>
      <c r="L76" s="8">
        <v>26</v>
      </c>
      <c r="M76" s="116">
        <f>SUM(G76:L76)</f>
        <v>174</v>
      </c>
      <c r="N76" s="117">
        <f>SUM(N5:N33)</f>
        <v>84</v>
      </c>
    </row>
    <row r="77" spans="1:14" x14ac:dyDescent="0.3">
      <c r="A77" s="266" t="s">
        <v>23</v>
      </c>
      <c r="B77" s="210"/>
      <c r="C77" s="210"/>
      <c r="D77" s="210"/>
      <c r="E77" s="210"/>
      <c r="F77" s="267"/>
      <c r="G77" s="123">
        <v>3</v>
      </c>
      <c r="H77" s="7">
        <v>3</v>
      </c>
      <c r="I77" s="7">
        <v>3</v>
      </c>
      <c r="J77" s="7">
        <v>3</v>
      </c>
      <c r="K77" s="7">
        <v>3</v>
      </c>
      <c r="L77" s="7">
        <v>3</v>
      </c>
      <c r="M77" s="9">
        <f>SUM(G77:L77)</f>
        <v>18</v>
      </c>
      <c r="N77" s="97">
        <v>18</v>
      </c>
    </row>
    <row r="78" spans="1:14" ht="15" thickBot="1" x14ac:dyDescent="0.35">
      <c r="A78" s="268" t="s">
        <v>40</v>
      </c>
      <c r="B78" s="269"/>
      <c r="C78" s="269"/>
      <c r="D78" s="269"/>
      <c r="E78" s="269"/>
      <c r="F78" s="270"/>
      <c r="G78" s="124">
        <f t="shared" ref="G78:L78" si="0">G76+G77</f>
        <v>33</v>
      </c>
      <c r="H78" s="82">
        <f t="shared" si="0"/>
        <v>33</v>
      </c>
      <c r="I78" s="82">
        <f t="shared" si="0"/>
        <v>34</v>
      </c>
      <c r="J78" s="82">
        <f t="shared" si="0"/>
        <v>34</v>
      </c>
      <c r="K78" s="82">
        <f t="shared" si="0"/>
        <v>29</v>
      </c>
      <c r="L78" s="82">
        <f t="shared" si="0"/>
        <v>29</v>
      </c>
      <c r="M78" s="98">
        <f>SUM(G78:L78)</f>
        <v>192</v>
      </c>
      <c r="N78" s="99"/>
    </row>
  </sheetData>
  <mergeCells count="81">
    <mergeCell ref="A76:F76"/>
    <mergeCell ref="A77:F77"/>
    <mergeCell ref="A78:F78"/>
    <mergeCell ref="B49:B50"/>
    <mergeCell ref="B51:B52"/>
    <mergeCell ref="B72:B75"/>
    <mergeCell ref="A34:A75"/>
    <mergeCell ref="B41:B42"/>
    <mergeCell ref="B58:B60"/>
    <mergeCell ref="L72:L73"/>
    <mergeCell ref="M72:M73"/>
    <mergeCell ref="N72:N73"/>
    <mergeCell ref="K74:K75"/>
    <mergeCell ref="M74:M75"/>
    <mergeCell ref="N74:N75"/>
    <mergeCell ref="M41:M48"/>
    <mergeCell ref="K63:K71"/>
    <mergeCell ref="M63:M71"/>
    <mergeCell ref="N63:N71"/>
    <mergeCell ref="B64:B65"/>
    <mergeCell ref="L64:L71"/>
    <mergeCell ref="B66:B67"/>
    <mergeCell ref="B68:B69"/>
    <mergeCell ref="B44:B45"/>
    <mergeCell ref="B46:B47"/>
    <mergeCell ref="M49:M52"/>
    <mergeCell ref="B53:B54"/>
    <mergeCell ref="L53:L62"/>
    <mergeCell ref="M53:M62"/>
    <mergeCell ref="K54:K62"/>
    <mergeCell ref="B56:B57"/>
    <mergeCell ref="N41:N48"/>
    <mergeCell ref="B28:B29"/>
    <mergeCell ref="G28:G29"/>
    <mergeCell ref="H28:H29"/>
    <mergeCell ref="M28:M29"/>
    <mergeCell ref="N28:N29"/>
    <mergeCell ref="B30:B32"/>
    <mergeCell ref="M30:M32"/>
    <mergeCell ref="N30:N33"/>
    <mergeCell ref="J34:J40"/>
    <mergeCell ref="M34:M40"/>
    <mergeCell ref="N34:N40"/>
    <mergeCell ref="I35:I40"/>
    <mergeCell ref="B36:B37"/>
    <mergeCell ref="B38:B39"/>
    <mergeCell ref="J42:J48"/>
    <mergeCell ref="B18:B21"/>
    <mergeCell ref="M18:M21"/>
    <mergeCell ref="N18:N21"/>
    <mergeCell ref="B22:B27"/>
    <mergeCell ref="M22:M27"/>
    <mergeCell ref="N22:N27"/>
    <mergeCell ref="A5:A33"/>
    <mergeCell ref="B5:B6"/>
    <mergeCell ref="M5:M6"/>
    <mergeCell ref="N5:N6"/>
    <mergeCell ref="B7:B11"/>
    <mergeCell ref="M7:M11"/>
    <mergeCell ref="N7:N11"/>
    <mergeCell ref="B12:B13"/>
    <mergeCell ref="B16:B17"/>
    <mergeCell ref="M16:M17"/>
    <mergeCell ref="N16:N17"/>
    <mergeCell ref="M12:M13"/>
    <mergeCell ref="N12:N13"/>
    <mergeCell ref="B14:B15"/>
    <mergeCell ref="M14:M15"/>
    <mergeCell ref="N14:N15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rintOptions horizontalCentered="1"/>
  <pageMargins left="0.25" right="0.25" top="0.75" bottom="0.75" header="0.3" footer="0.3"/>
  <pageSetup paperSize="12" scale="81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D343-7965-4333-8E41-FCB000F7565C}">
  <sheetPr>
    <tabColor rgb="FFFFC000"/>
    <pageSetUpPr fitToPage="1"/>
  </sheetPr>
  <dimension ref="A1:N76"/>
  <sheetViews>
    <sheetView zoomScale="115" zoomScaleNormal="115" workbookViewId="0">
      <pane xSplit="1" ySplit="4" topLeftCell="B17" activePane="bottomRight" state="frozen"/>
      <selection activeCell="F47" sqref="F47"/>
      <selection pane="topRight" activeCell="F47" sqref="F47"/>
      <selection pane="bottomLeft" activeCell="F47" sqref="F47"/>
      <selection pane="bottomRight" activeCell="E20" sqref="E20"/>
    </sheetView>
  </sheetViews>
  <sheetFormatPr defaultColWidth="9" defaultRowHeight="14.25" x14ac:dyDescent="0.3"/>
  <cols>
    <col min="1" max="1" width="4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44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8</v>
      </c>
      <c r="N7" s="212">
        <v>8</v>
      </c>
    </row>
    <row r="8" spans="1:14" x14ac:dyDescent="0.3">
      <c r="A8" s="207"/>
      <c r="B8" s="230"/>
      <c r="C8" s="4" t="s">
        <v>172</v>
      </c>
      <c r="D8" s="41" t="s">
        <v>173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30"/>
      <c r="C9" s="4" t="s">
        <v>174</v>
      </c>
      <c r="D9" s="41" t="s">
        <v>175</v>
      </c>
      <c r="E9" s="6">
        <v>4</v>
      </c>
      <c r="F9" s="19">
        <v>4</v>
      </c>
      <c r="G9" s="22"/>
      <c r="H9" s="23"/>
      <c r="I9" s="22">
        <v>4</v>
      </c>
      <c r="J9" s="23"/>
      <c r="K9" s="22"/>
      <c r="L9" s="23"/>
      <c r="M9" s="203"/>
      <c r="N9" s="212"/>
    </row>
    <row r="10" spans="1:14" x14ac:dyDescent="0.3">
      <c r="A10" s="207"/>
      <c r="B10" s="230"/>
      <c r="C10" s="4" t="s">
        <v>174</v>
      </c>
      <c r="D10" s="41" t="s">
        <v>176</v>
      </c>
      <c r="E10" s="6">
        <v>4</v>
      </c>
      <c r="F10" s="19">
        <v>4</v>
      </c>
      <c r="G10" s="22"/>
      <c r="H10" s="23"/>
      <c r="I10" s="22"/>
      <c r="J10" s="23">
        <v>4</v>
      </c>
      <c r="K10" s="22"/>
      <c r="L10" s="23"/>
      <c r="M10" s="203"/>
      <c r="N10" s="212"/>
    </row>
    <row r="11" spans="1:14" x14ac:dyDescent="0.3">
      <c r="A11" s="207"/>
      <c r="B11" s="202"/>
      <c r="C11" s="4" t="s">
        <v>174</v>
      </c>
      <c r="D11" s="41" t="s">
        <v>178</v>
      </c>
      <c r="E11" s="6">
        <v>4</v>
      </c>
      <c r="F11" s="19">
        <v>4</v>
      </c>
      <c r="G11" s="22"/>
      <c r="H11" s="23"/>
      <c r="I11" s="22"/>
      <c r="J11" s="23">
        <v>4</v>
      </c>
      <c r="K11" s="22"/>
      <c r="L11" s="23"/>
      <c r="M11" s="203"/>
      <c r="N11" s="212"/>
    </row>
    <row r="12" spans="1:14" x14ac:dyDescent="0.3">
      <c r="A12" s="207"/>
      <c r="B12" s="201" t="s">
        <v>15</v>
      </c>
      <c r="C12" s="4" t="s">
        <v>12</v>
      </c>
      <c r="D12" s="41" t="s">
        <v>49</v>
      </c>
      <c r="E12" s="6">
        <v>4</v>
      </c>
      <c r="F12" s="19">
        <v>4</v>
      </c>
      <c r="G12" s="22">
        <v>4</v>
      </c>
      <c r="H12" s="23"/>
      <c r="I12" s="22"/>
      <c r="J12" s="23"/>
      <c r="K12" s="22"/>
      <c r="L12" s="23"/>
      <c r="M12" s="203">
        <v>8</v>
      </c>
      <c r="N12" s="212">
        <v>8</v>
      </c>
    </row>
    <row r="13" spans="1:14" x14ac:dyDescent="0.3">
      <c r="A13" s="207"/>
      <c r="B13" s="202"/>
      <c r="C13" s="4" t="s">
        <v>12</v>
      </c>
      <c r="D13" s="41" t="s">
        <v>50</v>
      </c>
      <c r="E13" s="6">
        <v>4</v>
      </c>
      <c r="F13" s="19">
        <v>4</v>
      </c>
      <c r="G13" s="22"/>
      <c r="H13" s="23">
        <v>4</v>
      </c>
      <c r="I13" s="22"/>
      <c r="J13" s="23"/>
      <c r="K13" s="22"/>
      <c r="L13" s="23"/>
      <c r="M13" s="203"/>
      <c r="N13" s="212"/>
    </row>
    <row r="14" spans="1:14" x14ac:dyDescent="0.3">
      <c r="A14" s="207"/>
      <c r="B14" s="213" t="s">
        <v>16</v>
      </c>
      <c r="C14" s="4" t="s">
        <v>12</v>
      </c>
      <c r="D14" s="41" t="s">
        <v>51</v>
      </c>
      <c r="E14" s="6">
        <v>3</v>
      </c>
      <c r="F14" s="19">
        <v>3</v>
      </c>
      <c r="G14" s="22">
        <v>3</v>
      </c>
      <c r="H14" s="23"/>
      <c r="I14" s="22"/>
      <c r="J14" s="23"/>
      <c r="K14" s="22"/>
      <c r="L14" s="23"/>
      <c r="M14" s="203">
        <v>6</v>
      </c>
      <c r="N14" s="212">
        <v>6</v>
      </c>
    </row>
    <row r="15" spans="1:14" x14ac:dyDescent="0.3">
      <c r="A15" s="207"/>
      <c r="B15" s="214"/>
      <c r="C15" s="4" t="s">
        <v>12</v>
      </c>
      <c r="D15" s="41" t="s">
        <v>52</v>
      </c>
      <c r="E15" s="6">
        <v>3</v>
      </c>
      <c r="F15" s="19">
        <v>3</v>
      </c>
      <c r="G15" s="29"/>
      <c r="H15" s="23">
        <v>3</v>
      </c>
      <c r="I15" s="22"/>
      <c r="J15" s="23"/>
      <c r="K15" s="22"/>
      <c r="L15" s="23"/>
      <c r="M15" s="203"/>
      <c r="N15" s="212"/>
    </row>
    <row r="16" spans="1:14" x14ac:dyDescent="0.3">
      <c r="A16" s="207"/>
      <c r="B16" s="201" t="s">
        <v>90</v>
      </c>
      <c r="C16" s="4" t="s">
        <v>12</v>
      </c>
      <c r="D16" s="41" t="s">
        <v>53</v>
      </c>
      <c r="E16" s="6">
        <v>4</v>
      </c>
      <c r="F16" s="19">
        <v>4</v>
      </c>
      <c r="G16" s="29">
        <v>4</v>
      </c>
      <c r="H16" s="23"/>
      <c r="I16" s="22"/>
      <c r="J16" s="23"/>
      <c r="K16" s="22"/>
      <c r="L16" s="23"/>
      <c r="M16" s="203">
        <v>8</v>
      </c>
      <c r="N16" s="250">
        <v>8</v>
      </c>
    </row>
    <row r="17" spans="1:14" x14ac:dyDescent="0.3">
      <c r="A17" s="207"/>
      <c r="B17" s="202"/>
      <c r="C17" s="4" t="s">
        <v>12</v>
      </c>
      <c r="D17" s="41" t="s">
        <v>54</v>
      </c>
      <c r="E17" s="6">
        <v>4</v>
      </c>
      <c r="F17" s="19">
        <v>4</v>
      </c>
      <c r="G17" s="29"/>
      <c r="H17" s="23">
        <v>4</v>
      </c>
      <c r="I17" s="22"/>
      <c r="J17" s="23"/>
      <c r="K17" s="22"/>
      <c r="L17" s="23"/>
      <c r="M17" s="203"/>
      <c r="N17" s="250"/>
    </row>
    <row r="18" spans="1:14" x14ac:dyDescent="0.3">
      <c r="A18" s="207"/>
      <c r="B18" s="201" t="s">
        <v>95</v>
      </c>
      <c r="C18" s="4" t="s">
        <v>12</v>
      </c>
      <c r="D18" s="42" t="s">
        <v>55</v>
      </c>
      <c r="E18" s="6">
        <v>4</v>
      </c>
      <c r="F18" s="19">
        <v>4</v>
      </c>
      <c r="G18" s="29">
        <v>4</v>
      </c>
      <c r="H18" s="23"/>
      <c r="I18" s="22"/>
      <c r="J18" s="23"/>
      <c r="K18" s="22"/>
      <c r="L18" s="23"/>
      <c r="M18" s="203">
        <v>10</v>
      </c>
      <c r="N18" s="212">
        <v>10</v>
      </c>
    </row>
    <row r="19" spans="1:14" x14ac:dyDescent="0.3">
      <c r="A19" s="207"/>
      <c r="B19" s="230"/>
      <c r="C19" s="4" t="s">
        <v>12</v>
      </c>
      <c r="D19" s="42" t="s">
        <v>56</v>
      </c>
      <c r="E19" s="6">
        <v>4</v>
      </c>
      <c r="F19" s="19">
        <v>4</v>
      </c>
      <c r="G19" s="29"/>
      <c r="H19" s="23">
        <v>4</v>
      </c>
      <c r="I19" s="22"/>
      <c r="J19" s="23"/>
      <c r="K19" s="22"/>
      <c r="L19" s="23"/>
      <c r="M19" s="203"/>
      <c r="N19" s="212"/>
    </row>
    <row r="20" spans="1:14" x14ac:dyDescent="0.3">
      <c r="A20" s="207"/>
      <c r="B20" s="230"/>
      <c r="C20" s="4" t="s">
        <v>12</v>
      </c>
      <c r="D20" s="42" t="s">
        <v>59</v>
      </c>
      <c r="E20" s="6">
        <v>1</v>
      </c>
      <c r="F20" s="19">
        <v>1</v>
      </c>
      <c r="G20" s="29">
        <v>1</v>
      </c>
      <c r="H20" s="23"/>
      <c r="I20" s="22"/>
      <c r="J20" s="23"/>
      <c r="K20" s="22"/>
      <c r="L20" s="23"/>
      <c r="M20" s="203"/>
      <c r="N20" s="212"/>
    </row>
    <row r="21" spans="1:14" x14ac:dyDescent="0.3">
      <c r="A21" s="207"/>
      <c r="B21" s="202"/>
      <c r="C21" s="4" t="s">
        <v>12</v>
      </c>
      <c r="D21" s="42" t="s">
        <v>60</v>
      </c>
      <c r="E21" s="6">
        <v>1</v>
      </c>
      <c r="F21" s="19">
        <v>1</v>
      </c>
      <c r="G21" s="29"/>
      <c r="H21" s="23">
        <v>1</v>
      </c>
      <c r="I21" s="22"/>
      <c r="J21" s="23"/>
      <c r="K21" s="22"/>
      <c r="L21" s="23"/>
      <c r="M21" s="203"/>
      <c r="N21" s="212"/>
    </row>
    <row r="22" spans="1:14" x14ac:dyDescent="0.3">
      <c r="A22" s="207"/>
      <c r="B22" s="201" t="s">
        <v>97</v>
      </c>
      <c r="C22" s="4" t="s">
        <v>24</v>
      </c>
      <c r="D22" s="42" t="s">
        <v>70</v>
      </c>
      <c r="E22" s="6">
        <v>3</v>
      </c>
      <c r="F22" s="19">
        <v>2</v>
      </c>
      <c r="G22" s="22">
        <v>2</v>
      </c>
      <c r="H22" s="23"/>
      <c r="I22" s="22"/>
      <c r="J22" s="23"/>
      <c r="K22" s="22"/>
      <c r="L22" s="23"/>
      <c r="M22" s="203">
        <f>SUM(G22:L27)</f>
        <v>10</v>
      </c>
      <c r="N22" s="212">
        <v>10</v>
      </c>
    </row>
    <row r="23" spans="1:14" x14ac:dyDescent="0.3">
      <c r="A23" s="207"/>
      <c r="B23" s="230"/>
      <c r="C23" s="4" t="s">
        <v>24</v>
      </c>
      <c r="D23" s="42" t="s">
        <v>57</v>
      </c>
      <c r="E23" s="6">
        <v>3</v>
      </c>
      <c r="F23" s="19">
        <v>2</v>
      </c>
      <c r="G23" s="22"/>
      <c r="H23" s="23">
        <v>2</v>
      </c>
      <c r="I23" s="22"/>
      <c r="J23" s="23"/>
      <c r="K23" s="22"/>
      <c r="L23" s="23"/>
      <c r="M23" s="203"/>
      <c r="N23" s="212"/>
    </row>
    <row r="24" spans="1:14" x14ac:dyDescent="0.3">
      <c r="A24" s="207"/>
      <c r="B24" s="230"/>
      <c r="C24" s="4" t="s">
        <v>22</v>
      </c>
      <c r="D24" s="42" t="s">
        <v>69</v>
      </c>
      <c r="E24" s="6">
        <v>2</v>
      </c>
      <c r="F24" s="19">
        <v>1</v>
      </c>
      <c r="G24" s="22"/>
      <c r="H24" s="23"/>
      <c r="I24" s="22">
        <v>1</v>
      </c>
      <c r="J24" s="23"/>
      <c r="K24" s="22"/>
      <c r="L24" s="23"/>
      <c r="M24" s="203"/>
      <c r="N24" s="212"/>
    </row>
    <row r="25" spans="1:14" x14ac:dyDescent="0.3">
      <c r="A25" s="207"/>
      <c r="B25" s="230"/>
      <c r="C25" s="4" t="s">
        <v>22</v>
      </c>
      <c r="D25" s="42" t="s">
        <v>71</v>
      </c>
      <c r="E25" s="6">
        <v>2</v>
      </c>
      <c r="F25" s="19">
        <v>1</v>
      </c>
      <c r="G25" s="22"/>
      <c r="H25" s="23"/>
      <c r="I25" s="22"/>
      <c r="J25" s="23">
        <v>1</v>
      </c>
      <c r="K25" s="22"/>
      <c r="L25" s="23"/>
      <c r="M25" s="203"/>
      <c r="N25" s="212"/>
    </row>
    <row r="26" spans="1:14" x14ac:dyDescent="0.3">
      <c r="A26" s="207"/>
      <c r="B26" s="230"/>
      <c r="C26" s="4" t="s">
        <v>58</v>
      </c>
      <c r="D26" s="42" t="s">
        <v>77</v>
      </c>
      <c r="E26" s="6">
        <v>3</v>
      </c>
      <c r="F26" s="19">
        <v>2</v>
      </c>
      <c r="G26" s="22"/>
      <c r="H26" s="23"/>
      <c r="I26" s="22"/>
      <c r="J26" s="23"/>
      <c r="K26" s="22">
        <v>2</v>
      </c>
      <c r="L26" s="23"/>
      <c r="M26" s="203"/>
      <c r="N26" s="212"/>
    </row>
    <row r="27" spans="1:14" x14ac:dyDescent="0.3">
      <c r="A27" s="207"/>
      <c r="B27" s="202"/>
      <c r="C27" s="4" t="s">
        <v>58</v>
      </c>
      <c r="D27" s="42" t="s">
        <v>99</v>
      </c>
      <c r="E27" s="6">
        <v>3</v>
      </c>
      <c r="F27" s="19">
        <v>2</v>
      </c>
      <c r="G27" s="22"/>
      <c r="H27" s="23"/>
      <c r="I27" s="22"/>
      <c r="J27" s="23"/>
      <c r="K27" s="22"/>
      <c r="L27" s="23">
        <v>2</v>
      </c>
      <c r="M27" s="203"/>
      <c r="N27" s="212"/>
    </row>
    <row r="28" spans="1:14" x14ac:dyDescent="0.3">
      <c r="A28" s="207"/>
      <c r="B28" s="241" t="s">
        <v>96</v>
      </c>
      <c r="C28" s="4" t="s">
        <v>13</v>
      </c>
      <c r="D28" s="42" t="s">
        <v>19</v>
      </c>
      <c r="E28" s="6">
        <v>3</v>
      </c>
      <c r="F28" s="19">
        <v>2</v>
      </c>
      <c r="G28" s="245" t="s">
        <v>67</v>
      </c>
      <c r="H28" s="247" t="s">
        <v>67</v>
      </c>
      <c r="I28" s="22"/>
      <c r="J28" s="23"/>
      <c r="K28" s="22"/>
      <c r="L28" s="23"/>
      <c r="M28" s="203">
        <v>4</v>
      </c>
      <c r="N28" s="212">
        <v>10</v>
      </c>
    </row>
    <row r="29" spans="1:14" x14ac:dyDescent="0.3">
      <c r="A29" s="207"/>
      <c r="B29" s="241"/>
      <c r="C29" s="4" t="s">
        <v>13</v>
      </c>
      <c r="D29" s="42" t="s">
        <v>20</v>
      </c>
      <c r="E29" s="6">
        <v>3</v>
      </c>
      <c r="F29" s="19">
        <v>2</v>
      </c>
      <c r="G29" s="246"/>
      <c r="H29" s="248"/>
      <c r="I29" s="22"/>
      <c r="J29" s="23"/>
      <c r="K29" s="22"/>
      <c r="L29" s="23"/>
      <c r="M29" s="203"/>
      <c r="N29" s="212"/>
    </row>
    <row r="30" spans="1:14" x14ac:dyDescent="0.3">
      <c r="A30" s="207"/>
      <c r="B30" s="241" t="s">
        <v>93</v>
      </c>
      <c r="C30" s="4" t="s">
        <v>13</v>
      </c>
      <c r="D30" s="42" t="s">
        <v>43</v>
      </c>
      <c r="E30" s="6">
        <v>4</v>
      </c>
      <c r="F30" s="19">
        <v>3</v>
      </c>
      <c r="G30" s="30"/>
      <c r="H30" s="31"/>
      <c r="I30" s="22">
        <v>3</v>
      </c>
      <c r="J30" s="23"/>
      <c r="K30" s="22"/>
      <c r="L30" s="23"/>
      <c r="M30" s="297">
        <v>6</v>
      </c>
      <c r="N30" s="212">
        <v>16</v>
      </c>
    </row>
    <row r="31" spans="1:14" x14ac:dyDescent="0.3">
      <c r="A31" s="207"/>
      <c r="B31" s="241"/>
      <c r="C31" s="4" t="s">
        <v>42</v>
      </c>
      <c r="D31" s="42" t="s">
        <v>76</v>
      </c>
      <c r="E31" s="6">
        <v>4</v>
      </c>
      <c r="F31" s="19">
        <v>3</v>
      </c>
      <c r="G31" s="30"/>
      <c r="H31" s="31"/>
      <c r="I31" s="22"/>
      <c r="J31" s="23">
        <v>3</v>
      </c>
      <c r="K31" s="22"/>
      <c r="L31" s="23"/>
      <c r="M31" s="298"/>
      <c r="N31" s="212"/>
    </row>
    <row r="32" spans="1:14" x14ac:dyDescent="0.3">
      <c r="A32" s="207"/>
      <c r="B32" s="241" t="s">
        <v>94</v>
      </c>
      <c r="C32" s="4" t="s">
        <v>13</v>
      </c>
      <c r="D32" s="41" t="s">
        <v>68</v>
      </c>
      <c r="E32" s="6">
        <v>3</v>
      </c>
      <c r="F32" s="19">
        <v>2</v>
      </c>
      <c r="G32" s="62">
        <v>2</v>
      </c>
      <c r="H32" s="64"/>
      <c r="I32" s="22"/>
      <c r="J32" s="23"/>
      <c r="K32" s="22"/>
      <c r="L32" s="23"/>
      <c r="M32" s="203">
        <v>4</v>
      </c>
      <c r="N32" s="212"/>
    </row>
    <row r="33" spans="1:14" ht="15" thickBot="1" x14ac:dyDescent="0.35">
      <c r="A33" s="208"/>
      <c r="B33" s="244"/>
      <c r="C33" s="17" t="s">
        <v>42</v>
      </c>
      <c r="D33" s="43" t="s">
        <v>167</v>
      </c>
      <c r="E33" s="18">
        <v>3</v>
      </c>
      <c r="F33" s="20">
        <v>2</v>
      </c>
      <c r="G33" s="63"/>
      <c r="H33" s="65">
        <v>2</v>
      </c>
      <c r="I33" s="26"/>
      <c r="J33" s="27"/>
      <c r="K33" s="26"/>
      <c r="L33" s="27"/>
      <c r="M33" s="258"/>
      <c r="N33" s="217"/>
    </row>
    <row r="34" spans="1:14" x14ac:dyDescent="0.3">
      <c r="A34" s="206" t="s">
        <v>21</v>
      </c>
      <c r="B34" s="15" t="s">
        <v>27</v>
      </c>
      <c r="C34" s="15" t="s">
        <v>24</v>
      </c>
      <c r="D34" s="93" t="s">
        <v>83</v>
      </c>
      <c r="E34" s="16">
        <v>4</v>
      </c>
      <c r="F34" s="21">
        <v>4</v>
      </c>
      <c r="G34" s="101"/>
      <c r="H34" s="102"/>
      <c r="I34" s="94" t="s">
        <v>133</v>
      </c>
      <c r="J34" s="251"/>
      <c r="K34" s="101"/>
      <c r="L34" s="102"/>
      <c r="M34" s="215">
        <v>24</v>
      </c>
      <c r="N34" s="216"/>
    </row>
    <row r="35" spans="1:14" ht="17.45" customHeight="1" x14ac:dyDescent="0.3">
      <c r="A35" s="307"/>
      <c r="B35" s="10" t="s">
        <v>28</v>
      </c>
      <c r="C35" s="12" t="s">
        <v>24</v>
      </c>
      <c r="D35" s="148" t="s">
        <v>147</v>
      </c>
      <c r="E35" s="14">
        <v>4</v>
      </c>
      <c r="F35" s="39">
        <v>4</v>
      </c>
      <c r="G35" s="107"/>
      <c r="H35" s="108"/>
      <c r="I35" s="234" t="s">
        <v>81</v>
      </c>
      <c r="J35" s="299"/>
      <c r="K35" s="107"/>
      <c r="L35" s="108"/>
      <c r="M35" s="282"/>
      <c r="N35" s="300"/>
    </row>
    <row r="36" spans="1:14" ht="17.45" customHeight="1" x14ac:dyDescent="0.3">
      <c r="A36" s="207"/>
      <c r="B36" s="241" t="s">
        <v>29</v>
      </c>
      <c r="C36" s="4" t="s">
        <v>24</v>
      </c>
      <c r="D36" s="44" t="s">
        <v>87</v>
      </c>
      <c r="E36" s="6">
        <v>4</v>
      </c>
      <c r="F36" s="19">
        <v>4</v>
      </c>
      <c r="G36" s="103"/>
      <c r="H36" s="104"/>
      <c r="I36" s="235"/>
      <c r="J36" s="252"/>
      <c r="K36" s="103"/>
      <c r="L36" s="104"/>
      <c r="M36" s="203"/>
      <c r="N36" s="212"/>
    </row>
    <row r="37" spans="1:14" ht="17.45" customHeight="1" x14ac:dyDescent="0.3">
      <c r="A37" s="207"/>
      <c r="B37" s="241"/>
      <c r="C37" s="4" t="s">
        <v>22</v>
      </c>
      <c r="D37" s="45" t="s">
        <v>63</v>
      </c>
      <c r="E37" s="6">
        <v>4</v>
      </c>
      <c r="F37" s="19">
        <v>4</v>
      </c>
      <c r="G37" s="103"/>
      <c r="H37" s="104"/>
      <c r="I37" s="235"/>
      <c r="J37" s="252"/>
      <c r="K37" s="103"/>
      <c r="L37" s="104"/>
      <c r="M37" s="203"/>
      <c r="N37" s="212"/>
    </row>
    <row r="38" spans="1:14" ht="17.45" customHeight="1" x14ac:dyDescent="0.3">
      <c r="A38" s="207"/>
      <c r="B38" s="201" t="s">
        <v>30</v>
      </c>
      <c r="C38" s="4" t="s">
        <v>22</v>
      </c>
      <c r="D38" s="45" t="s">
        <v>169</v>
      </c>
      <c r="E38" s="6">
        <v>4</v>
      </c>
      <c r="F38" s="19">
        <v>4</v>
      </c>
      <c r="G38" s="103"/>
      <c r="H38" s="104"/>
      <c r="I38" s="235"/>
      <c r="J38" s="252"/>
      <c r="K38" s="103"/>
      <c r="L38" s="104"/>
      <c r="M38" s="203"/>
      <c r="N38" s="212"/>
    </row>
    <row r="39" spans="1:14" ht="17.45" customHeight="1" x14ac:dyDescent="0.3">
      <c r="A39" s="207"/>
      <c r="B39" s="202"/>
      <c r="C39" s="4" t="s">
        <v>72</v>
      </c>
      <c r="D39" s="44" t="s">
        <v>153</v>
      </c>
      <c r="E39" s="6">
        <v>4</v>
      </c>
      <c r="F39" s="19">
        <v>4</v>
      </c>
      <c r="G39" s="103"/>
      <c r="H39" s="104"/>
      <c r="I39" s="235"/>
      <c r="J39" s="252"/>
      <c r="K39" s="103"/>
      <c r="L39" s="104"/>
      <c r="M39" s="203"/>
      <c r="N39" s="212"/>
    </row>
    <row r="40" spans="1:14" ht="18" customHeight="1" thickBot="1" x14ac:dyDescent="0.35">
      <c r="A40" s="207"/>
      <c r="B40" s="74" t="s">
        <v>31</v>
      </c>
      <c r="C40" s="74" t="s">
        <v>24</v>
      </c>
      <c r="D40" s="78" t="s">
        <v>140</v>
      </c>
      <c r="E40" s="76">
        <v>4</v>
      </c>
      <c r="F40" s="77">
        <v>4</v>
      </c>
      <c r="G40" s="109"/>
      <c r="H40" s="110"/>
      <c r="I40" s="236"/>
      <c r="J40" s="253"/>
      <c r="K40" s="109"/>
      <c r="L40" s="110"/>
      <c r="M40" s="254"/>
      <c r="N40" s="259"/>
    </row>
    <row r="41" spans="1:14" x14ac:dyDescent="0.3">
      <c r="A41" s="207"/>
      <c r="B41" s="238" t="s">
        <v>91</v>
      </c>
      <c r="C41" s="12" t="s">
        <v>13</v>
      </c>
      <c r="D41" s="91" t="s">
        <v>82</v>
      </c>
      <c r="E41" s="14">
        <v>4</v>
      </c>
      <c r="F41" s="39">
        <v>4</v>
      </c>
      <c r="G41" s="107"/>
      <c r="H41" s="108"/>
      <c r="I41" s="87"/>
      <c r="J41" s="92" t="s">
        <v>179</v>
      </c>
      <c r="K41" s="112"/>
      <c r="L41" s="113"/>
      <c r="M41" s="255">
        <v>24</v>
      </c>
      <c r="N41" s="283"/>
    </row>
    <row r="42" spans="1:14" ht="13.9" customHeight="1" x14ac:dyDescent="0.3">
      <c r="A42" s="207"/>
      <c r="B42" s="214"/>
      <c r="C42" s="4" t="s">
        <v>42</v>
      </c>
      <c r="D42" s="118" t="s">
        <v>86</v>
      </c>
      <c r="E42" s="6">
        <v>4</v>
      </c>
      <c r="F42" s="19">
        <v>4</v>
      </c>
      <c r="G42" s="103"/>
      <c r="H42" s="104"/>
      <c r="I42" s="87"/>
      <c r="J42" s="260" t="s">
        <v>81</v>
      </c>
      <c r="K42" s="103"/>
      <c r="L42" s="104"/>
      <c r="M42" s="256"/>
      <c r="N42" s="284"/>
    </row>
    <row r="43" spans="1:14" x14ac:dyDescent="0.3">
      <c r="A43" s="207"/>
      <c r="B43" s="5" t="s">
        <v>92</v>
      </c>
      <c r="C43" s="4" t="s">
        <v>13</v>
      </c>
      <c r="D43" s="46" t="s">
        <v>149</v>
      </c>
      <c r="E43" s="6">
        <v>4</v>
      </c>
      <c r="F43" s="19">
        <v>4</v>
      </c>
      <c r="G43" s="103"/>
      <c r="H43" s="104"/>
      <c r="I43" s="87"/>
      <c r="J43" s="261"/>
      <c r="K43" s="103"/>
      <c r="L43" s="104"/>
      <c r="M43" s="256"/>
      <c r="N43" s="284"/>
    </row>
    <row r="44" spans="1:14" x14ac:dyDescent="0.3">
      <c r="A44" s="207"/>
      <c r="B44" s="213" t="s">
        <v>89</v>
      </c>
      <c r="C44" s="4" t="s">
        <v>24</v>
      </c>
      <c r="D44" s="46" t="s">
        <v>129</v>
      </c>
      <c r="E44" s="6">
        <v>4</v>
      </c>
      <c r="F44" s="19">
        <v>4</v>
      </c>
      <c r="G44" s="103"/>
      <c r="H44" s="104"/>
      <c r="I44" s="87"/>
      <c r="J44" s="261"/>
      <c r="K44" s="103"/>
      <c r="L44" s="104"/>
      <c r="M44" s="256"/>
      <c r="N44" s="284"/>
    </row>
    <row r="45" spans="1:14" x14ac:dyDescent="0.3">
      <c r="A45" s="207"/>
      <c r="B45" s="214"/>
      <c r="C45" s="4" t="s">
        <v>58</v>
      </c>
      <c r="D45" s="46" t="s">
        <v>120</v>
      </c>
      <c r="E45" s="6">
        <v>4</v>
      </c>
      <c r="F45" s="19">
        <v>4</v>
      </c>
      <c r="G45" s="103"/>
      <c r="H45" s="104"/>
      <c r="I45" s="87"/>
      <c r="J45" s="261"/>
      <c r="K45" s="103"/>
      <c r="L45" s="104"/>
      <c r="M45" s="256"/>
      <c r="N45" s="284"/>
    </row>
    <row r="46" spans="1:14" x14ac:dyDescent="0.3">
      <c r="A46" s="207"/>
      <c r="B46" s="213" t="s">
        <v>90</v>
      </c>
      <c r="C46" s="4" t="s">
        <v>24</v>
      </c>
      <c r="D46" s="46" t="s">
        <v>155</v>
      </c>
      <c r="E46" s="6">
        <v>4</v>
      </c>
      <c r="F46" s="19">
        <v>4</v>
      </c>
      <c r="G46" s="103"/>
      <c r="H46" s="104"/>
      <c r="I46" s="87"/>
      <c r="J46" s="261"/>
      <c r="K46" s="103"/>
      <c r="L46" s="104"/>
      <c r="M46" s="256"/>
      <c r="N46" s="284"/>
    </row>
    <row r="47" spans="1:14" x14ac:dyDescent="0.3">
      <c r="A47" s="207"/>
      <c r="B47" s="214"/>
      <c r="C47" s="4" t="s">
        <v>22</v>
      </c>
      <c r="D47" s="46" t="s">
        <v>170</v>
      </c>
      <c r="E47" s="6">
        <v>4</v>
      </c>
      <c r="F47" s="72">
        <v>4</v>
      </c>
      <c r="G47" s="103"/>
      <c r="H47" s="104"/>
      <c r="I47" s="87"/>
      <c r="J47" s="261"/>
      <c r="K47" s="103"/>
      <c r="L47" s="104"/>
      <c r="M47" s="256"/>
      <c r="N47" s="284"/>
    </row>
    <row r="48" spans="1:14" ht="25.5" x14ac:dyDescent="0.3">
      <c r="A48" s="207"/>
      <c r="B48" s="73" t="s">
        <v>95</v>
      </c>
      <c r="C48" s="74" t="s">
        <v>13</v>
      </c>
      <c r="D48" s="75" t="s">
        <v>142</v>
      </c>
      <c r="E48" s="76">
        <v>4</v>
      </c>
      <c r="F48" s="77">
        <v>4</v>
      </c>
      <c r="G48" s="109"/>
      <c r="H48" s="110"/>
      <c r="I48" s="90"/>
      <c r="J48" s="262"/>
      <c r="K48" s="109"/>
      <c r="L48" s="110"/>
      <c r="M48" s="257"/>
      <c r="N48" s="285"/>
    </row>
    <row r="49" spans="1:14" x14ac:dyDescent="0.3">
      <c r="A49" s="207"/>
      <c r="B49" s="68" t="s">
        <v>32</v>
      </c>
      <c r="C49" s="61" t="s">
        <v>72</v>
      </c>
      <c r="D49" s="69" t="s">
        <v>102</v>
      </c>
      <c r="E49" s="70">
        <v>4</v>
      </c>
      <c r="F49" s="71">
        <v>3</v>
      </c>
      <c r="G49" s="107"/>
      <c r="H49" s="108"/>
      <c r="I49" s="89" t="s">
        <v>34</v>
      </c>
      <c r="J49" s="67" t="s">
        <v>34</v>
      </c>
      <c r="K49" s="107"/>
      <c r="L49" s="108"/>
      <c r="M49" s="256">
        <v>6</v>
      </c>
      <c r="N49" s="95"/>
    </row>
    <row r="50" spans="1:14" ht="15" thickBot="1" x14ac:dyDescent="0.35">
      <c r="A50" s="207"/>
      <c r="B50" s="5" t="s">
        <v>101</v>
      </c>
      <c r="C50" s="10" t="s">
        <v>22</v>
      </c>
      <c r="D50" s="66" t="s">
        <v>115</v>
      </c>
      <c r="E50" s="13">
        <v>3</v>
      </c>
      <c r="F50" s="28">
        <v>3</v>
      </c>
      <c r="G50" s="105"/>
      <c r="H50" s="106"/>
      <c r="I50" s="88">
        <v>3</v>
      </c>
      <c r="J50" s="81">
        <v>3</v>
      </c>
      <c r="K50" s="111"/>
      <c r="L50" s="110"/>
      <c r="M50" s="257"/>
      <c r="N50" s="96"/>
    </row>
    <row r="51" spans="1:14" x14ac:dyDescent="0.3">
      <c r="A51" s="207"/>
      <c r="B51" s="276" t="s">
        <v>91</v>
      </c>
      <c r="C51" s="15" t="s">
        <v>24</v>
      </c>
      <c r="D51" s="47" t="s">
        <v>61</v>
      </c>
      <c r="E51" s="16">
        <v>4</v>
      </c>
      <c r="F51" s="21">
        <v>3</v>
      </c>
      <c r="G51" s="24"/>
      <c r="H51" s="25"/>
      <c r="I51" s="24"/>
      <c r="J51" s="25"/>
      <c r="K51" s="32" t="s">
        <v>103</v>
      </c>
      <c r="L51" s="292"/>
      <c r="M51" s="255">
        <v>21</v>
      </c>
      <c r="N51" s="114"/>
    </row>
    <row r="52" spans="1:14" x14ac:dyDescent="0.3">
      <c r="A52" s="207"/>
      <c r="B52" s="241"/>
      <c r="C52" s="4" t="s">
        <v>42</v>
      </c>
      <c r="D52" s="48" t="s">
        <v>74</v>
      </c>
      <c r="E52" s="6">
        <v>4</v>
      </c>
      <c r="F52" s="19">
        <v>3</v>
      </c>
      <c r="G52" s="22"/>
      <c r="H52" s="23"/>
      <c r="I52" s="22"/>
      <c r="J52" s="23"/>
      <c r="K52" s="294" t="s">
        <v>104</v>
      </c>
      <c r="L52" s="292"/>
      <c r="M52" s="256"/>
      <c r="N52" s="95"/>
    </row>
    <row r="53" spans="1:14" x14ac:dyDescent="0.3">
      <c r="A53" s="207"/>
      <c r="B53" s="4" t="s">
        <v>92</v>
      </c>
      <c r="C53" s="4" t="s">
        <v>22</v>
      </c>
      <c r="D53" s="49" t="s">
        <v>168</v>
      </c>
      <c r="E53" s="6">
        <v>4</v>
      </c>
      <c r="F53" s="19">
        <v>3</v>
      </c>
      <c r="G53" s="22"/>
      <c r="H53" s="23"/>
      <c r="I53" s="22"/>
      <c r="J53" s="23"/>
      <c r="K53" s="303"/>
      <c r="L53" s="292"/>
      <c r="M53" s="256"/>
      <c r="N53" s="95"/>
    </row>
    <row r="54" spans="1:14" x14ac:dyDescent="0.3">
      <c r="A54" s="207"/>
      <c r="B54" s="241" t="s">
        <v>89</v>
      </c>
      <c r="C54" s="4" t="s">
        <v>24</v>
      </c>
      <c r="D54" s="50" t="s">
        <v>62</v>
      </c>
      <c r="E54" s="6">
        <v>4</v>
      </c>
      <c r="F54" s="19">
        <v>3</v>
      </c>
      <c r="G54" s="22"/>
      <c r="H54" s="23"/>
      <c r="I54" s="22"/>
      <c r="J54" s="23"/>
      <c r="K54" s="303"/>
      <c r="L54" s="292"/>
      <c r="M54" s="256"/>
      <c r="N54" s="95"/>
    </row>
    <row r="55" spans="1:14" x14ac:dyDescent="0.3">
      <c r="A55" s="207"/>
      <c r="B55" s="241"/>
      <c r="C55" s="4" t="s">
        <v>22</v>
      </c>
      <c r="D55" s="50" t="s">
        <v>80</v>
      </c>
      <c r="E55" s="6">
        <v>4</v>
      </c>
      <c r="F55" s="19">
        <v>3</v>
      </c>
      <c r="G55" s="22"/>
      <c r="H55" s="23"/>
      <c r="I55" s="22"/>
      <c r="J55" s="23"/>
      <c r="K55" s="303"/>
      <c r="L55" s="292"/>
      <c r="M55" s="256"/>
      <c r="N55" s="95"/>
    </row>
    <row r="56" spans="1:14" x14ac:dyDescent="0.3">
      <c r="A56" s="207"/>
      <c r="B56" s="201" t="s">
        <v>90</v>
      </c>
      <c r="C56" s="4" t="s">
        <v>24</v>
      </c>
      <c r="D56" s="51" t="s">
        <v>166</v>
      </c>
      <c r="E56" s="6">
        <v>4</v>
      </c>
      <c r="F56" s="19">
        <v>3</v>
      </c>
      <c r="G56" s="22"/>
      <c r="H56" s="23"/>
      <c r="I56" s="22"/>
      <c r="J56" s="23"/>
      <c r="K56" s="303"/>
      <c r="L56" s="292"/>
      <c r="M56" s="256"/>
      <c r="N56" s="95"/>
    </row>
    <row r="57" spans="1:14" x14ac:dyDescent="0.3">
      <c r="A57" s="207"/>
      <c r="B57" s="230"/>
      <c r="C57" s="4" t="s">
        <v>22</v>
      </c>
      <c r="D57" s="51" t="s">
        <v>157</v>
      </c>
      <c r="E57" s="6">
        <v>4</v>
      </c>
      <c r="F57" s="19">
        <v>3</v>
      </c>
      <c r="G57" s="22"/>
      <c r="H57" s="23"/>
      <c r="I57" s="22"/>
      <c r="J57" s="23"/>
      <c r="K57" s="303"/>
      <c r="L57" s="292"/>
      <c r="M57" s="256"/>
      <c r="N57" s="95"/>
    </row>
    <row r="58" spans="1:14" ht="17.45" customHeight="1" x14ac:dyDescent="0.3">
      <c r="A58" s="207"/>
      <c r="B58" s="230"/>
      <c r="C58" s="4" t="s">
        <v>72</v>
      </c>
      <c r="D58" s="51" t="s">
        <v>159</v>
      </c>
      <c r="E58" s="6">
        <v>4</v>
      </c>
      <c r="F58" s="19">
        <v>3</v>
      </c>
      <c r="G58" s="22"/>
      <c r="H58" s="23"/>
      <c r="I58" s="22"/>
      <c r="J58" s="23"/>
      <c r="K58" s="303"/>
      <c r="L58" s="292"/>
      <c r="M58" s="256"/>
      <c r="N58" s="95"/>
    </row>
    <row r="59" spans="1:14" ht="25.5" x14ac:dyDescent="0.3">
      <c r="A59" s="207"/>
      <c r="B59" s="10" t="s">
        <v>31</v>
      </c>
      <c r="C59" s="10" t="s">
        <v>22</v>
      </c>
      <c r="D59" s="83" t="s">
        <v>144</v>
      </c>
      <c r="E59" s="13">
        <v>4</v>
      </c>
      <c r="F59" s="28">
        <v>3</v>
      </c>
      <c r="G59" s="79"/>
      <c r="H59" s="80"/>
      <c r="I59" s="79"/>
      <c r="J59" s="80"/>
      <c r="K59" s="303"/>
      <c r="L59" s="292"/>
      <c r="M59" s="256"/>
      <c r="N59" s="95"/>
    </row>
    <row r="60" spans="1:14" ht="18" customHeight="1" thickBot="1" x14ac:dyDescent="0.35">
      <c r="A60" s="207"/>
      <c r="B60" s="17" t="s">
        <v>93</v>
      </c>
      <c r="C60" s="17" t="s">
        <v>22</v>
      </c>
      <c r="D60" s="52" t="s">
        <v>108</v>
      </c>
      <c r="E60" s="18">
        <v>4</v>
      </c>
      <c r="F60" s="20">
        <v>3</v>
      </c>
      <c r="G60" s="26"/>
      <c r="H60" s="27"/>
      <c r="I60" s="26"/>
      <c r="J60" s="27"/>
      <c r="K60" s="304"/>
      <c r="L60" s="293"/>
      <c r="M60" s="257"/>
      <c r="N60" s="96"/>
    </row>
    <row r="61" spans="1:14" x14ac:dyDescent="0.3">
      <c r="A61" s="207"/>
      <c r="B61" s="15" t="s">
        <v>91</v>
      </c>
      <c r="C61" s="15" t="s">
        <v>72</v>
      </c>
      <c r="D61" s="53" t="s">
        <v>79</v>
      </c>
      <c r="E61" s="16">
        <v>4</v>
      </c>
      <c r="F61" s="21">
        <v>3</v>
      </c>
      <c r="G61" s="24"/>
      <c r="H61" s="25"/>
      <c r="I61" s="24"/>
      <c r="J61" s="25"/>
      <c r="K61" s="286"/>
      <c r="L61" s="33" t="s">
        <v>103</v>
      </c>
      <c r="M61" s="255">
        <v>21</v>
      </c>
      <c r="N61" s="283"/>
    </row>
    <row r="62" spans="1:14" x14ac:dyDescent="0.3">
      <c r="A62" s="207"/>
      <c r="B62" s="201" t="s">
        <v>92</v>
      </c>
      <c r="C62" s="12" t="s">
        <v>42</v>
      </c>
      <c r="D62" s="149" t="s">
        <v>150</v>
      </c>
      <c r="E62" s="14">
        <v>4</v>
      </c>
      <c r="F62" s="39">
        <v>3</v>
      </c>
      <c r="G62" s="126"/>
      <c r="H62" s="150"/>
      <c r="I62" s="126"/>
      <c r="J62" s="150"/>
      <c r="K62" s="287"/>
      <c r="L62" s="290" t="s">
        <v>104</v>
      </c>
      <c r="M62" s="256"/>
      <c r="N62" s="284"/>
    </row>
    <row r="63" spans="1:14" ht="13.9" customHeight="1" x14ac:dyDescent="0.3">
      <c r="A63" s="207"/>
      <c r="B63" s="202"/>
      <c r="C63" s="4" t="s">
        <v>58</v>
      </c>
      <c r="D63" s="54" t="s">
        <v>145</v>
      </c>
      <c r="E63" s="6">
        <v>4</v>
      </c>
      <c r="F63" s="19">
        <v>3</v>
      </c>
      <c r="G63" s="22"/>
      <c r="H63" s="23"/>
      <c r="I63" s="22"/>
      <c r="J63" s="23"/>
      <c r="K63" s="287"/>
      <c r="L63" s="301"/>
      <c r="M63" s="256"/>
      <c r="N63" s="284"/>
    </row>
    <row r="64" spans="1:14" ht="17.45" customHeight="1" x14ac:dyDescent="0.3">
      <c r="A64" s="207"/>
      <c r="B64" s="201" t="s">
        <v>29</v>
      </c>
      <c r="C64" s="4" t="s">
        <v>22</v>
      </c>
      <c r="D64" s="54" t="s">
        <v>119</v>
      </c>
      <c r="E64" s="6">
        <v>4</v>
      </c>
      <c r="F64" s="19">
        <v>3</v>
      </c>
      <c r="G64" s="22"/>
      <c r="H64" s="23"/>
      <c r="I64" s="22"/>
      <c r="J64" s="23"/>
      <c r="K64" s="287"/>
      <c r="L64" s="301"/>
      <c r="M64" s="256"/>
      <c r="N64" s="284"/>
    </row>
    <row r="65" spans="1:14" ht="17.45" customHeight="1" x14ac:dyDescent="0.3">
      <c r="A65" s="207"/>
      <c r="B65" s="202"/>
      <c r="C65" s="4" t="s">
        <v>42</v>
      </c>
      <c r="D65" s="55" t="s">
        <v>130</v>
      </c>
      <c r="E65" s="6">
        <v>4</v>
      </c>
      <c r="F65" s="19">
        <v>3</v>
      </c>
      <c r="G65" s="22"/>
      <c r="H65" s="23"/>
      <c r="I65" s="22"/>
      <c r="J65" s="23"/>
      <c r="K65" s="287"/>
      <c r="L65" s="301"/>
      <c r="M65" s="256"/>
      <c r="N65" s="284"/>
    </row>
    <row r="66" spans="1:14" ht="17.45" customHeight="1" x14ac:dyDescent="0.3">
      <c r="A66" s="207"/>
      <c r="B66" s="201" t="s">
        <v>90</v>
      </c>
      <c r="C66" s="4" t="s">
        <v>22</v>
      </c>
      <c r="D66" s="55" t="s">
        <v>162</v>
      </c>
      <c r="E66" s="6">
        <v>4</v>
      </c>
      <c r="F66" s="19">
        <v>3</v>
      </c>
      <c r="G66" s="22"/>
      <c r="H66" s="23"/>
      <c r="I66" s="22"/>
      <c r="J66" s="23"/>
      <c r="K66" s="287"/>
      <c r="L66" s="301"/>
      <c r="M66" s="256"/>
      <c r="N66" s="284"/>
    </row>
    <row r="67" spans="1:14" x14ac:dyDescent="0.3">
      <c r="A67" s="207"/>
      <c r="B67" s="202"/>
      <c r="C67" s="4" t="s">
        <v>72</v>
      </c>
      <c r="D67" s="56" t="s">
        <v>164</v>
      </c>
      <c r="E67" s="6">
        <v>4</v>
      </c>
      <c r="F67" s="19">
        <v>3</v>
      </c>
      <c r="G67" s="22"/>
      <c r="H67" s="23"/>
      <c r="I67" s="22"/>
      <c r="J67" s="23"/>
      <c r="K67" s="287"/>
      <c r="L67" s="301"/>
      <c r="M67" s="256"/>
      <c r="N67" s="284"/>
    </row>
    <row r="68" spans="1:14" ht="25.5" x14ac:dyDescent="0.3">
      <c r="A68" s="207"/>
      <c r="B68" s="10" t="s">
        <v>31</v>
      </c>
      <c r="C68" s="10" t="s">
        <v>72</v>
      </c>
      <c r="D68" s="85" t="s">
        <v>111</v>
      </c>
      <c r="E68" s="13">
        <v>4</v>
      </c>
      <c r="F68" s="28">
        <v>3</v>
      </c>
      <c r="G68" s="79"/>
      <c r="H68" s="80"/>
      <c r="I68" s="79"/>
      <c r="J68" s="80"/>
      <c r="K68" s="287"/>
      <c r="L68" s="301"/>
      <c r="M68" s="256"/>
      <c r="N68" s="284"/>
    </row>
    <row r="69" spans="1:14" ht="18" customHeight="1" thickBot="1" x14ac:dyDescent="0.35">
      <c r="A69" s="207"/>
      <c r="B69" s="17" t="s">
        <v>100</v>
      </c>
      <c r="C69" s="17" t="s">
        <v>58</v>
      </c>
      <c r="D69" s="57" t="s">
        <v>114</v>
      </c>
      <c r="E69" s="18">
        <v>4</v>
      </c>
      <c r="F69" s="20">
        <v>3</v>
      </c>
      <c r="G69" s="26"/>
      <c r="H69" s="27"/>
      <c r="I69" s="26"/>
      <c r="J69" s="27"/>
      <c r="K69" s="288"/>
      <c r="L69" s="302"/>
      <c r="M69" s="257"/>
      <c r="N69" s="285"/>
    </row>
    <row r="70" spans="1:14" x14ac:dyDescent="0.3">
      <c r="A70" s="207"/>
      <c r="B70" s="202" t="s">
        <v>96</v>
      </c>
      <c r="C70" s="15" t="s">
        <v>22</v>
      </c>
      <c r="D70" s="58" t="s">
        <v>65</v>
      </c>
      <c r="E70" s="16">
        <v>3</v>
      </c>
      <c r="F70" s="21">
        <v>3</v>
      </c>
      <c r="G70" s="24"/>
      <c r="H70" s="25"/>
      <c r="I70" s="24"/>
      <c r="J70" s="25"/>
      <c r="K70" s="34" t="s">
        <v>34</v>
      </c>
      <c r="L70" s="277"/>
      <c r="M70" s="278">
        <v>3</v>
      </c>
      <c r="N70" s="283"/>
    </row>
    <row r="71" spans="1:14" ht="15" thickBot="1" x14ac:dyDescent="0.35">
      <c r="A71" s="207"/>
      <c r="B71" s="241"/>
      <c r="C71" s="17" t="s">
        <v>22</v>
      </c>
      <c r="D71" s="59" t="s">
        <v>36</v>
      </c>
      <c r="E71" s="18">
        <v>3</v>
      </c>
      <c r="F71" s="20">
        <v>3</v>
      </c>
      <c r="G71" s="26"/>
      <c r="H71" s="27"/>
      <c r="I71" s="26"/>
      <c r="J71" s="27"/>
      <c r="K71" s="35">
        <v>3</v>
      </c>
      <c r="L71" s="277"/>
      <c r="M71" s="279"/>
      <c r="N71" s="285"/>
    </row>
    <row r="72" spans="1:14" x14ac:dyDescent="0.3">
      <c r="A72" s="207"/>
      <c r="B72" s="241"/>
      <c r="C72" s="15" t="s">
        <v>22</v>
      </c>
      <c r="D72" s="60" t="s">
        <v>73</v>
      </c>
      <c r="E72" s="16">
        <v>3</v>
      </c>
      <c r="F72" s="21">
        <v>3</v>
      </c>
      <c r="G72" s="24"/>
      <c r="H72" s="25"/>
      <c r="I72" s="24"/>
      <c r="J72" s="25"/>
      <c r="K72" s="280"/>
      <c r="L72" s="36" t="s">
        <v>34</v>
      </c>
      <c r="M72" s="282">
        <v>3</v>
      </c>
      <c r="N72" s="284"/>
    </row>
    <row r="73" spans="1:14" ht="15" thickBot="1" x14ac:dyDescent="0.35">
      <c r="A73" s="275"/>
      <c r="B73" s="274"/>
      <c r="C73" s="74" t="s">
        <v>22</v>
      </c>
      <c r="D73" s="119" t="s">
        <v>75</v>
      </c>
      <c r="E73" s="76">
        <v>3</v>
      </c>
      <c r="F73" s="100">
        <v>3</v>
      </c>
      <c r="G73" s="115"/>
      <c r="H73" s="120"/>
      <c r="I73" s="115"/>
      <c r="J73" s="120"/>
      <c r="K73" s="281"/>
      <c r="L73" s="121">
        <v>3</v>
      </c>
      <c r="M73" s="254"/>
      <c r="N73" s="285"/>
    </row>
    <row r="74" spans="1:14" x14ac:dyDescent="0.3">
      <c r="A74" s="263" t="s">
        <v>39</v>
      </c>
      <c r="B74" s="264"/>
      <c r="C74" s="264"/>
      <c r="D74" s="264"/>
      <c r="E74" s="264"/>
      <c r="F74" s="265"/>
      <c r="G74" s="122">
        <v>30</v>
      </c>
      <c r="H74" s="8">
        <v>30</v>
      </c>
      <c r="I74" s="8">
        <v>31</v>
      </c>
      <c r="J74" s="8">
        <v>31</v>
      </c>
      <c r="K74" s="8">
        <v>26</v>
      </c>
      <c r="L74" s="8">
        <v>26</v>
      </c>
      <c r="M74" s="116">
        <f>SUM(G74:L74)</f>
        <v>174</v>
      </c>
      <c r="N74" s="117">
        <f>SUM(N5:N33)</f>
        <v>84</v>
      </c>
    </row>
    <row r="75" spans="1:14" x14ac:dyDescent="0.3">
      <c r="A75" s="266" t="s">
        <v>23</v>
      </c>
      <c r="B75" s="210"/>
      <c r="C75" s="210"/>
      <c r="D75" s="210"/>
      <c r="E75" s="210"/>
      <c r="F75" s="267"/>
      <c r="G75" s="123">
        <v>3</v>
      </c>
      <c r="H75" s="7">
        <v>3</v>
      </c>
      <c r="I75" s="7">
        <v>3</v>
      </c>
      <c r="J75" s="7">
        <v>3</v>
      </c>
      <c r="K75" s="7">
        <v>3</v>
      </c>
      <c r="L75" s="7">
        <v>3</v>
      </c>
      <c r="M75" s="9">
        <f>SUM(G75:L75)</f>
        <v>18</v>
      </c>
      <c r="N75" s="97">
        <v>18</v>
      </c>
    </row>
    <row r="76" spans="1:14" ht="15" thickBot="1" x14ac:dyDescent="0.35">
      <c r="A76" s="268" t="s">
        <v>40</v>
      </c>
      <c r="B76" s="269"/>
      <c r="C76" s="269"/>
      <c r="D76" s="269"/>
      <c r="E76" s="269"/>
      <c r="F76" s="270"/>
      <c r="G76" s="124">
        <f t="shared" ref="G76:L76" si="0">G74+G75</f>
        <v>33</v>
      </c>
      <c r="H76" s="82">
        <f t="shared" si="0"/>
        <v>33</v>
      </c>
      <c r="I76" s="82">
        <f t="shared" si="0"/>
        <v>34</v>
      </c>
      <c r="J76" s="82">
        <f t="shared" si="0"/>
        <v>34</v>
      </c>
      <c r="K76" s="82">
        <f t="shared" si="0"/>
        <v>29</v>
      </c>
      <c r="L76" s="82">
        <f t="shared" si="0"/>
        <v>29</v>
      </c>
      <c r="M76" s="98">
        <f>SUM(G76:L76)</f>
        <v>192</v>
      </c>
      <c r="N76" s="99"/>
    </row>
  </sheetData>
  <mergeCells count="81">
    <mergeCell ref="A74:F74"/>
    <mergeCell ref="A75:F75"/>
    <mergeCell ref="A76:F76"/>
    <mergeCell ref="B70:B73"/>
    <mergeCell ref="L70:L71"/>
    <mergeCell ref="A34:A73"/>
    <mergeCell ref="K52:K60"/>
    <mergeCell ref="B54:B55"/>
    <mergeCell ref="B56:B58"/>
    <mergeCell ref="N72:N73"/>
    <mergeCell ref="L62:L69"/>
    <mergeCell ref="K61:K69"/>
    <mergeCell ref="M61:M69"/>
    <mergeCell ref="N61:N69"/>
    <mergeCell ref="M70:M71"/>
    <mergeCell ref="K72:K73"/>
    <mergeCell ref="M72:M73"/>
    <mergeCell ref="B30:B31"/>
    <mergeCell ref="N30:N33"/>
    <mergeCell ref="B32:B33"/>
    <mergeCell ref="M32:M33"/>
    <mergeCell ref="N70:N71"/>
    <mergeCell ref="M30:M31"/>
    <mergeCell ref="B64:B65"/>
    <mergeCell ref="B62:B63"/>
    <mergeCell ref="B66:B67"/>
    <mergeCell ref="B44:B45"/>
    <mergeCell ref="B46:B47"/>
    <mergeCell ref="M49:M50"/>
    <mergeCell ref="B51:B52"/>
    <mergeCell ref="L51:L60"/>
    <mergeCell ref="M51:M60"/>
    <mergeCell ref="J34:J40"/>
    <mergeCell ref="M34:M40"/>
    <mergeCell ref="N34:N40"/>
    <mergeCell ref="B36:B37"/>
    <mergeCell ref="B38:B39"/>
    <mergeCell ref="B41:B42"/>
    <mergeCell ref="I35:I40"/>
    <mergeCell ref="M41:M48"/>
    <mergeCell ref="N41:N48"/>
    <mergeCell ref="J42:J48"/>
    <mergeCell ref="B28:B29"/>
    <mergeCell ref="G28:G29"/>
    <mergeCell ref="H28:H29"/>
    <mergeCell ref="M28:M29"/>
    <mergeCell ref="N28:N29"/>
    <mergeCell ref="B18:B21"/>
    <mergeCell ref="M18:M21"/>
    <mergeCell ref="N18:N21"/>
    <mergeCell ref="B22:B27"/>
    <mergeCell ref="M22:M27"/>
    <mergeCell ref="N22:N27"/>
    <mergeCell ref="A5:A33"/>
    <mergeCell ref="B5:B6"/>
    <mergeCell ref="M5:M6"/>
    <mergeCell ref="N5:N6"/>
    <mergeCell ref="B7:B11"/>
    <mergeCell ref="M7:M11"/>
    <mergeCell ref="N7:N11"/>
    <mergeCell ref="B12:B13"/>
    <mergeCell ref="M12:M13"/>
    <mergeCell ref="N12:N13"/>
    <mergeCell ref="B14:B15"/>
    <mergeCell ref="M14:M15"/>
    <mergeCell ref="N14:N15"/>
    <mergeCell ref="B16:B17"/>
    <mergeCell ref="M16:M17"/>
    <mergeCell ref="N16:N17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rintOptions horizontalCentered="1"/>
  <pageMargins left="0.25" right="0.25" top="0.75" bottom="0.75" header="0.3" footer="0.3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0F0A-8CEC-4B1A-BC0B-A5E74F8AF6E9}">
  <sheetPr>
    <tabColor rgb="FFFFC000"/>
    <pageSetUpPr fitToPage="1"/>
  </sheetPr>
  <dimension ref="A1:N71"/>
  <sheetViews>
    <sheetView zoomScale="115" zoomScaleNormal="115" workbookViewId="0">
      <pane xSplit="1" ySplit="4" topLeftCell="B17" activePane="bottomRight" state="frozen"/>
      <selection activeCell="F47" sqref="F47"/>
      <selection pane="topRight" activeCell="F47" sqref="F47"/>
      <selection pane="bottomLeft" activeCell="F47" sqref="F47"/>
      <selection pane="bottomRight" activeCell="A2" sqref="A2:N2"/>
    </sheetView>
  </sheetViews>
  <sheetFormatPr defaultColWidth="9" defaultRowHeight="14.25" x14ac:dyDescent="0.3"/>
  <cols>
    <col min="1" max="1" width="4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203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8</v>
      </c>
      <c r="N7" s="212">
        <v>8</v>
      </c>
    </row>
    <row r="8" spans="1:14" x14ac:dyDescent="0.3">
      <c r="A8" s="207"/>
      <c r="B8" s="202"/>
      <c r="C8" s="4" t="s">
        <v>12</v>
      </c>
      <c r="D8" s="41" t="s">
        <v>48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01" t="s">
        <v>15</v>
      </c>
      <c r="C9" s="4" t="s">
        <v>12</v>
      </c>
      <c r="D9" s="41" t="s">
        <v>49</v>
      </c>
      <c r="E9" s="6">
        <v>4</v>
      </c>
      <c r="F9" s="19">
        <v>4</v>
      </c>
      <c r="G9" s="22">
        <v>4</v>
      </c>
      <c r="H9" s="23"/>
      <c r="I9" s="22"/>
      <c r="J9" s="23"/>
      <c r="K9" s="22"/>
      <c r="L9" s="23"/>
      <c r="M9" s="203">
        <v>8</v>
      </c>
      <c r="N9" s="212">
        <v>8</v>
      </c>
    </row>
    <row r="10" spans="1:14" x14ac:dyDescent="0.3">
      <c r="A10" s="207"/>
      <c r="B10" s="202"/>
      <c r="C10" s="4" t="s">
        <v>12</v>
      </c>
      <c r="D10" s="41" t="s">
        <v>50</v>
      </c>
      <c r="E10" s="6">
        <v>4</v>
      </c>
      <c r="F10" s="19">
        <v>4</v>
      </c>
      <c r="G10" s="22"/>
      <c r="H10" s="23">
        <v>4</v>
      </c>
      <c r="I10" s="22"/>
      <c r="J10" s="23"/>
      <c r="K10" s="22"/>
      <c r="L10" s="23"/>
      <c r="M10" s="203"/>
      <c r="N10" s="212"/>
    </row>
    <row r="11" spans="1:14" x14ac:dyDescent="0.3">
      <c r="A11" s="207"/>
      <c r="B11" s="213" t="s">
        <v>16</v>
      </c>
      <c r="C11" s="4" t="s">
        <v>12</v>
      </c>
      <c r="D11" s="41" t="s">
        <v>51</v>
      </c>
      <c r="E11" s="6">
        <v>3</v>
      </c>
      <c r="F11" s="19">
        <v>3</v>
      </c>
      <c r="G11" s="22">
        <v>3</v>
      </c>
      <c r="H11" s="23"/>
      <c r="I11" s="22"/>
      <c r="J11" s="23"/>
      <c r="K11" s="22"/>
      <c r="L11" s="23"/>
      <c r="M11" s="203">
        <v>6</v>
      </c>
      <c r="N11" s="212">
        <v>6</v>
      </c>
    </row>
    <row r="12" spans="1:14" x14ac:dyDescent="0.3">
      <c r="A12" s="207"/>
      <c r="B12" s="214"/>
      <c r="C12" s="4" t="s">
        <v>12</v>
      </c>
      <c r="D12" s="41" t="s">
        <v>52</v>
      </c>
      <c r="E12" s="6">
        <v>3</v>
      </c>
      <c r="F12" s="19">
        <v>3</v>
      </c>
      <c r="G12" s="29"/>
      <c r="H12" s="23">
        <v>3</v>
      </c>
      <c r="I12" s="22"/>
      <c r="J12" s="23"/>
      <c r="K12" s="22"/>
      <c r="L12" s="23"/>
      <c r="M12" s="203"/>
      <c r="N12" s="212"/>
    </row>
    <row r="13" spans="1:14" x14ac:dyDescent="0.3">
      <c r="A13" s="207"/>
      <c r="B13" s="201" t="s">
        <v>90</v>
      </c>
      <c r="C13" s="4" t="s">
        <v>12</v>
      </c>
      <c r="D13" s="41" t="s">
        <v>53</v>
      </c>
      <c r="E13" s="6">
        <v>4</v>
      </c>
      <c r="F13" s="19">
        <v>4</v>
      </c>
      <c r="G13" s="29">
        <v>4</v>
      </c>
      <c r="H13" s="23"/>
      <c r="I13" s="22"/>
      <c r="J13" s="23"/>
      <c r="K13" s="22"/>
      <c r="L13" s="23"/>
      <c r="M13" s="203">
        <v>8</v>
      </c>
      <c r="N13" s="250">
        <v>8</v>
      </c>
    </row>
    <row r="14" spans="1:14" x14ac:dyDescent="0.3">
      <c r="A14" s="207"/>
      <c r="B14" s="202"/>
      <c r="C14" s="4" t="s">
        <v>12</v>
      </c>
      <c r="D14" s="41" t="s">
        <v>54</v>
      </c>
      <c r="E14" s="6">
        <v>4</v>
      </c>
      <c r="F14" s="19">
        <v>4</v>
      </c>
      <c r="G14" s="29"/>
      <c r="H14" s="23">
        <v>4</v>
      </c>
      <c r="I14" s="22"/>
      <c r="J14" s="23"/>
      <c r="K14" s="22"/>
      <c r="L14" s="23"/>
      <c r="M14" s="203"/>
      <c r="N14" s="250"/>
    </row>
    <row r="15" spans="1:14" x14ac:dyDescent="0.3">
      <c r="A15" s="207"/>
      <c r="B15" s="201" t="s">
        <v>95</v>
      </c>
      <c r="C15" s="4" t="s">
        <v>12</v>
      </c>
      <c r="D15" s="42" t="s">
        <v>55</v>
      </c>
      <c r="E15" s="6">
        <v>4</v>
      </c>
      <c r="F15" s="19">
        <v>4</v>
      </c>
      <c r="G15" s="29">
        <v>4</v>
      </c>
      <c r="H15" s="23"/>
      <c r="I15" s="22"/>
      <c r="J15" s="23"/>
      <c r="K15" s="22"/>
      <c r="L15" s="23"/>
      <c r="M15" s="203">
        <v>10</v>
      </c>
      <c r="N15" s="212">
        <v>10</v>
      </c>
    </row>
    <row r="16" spans="1:14" x14ac:dyDescent="0.3">
      <c r="A16" s="207"/>
      <c r="B16" s="230"/>
      <c r="C16" s="4" t="s">
        <v>12</v>
      </c>
      <c r="D16" s="42" t="s">
        <v>56</v>
      </c>
      <c r="E16" s="6">
        <v>4</v>
      </c>
      <c r="F16" s="19">
        <v>4</v>
      </c>
      <c r="G16" s="29"/>
      <c r="H16" s="23">
        <v>4</v>
      </c>
      <c r="I16" s="22"/>
      <c r="J16" s="23"/>
      <c r="K16" s="22"/>
      <c r="L16" s="23"/>
      <c r="M16" s="203"/>
      <c r="N16" s="212"/>
    </row>
    <row r="17" spans="1:14" x14ac:dyDescent="0.3">
      <c r="A17" s="207"/>
      <c r="B17" s="230"/>
      <c r="C17" s="4" t="s">
        <v>12</v>
      </c>
      <c r="D17" s="42" t="s">
        <v>59</v>
      </c>
      <c r="E17" s="6">
        <v>1</v>
      </c>
      <c r="F17" s="19">
        <v>1</v>
      </c>
      <c r="G17" s="29">
        <v>1</v>
      </c>
      <c r="H17" s="23"/>
      <c r="I17" s="22"/>
      <c r="J17" s="23"/>
      <c r="K17" s="22"/>
      <c r="L17" s="23"/>
      <c r="M17" s="203"/>
      <c r="N17" s="212"/>
    </row>
    <row r="18" spans="1:14" x14ac:dyDescent="0.3">
      <c r="A18" s="207"/>
      <c r="B18" s="202"/>
      <c r="C18" s="4" t="s">
        <v>12</v>
      </c>
      <c r="D18" s="42" t="s">
        <v>60</v>
      </c>
      <c r="E18" s="6">
        <v>1</v>
      </c>
      <c r="F18" s="19">
        <v>1</v>
      </c>
      <c r="G18" s="29"/>
      <c r="H18" s="23">
        <v>1</v>
      </c>
      <c r="I18" s="22"/>
      <c r="J18" s="23"/>
      <c r="K18" s="22"/>
      <c r="L18" s="23"/>
      <c r="M18" s="203"/>
      <c r="N18" s="212"/>
    </row>
    <row r="19" spans="1:14" x14ac:dyDescent="0.3">
      <c r="A19" s="207"/>
      <c r="B19" s="201" t="s">
        <v>97</v>
      </c>
      <c r="C19" s="4" t="s">
        <v>24</v>
      </c>
      <c r="D19" s="42" t="s">
        <v>70</v>
      </c>
      <c r="E19" s="6">
        <v>3</v>
      </c>
      <c r="F19" s="19">
        <v>2</v>
      </c>
      <c r="G19" s="22">
        <v>2</v>
      </c>
      <c r="H19" s="23"/>
      <c r="I19" s="22"/>
      <c r="J19" s="23"/>
      <c r="K19" s="22"/>
      <c r="L19" s="23"/>
      <c r="M19" s="203">
        <f>SUM(G19:L24)</f>
        <v>12</v>
      </c>
      <c r="N19" s="212">
        <v>10</v>
      </c>
    </row>
    <row r="20" spans="1:14" x14ac:dyDescent="0.3">
      <c r="A20" s="207"/>
      <c r="B20" s="230"/>
      <c r="C20" s="4" t="s">
        <v>24</v>
      </c>
      <c r="D20" s="42" t="s">
        <v>57</v>
      </c>
      <c r="E20" s="6">
        <v>3</v>
      </c>
      <c r="F20" s="19">
        <v>2</v>
      </c>
      <c r="G20" s="22"/>
      <c r="H20" s="23">
        <v>2</v>
      </c>
      <c r="I20" s="22"/>
      <c r="J20" s="23"/>
      <c r="K20" s="22"/>
      <c r="L20" s="23"/>
      <c r="M20" s="203"/>
      <c r="N20" s="212"/>
    </row>
    <row r="21" spans="1:14" x14ac:dyDescent="0.3">
      <c r="A21" s="207"/>
      <c r="B21" s="230"/>
      <c r="C21" s="4" t="s">
        <v>22</v>
      </c>
      <c r="D21" s="42" t="s">
        <v>69</v>
      </c>
      <c r="E21" s="6">
        <v>2</v>
      </c>
      <c r="F21" s="19">
        <v>2</v>
      </c>
      <c r="G21" s="22"/>
      <c r="H21" s="23"/>
      <c r="I21" s="22">
        <v>2</v>
      </c>
      <c r="J21" s="23"/>
      <c r="K21" s="22"/>
      <c r="L21" s="23"/>
      <c r="M21" s="203"/>
      <c r="N21" s="212"/>
    </row>
    <row r="22" spans="1:14" x14ac:dyDescent="0.3">
      <c r="A22" s="207"/>
      <c r="B22" s="230"/>
      <c r="C22" s="4" t="s">
        <v>22</v>
      </c>
      <c r="D22" s="42" t="s">
        <v>71</v>
      </c>
      <c r="E22" s="6">
        <v>2</v>
      </c>
      <c r="F22" s="19">
        <v>2</v>
      </c>
      <c r="G22" s="22"/>
      <c r="H22" s="23"/>
      <c r="I22" s="22"/>
      <c r="J22" s="23">
        <v>2</v>
      </c>
      <c r="K22" s="22"/>
      <c r="L22" s="23"/>
      <c r="M22" s="203"/>
      <c r="N22" s="212"/>
    </row>
    <row r="23" spans="1:14" x14ac:dyDescent="0.3">
      <c r="A23" s="207"/>
      <c r="B23" s="230"/>
      <c r="C23" s="4" t="s">
        <v>72</v>
      </c>
      <c r="D23" s="42" t="s">
        <v>136</v>
      </c>
      <c r="E23" s="6">
        <v>3</v>
      </c>
      <c r="F23" s="19">
        <v>2</v>
      </c>
      <c r="G23" s="22"/>
      <c r="H23" s="23"/>
      <c r="I23" s="22"/>
      <c r="J23" s="23"/>
      <c r="K23" s="22">
        <v>2</v>
      </c>
      <c r="L23" s="23"/>
      <c r="M23" s="203"/>
      <c r="N23" s="212"/>
    </row>
    <row r="24" spans="1:14" x14ac:dyDescent="0.3">
      <c r="A24" s="207"/>
      <c r="B24" s="202"/>
      <c r="C24" s="4" t="s">
        <v>72</v>
      </c>
      <c r="D24" s="42" t="s">
        <v>137</v>
      </c>
      <c r="E24" s="6">
        <v>3</v>
      </c>
      <c r="F24" s="19">
        <v>2</v>
      </c>
      <c r="G24" s="22"/>
      <c r="H24" s="23"/>
      <c r="I24" s="22"/>
      <c r="J24" s="23"/>
      <c r="K24" s="22"/>
      <c r="L24" s="23">
        <v>2</v>
      </c>
      <c r="M24" s="203"/>
      <c r="N24" s="212"/>
    </row>
    <row r="25" spans="1:14" x14ac:dyDescent="0.3">
      <c r="A25" s="207"/>
      <c r="B25" s="241" t="s">
        <v>96</v>
      </c>
      <c r="C25" s="4" t="s">
        <v>13</v>
      </c>
      <c r="D25" s="42" t="s">
        <v>19</v>
      </c>
      <c r="E25" s="6">
        <v>3</v>
      </c>
      <c r="F25" s="19">
        <v>2</v>
      </c>
      <c r="G25" s="245" t="s">
        <v>67</v>
      </c>
      <c r="H25" s="247" t="s">
        <v>67</v>
      </c>
      <c r="I25" s="22"/>
      <c r="J25" s="23"/>
      <c r="K25" s="22"/>
      <c r="L25" s="23"/>
      <c r="M25" s="203">
        <v>4</v>
      </c>
      <c r="N25" s="212">
        <v>10</v>
      </c>
    </row>
    <row r="26" spans="1:14" x14ac:dyDescent="0.3">
      <c r="A26" s="207"/>
      <c r="B26" s="241"/>
      <c r="C26" s="4" t="s">
        <v>13</v>
      </c>
      <c r="D26" s="42" t="s">
        <v>20</v>
      </c>
      <c r="E26" s="6">
        <v>3</v>
      </c>
      <c r="F26" s="19">
        <v>2</v>
      </c>
      <c r="G26" s="246"/>
      <c r="H26" s="248"/>
      <c r="I26" s="22"/>
      <c r="J26" s="23"/>
      <c r="K26" s="22"/>
      <c r="L26" s="23"/>
      <c r="M26" s="203"/>
      <c r="N26" s="212"/>
    </row>
    <row r="27" spans="1:14" x14ac:dyDescent="0.3">
      <c r="A27" s="207"/>
      <c r="B27" s="241" t="s">
        <v>93</v>
      </c>
      <c r="C27" s="4" t="s">
        <v>13</v>
      </c>
      <c r="D27" s="42" t="s">
        <v>43</v>
      </c>
      <c r="E27" s="6">
        <v>4</v>
      </c>
      <c r="F27" s="19">
        <v>3</v>
      </c>
      <c r="G27" s="30">
        <v>3</v>
      </c>
      <c r="H27" s="31"/>
      <c r="I27" s="22"/>
      <c r="J27" s="23"/>
      <c r="K27" s="22"/>
      <c r="L27" s="23"/>
      <c r="M27" s="297">
        <v>6</v>
      </c>
      <c r="N27" s="212">
        <v>16</v>
      </c>
    </row>
    <row r="28" spans="1:14" ht="15" thickBot="1" x14ac:dyDescent="0.35">
      <c r="A28" s="207"/>
      <c r="B28" s="241"/>
      <c r="C28" s="4" t="s">
        <v>42</v>
      </c>
      <c r="D28" s="42" t="s">
        <v>76</v>
      </c>
      <c r="E28" s="6">
        <v>4</v>
      </c>
      <c r="F28" s="19">
        <v>3</v>
      </c>
      <c r="G28" s="30"/>
      <c r="H28" s="31">
        <v>3</v>
      </c>
      <c r="I28" s="22"/>
      <c r="J28" s="23"/>
      <c r="K28" s="22"/>
      <c r="L28" s="23"/>
      <c r="M28" s="298"/>
      <c r="N28" s="212"/>
    </row>
    <row r="29" spans="1:14" ht="13.9" customHeight="1" x14ac:dyDescent="0.3">
      <c r="A29" s="310" t="s">
        <v>21</v>
      </c>
      <c r="B29" s="15" t="s">
        <v>27</v>
      </c>
      <c r="C29" s="15" t="s">
        <v>24</v>
      </c>
      <c r="D29" s="93" t="s">
        <v>83</v>
      </c>
      <c r="E29" s="16">
        <v>4</v>
      </c>
      <c r="F29" s="21">
        <v>4</v>
      </c>
      <c r="G29" s="101"/>
      <c r="H29" s="102"/>
      <c r="I29" s="94" t="s">
        <v>33</v>
      </c>
      <c r="J29" s="251"/>
      <c r="K29" s="101"/>
      <c r="L29" s="102"/>
      <c r="M29" s="215">
        <v>24</v>
      </c>
      <c r="N29" s="216"/>
    </row>
    <row r="30" spans="1:14" ht="17.45" customHeight="1" x14ac:dyDescent="0.3">
      <c r="A30" s="311"/>
      <c r="B30" s="10" t="s">
        <v>28</v>
      </c>
      <c r="C30" s="12" t="s">
        <v>24</v>
      </c>
      <c r="D30" s="148" t="s">
        <v>147</v>
      </c>
      <c r="E30" s="14">
        <v>4</v>
      </c>
      <c r="F30" s="39">
        <v>4</v>
      </c>
      <c r="G30" s="107"/>
      <c r="H30" s="108"/>
      <c r="I30" s="234" t="s">
        <v>81</v>
      </c>
      <c r="J30" s="299"/>
      <c r="K30" s="107"/>
      <c r="L30" s="108"/>
      <c r="M30" s="282"/>
      <c r="N30" s="300"/>
    </row>
    <row r="31" spans="1:14" ht="17.45" customHeight="1" x14ac:dyDescent="0.3">
      <c r="A31" s="311"/>
      <c r="B31" s="241" t="s">
        <v>29</v>
      </c>
      <c r="C31" s="4" t="s">
        <v>24</v>
      </c>
      <c r="D31" s="44" t="s">
        <v>87</v>
      </c>
      <c r="E31" s="6">
        <v>4</v>
      </c>
      <c r="F31" s="19">
        <v>4</v>
      </c>
      <c r="G31" s="103"/>
      <c r="H31" s="104"/>
      <c r="I31" s="235"/>
      <c r="J31" s="252"/>
      <c r="K31" s="103"/>
      <c r="L31" s="104"/>
      <c r="M31" s="203"/>
      <c r="N31" s="212"/>
    </row>
    <row r="32" spans="1:14" ht="17.45" customHeight="1" x14ac:dyDescent="0.3">
      <c r="A32" s="311"/>
      <c r="B32" s="241"/>
      <c r="C32" s="4" t="s">
        <v>22</v>
      </c>
      <c r="D32" s="45" t="s">
        <v>63</v>
      </c>
      <c r="E32" s="6">
        <v>4</v>
      </c>
      <c r="F32" s="19">
        <v>4</v>
      </c>
      <c r="G32" s="103"/>
      <c r="H32" s="104"/>
      <c r="I32" s="235"/>
      <c r="J32" s="252"/>
      <c r="K32" s="103"/>
      <c r="L32" s="104"/>
      <c r="M32" s="203"/>
      <c r="N32" s="212"/>
    </row>
    <row r="33" spans="1:14" ht="17.45" customHeight="1" x14ac:dyDescent="0.3">
      <c r="A33" s="311"/>
      <c r="B33" s="201" t="s">
        <v>30</v>
      </c>
      <c r="C33" s="4" t="s">
        <v>22</v>
      </c>
      <c r="D33" s="45" t="s">
        <v>169</v>
      </c>
      <c r="E33" s="6">
        <v>4</v>
      </c>
      <c r="F33" s="19">
        <v>4</v>
      </c>
      <c r="G33" s="103"/>
      <c r="H33" s="104"/>
      <c r="I33" s="235"/>
      <c r="J33" s="252"/>
      <c r="K33" s="103"/>
      <c r="L33" s="104"/>
      <c r="M33" s="203"/>
      <c r="N33" s="212"/>
    </row>
    <row r="34" spans="1:14" ht="17.45" customHeight="1" x14ac:dyDescent="0.3">
      <c r="A34" s="311"/>
      <c r="B34" s="202"/>
      <c r="C34" s="4" t="s">
        <v>58</v>
      </c>
      <c r="D34" s="44" t="s">
        <v>154</v>
      </c>
      <c r="E34" s="6">
        <v>4</v>
      </c>
      <c r="F34" s="19">
        <v>4</v>
      </c>
      <c r="G34" s="103"/>
      <c r="H34" s="104"/>
      <c r="I34" s="235"/>
      <c r="J34" s="252"/>
      <c r="K34" s="103"/>
      <c r="L34" s="104"/>
      <c r="M34" s="203"/>
      <c r="N34" s="212"/>
    </row>
    <row r="35" spans="1:14" ht="18" customHeight="1" thickBot="1" x14ac:dyDescent="0.35">
      <c r="A35" s="311"/>
      <c r="B35" s="74" t="s">
        <v>31</v>
      </c>
      <c r="C35" s="74" t="s">
        <v>24</v>
      </c>
      <c r="D35" s="78" t="s">
        <v>141</v>
      </c>
      <c r="E35" s="76">
        <v>4</v>
      </c>
      <c r="F35" s="77">
        <v>4</v>
      </c>
      <c r="G35" s="109"/>
      <c r="H35" s="110"/>
      <c r="I35" s="236"/>
      <c r="J35" s="253"/>
      <c r="K35" s="109"/>
      <c r="L35" s="110"/>
      <c r="M35" s="254"/>
      <c r="N35" s="259"/>
    </row>
    <row r="36" spans="1:14" ht="17.45" customHeight="1" x14ac:dyDescent="0.3">
      <c r="A36" s="311"/>
      <c r="B36" s="238" t="s">
        <v>91</v>
      </c>
      <c r="C36" s="12" t="s">
        <v>13</v>
      </c>
      <c r="D36" s="91" t="s">
        <v>82</v>
      </c>
      <c r="E36" s="14">
        <v>4</v>
      </c>
      <c r="F36" s="39">
        <v>4</v>
      </c>
      <c r="G36" s="107"/>
      <c r="H36" s="108"/>
      <c r="I36" s="87"/>
      <c r="J36" s="92" t="s">
        <v>33</v>
      </c>
      <c r="K36" s="112"/>
      <c r="L36" s="113"/>
      <c r="M36" s="255">
        <v>24</v>
      </c>
      <c r="N36" s="283"/>
    </row>
    <row r="37" spans="1:14" ht="17.45" customHeight="1" x14ac:dyDescent="0.3">
      <c r="A37" s="311"/>
      <c r="B37" s="214"/>
      <c r="C37" s="4" t="s">
        <v>42</v>
      </c>
      <c r="D37" s="118" t="s">
        <v>86</v>
      </c>
      <c r="E37" s="6">
        <v>4</v>
      </c>
      <c r="F37" s="19">
        <v>4</v>
      </c>
      <c r="G37" s="103"/>
      <c r="H37" s="104"/>
      <c r="I37" s="87"/>
      <c r="J37" s="260" t="s">
        <v>81</v>
      </c>
      <c r="K37" s="103"/>
      <c r="L37" s="104"/>
      <c r="M37" s="256"/>
      <c r="N37" s="284"/>
    </row>
    <row r="38" spans="1:14" ht="17.45" customHeight="1" x14ac:dyDescent="0.3">
      <c r="A38" s="311"/>
      <c r="B38" s="5" t="s">
        <v>92</v>
      </c>
      <c r="C38" s="4" t="s">
        <v>13</v>
      </c>
      <c r="D38" s="46" t="s">
        <v>148</v>
      </c>
      <c r="E38" s="6">
        <v>4</v>
      </c>
      <c r="F38" s="19">
        <v>4</v>
      </c>
      <c r="G38" s="103"/>
      <c r="H38" s="104"/>
      <c r="I38" s="87"/>
      <c r="J38" s="261"/>
      <c r="K38" s="103"/>
      <c r="L38" s="104"/>
      <c r="M38" s="256"/>
      <c r="N38" s="284"/>
    </row>
    <row r="39" spans="1:14" ht="17.45" customHeight="1" x14ac:dyDescent="0.3">
      <c r="A39" s="311"/>
      <c r="B39" s="213" t="s">
        <v>89</v>
      </c>
      <c r="C39" s="4" t="s">
        <v>24</v>
      </c>
      <c r="D39" s="46" t="s">
        <v>129</v>
      </c>
      <c r="E39" s="6">
        <v>4</v>
      </c>
      <c r="F39" s="19">
        <v>4</v>
      </c>
      <c r="G39" s="103"/>
      <c r="H39" s="104"/>
      <c r="I39" s="87"/>
      <c r="J39" s="261"/>
      <c r="K39" s="103"/>
      <c r="L39" s="104"/>
      <c r="M39" s="256"/>
      <c r="N39" s="284"/>
    </row>
    <row r="40" spans="1:14" ht="17.45" customHeight="1" x14ac:dyDescent="0.3">
      <c r="A40" s="311"/>
      <c r="B40" s="214"/>
      <c r="C40" s="4" t="s">
        <v>58</v>
      </c>
      <c r="D40" s="46" t="s">
        <v>120</v>
      </c>
      <c r="E40" s="6">
        <v>4</v>
      </c>
      <c r="F40" s="19">
        <v>4</v>
      </c>
      <c r="G40" s="103"/>
      <c r="H40" s="104"/>
      <c r="I40" s="87"/>
      <c r="J40" s="261"/>
      <c r="K40" s="103"/>
      <c r="L40" s="104"/>
      <c r="M40" s="256"/>
      <c r="N40" s="284"/>
    </row>
    <row r="41" spans="1:14" ht="17.45" customHeight="1" x14ac:dyDescent="0.3">
      <c r="A41" s="311"/>
      <c r="B41" s="213" t="s">
        <v>90</v>
      </c>
      <c r="C41" s="4" t="s">
        <v>13</v>
      </c>
      <c r="D41" s="46" t="s">
        <v>156</v>
      </c>
      <c r="E41" s="6">
        <v>4</v>
      </c>
      <c r="F41" s="19">
        <v>4</v>
      </c>
      <c r="G41" s="103"/>
      <c r="H41" s="104"/>
      <c r="I41" s="87"/>
      <c r="J41" s="261"/>
      <c r="K41" s="103"/>
      <c r="L41" s="104"/>
      <c r="M41" s="256"/>
      <c r="N41" s="284"/>
    </row>
    <row r="42" spans="1:14" ht="17.45" customHeight="1" x14ac:dyDescent="0.3">
      <c r="A42" s="311"/>
      <c r="B42" s="214"/>
      <c r="C42" s="4" t="s">
        <v>42</v>
      </c>
      <c r="D42" s="46" t="s">
        <v>171</v>
      </c>
      <c r="E42" s="6">
        <v>4</v>
      </c>
      <c r="F42" s="72">
        <v>4</v>
      </c>
      <c r="G42" s="103"/>
      <c r="H42" s="104"/>
      <c r="I42" s="87"/>
      <c r="J42" s="261"/>
      <c r="K42" s="103"/>
      <c r="L42" s="104"/>
      <c r="M42" s="256"/>
      <c r="N42" s="284"/>
    </row>
    <row r="43" spans="1:14" ht="26.25" thickBot="1" x14ac:dyDescent="0.35">
      <c r="A43" s="311"/>
      <c r="B43" s="73" t="s">
        <v>95</v>
      </c>
      <c r="C43" s="74" t="s">
        <v>13</v>
      </c>
      <c r="D43" s="75" t="s">
        <v>143</v>
      </c>
      <c r="E43" s="76">
        <v>4</v>
      </c>
      <c r="F43" s="77">
        <v>4</v>
      </c>
      <c r="G43" s="109"/>
      <c r="H43" s="110"/>
      <c r="I43" s="90"/>
      <c r="J43" s="262"/>
      <c r="K43" s="109"/>
      <c r="L43" s="110"/>
      <c r="M43" s="257"/>
      <c r="N43" s="285"/>
    </row>
    <row r="44" spans="1:14" ht="17.45" customHeight="1" x14ac:dyDescent="0.3">
      <c r="A44" s="311"/>
      <c r="B44" s="68" t="s">
        <v>32</v>
      </c>
      <c r="C44" s="61" t="s">
        <v>72</v>
      </c>
      <c r="D44" s="69" t="s">
        <v>102</v>
      </c>
      <c r="E44" s="70">
        <v>4</v>
      </c>
      <c r="F44" s="71">
        <v>3</v>
      </c>
      <c r="G44" s="107"/>
      <c r="H44" s="108"/>
      <c r="I44" s="89" t="s">
        <v>34</v>
      </c>
      <c r="J44" s="67" t="s">
        <v>34</v>
      </c>
      <c r="K44" s="107"/>
      <c r="L44" s="108"/>
      <c r="M44" s="256">
        <v>6</v>
      </c>
      <c r="N44" s="95"/>
    </row>
    <row r="45" spans="1:14" ht="18" customHeight="1" thickBot="1" x14ac:dyDescent="0.35">
      <c r="A45" s="311"/>
      <c r="B45" s="5" t="s">
        <v>93</v>
      </c>
      <c r="C45" s="10" t="s">
        <v>22</v>
      </c>
      <c r="D45" s="66" t="s">
        <v>135</v>
      </c>
      <c r="E45" s="13">
        <v>4</v>
      </c>
      <c r="F45" s="28">
        <v>3</v>
      </c>
      <c r="G45" s="105"/>
      <c r="H45" s="106"/>
      <c r="I45" s="88">
        <v>3</v>
      </c>
      <c r="J45" s="81">
        <v>3</v>
      </c>
      <c r="K45" s="111"/>
      <c r="L45" s="110"/>
      <c r="M45" s="257"/>
      <c r="N45" s="96"/>
    </row>
    <row r="46" spans="1:14" ht="17.45" customHeight="1" x14ac:dyDescent="0.3">
      <c r="A46" s="311"/>
      <c r="B46" s="276" t="s">
        <v>91</v>
      </c>
      <c r="C46" s="15" t="s">
        <v>24</v>
      </c>
      <c r="D46" s="47" t="s">
        <v>61</v>
      </c>
      <c r="E46" s="16">
        <v>4</v>
      </c>
      <c r="F46" s="21">
        <v>4</v>
      </c>
      <c r="G46" s="24"/>
      <c r="H46" s="25"/>
      <c r="I46" s="24"/>
      <c r="J46" s="25"/>
      <c r="K46" s="32" t="s">
        <v>133</v>
      </c>
      <c r="L46" s="292"/>
      <c r="M46" s="255">
        <v>20</v>
      </c>
      <c r="N46" s="114"/>
    </row>
    <row r="47" spans="1:14" ht="17.45" customHeight="1" x14ac:dyDescent="0.3">
      <c r="A47" s="311"/>
      <c r="B47" s="241"/>
      <c r="C47" s="4" t="s">
        <v>42</v>
      </c>
      <c r="D47" s="48" t="s">
        <v>74</v>
      </c>
      <c r="E47" s="6">
        <v>4</v>
      </c>
      <c r="F47" s="19">
        <v>4</v>
      </c>
      <c r="G47" s="22"/>
      <c r="H47" s="23"/>
      <c r="I47" s="22"/>
      <c r="J47" s="23"/>
      <c r="K47" s="294" t="s">
        <v>134</v>
      </c>
      <c r="L47" s="292"/>
      <c r="M47" s="256"/>
      <c r="N47" s="95"/>
    </row>
    <row r="48" spans="1:14" ht="17.45" customHeight="1" x14ac:dyDescent="0.3">
      <c r="A48" s="311"/>
      <c r="B48" s="4" t="s">
        <v>92</v>
      </c>
      <c r="C48" s="4" t="s">
        <v>22</v>
      </c>
      <c r="D48" s="49" t="s">
        <v>168</v>
      </c>
      <c r="E48" s="6">
        <v>4</v>
      </c>
      <c r="F48" s="19">
        <v>4</v>
      </c>
      <c r="G48" s="22"/>
      <c r="H48" s="23"/>
      <c r="I48" s="22"/>
      <c r="J48" s="23"/>
      <c r="K48" s="303"/>
      <c r="L48" s="292"/>
      <c r="M48" s="256"/>
      <c r="N48" s="95"/>
    </row>
    <row r="49" spans="1:14" ht="17.45" customHeight="1" x14ac:dyDescent="0.3">
      <c r="A49" s="311"/>
      <c r="B49" s="241" t="s">
        <v>89</v>
      </c>
      <c r="C49" s="4" t="s">
        <v>24</v>
      </c>
      <c r="D49" s="50" t="s">
        <v>62</v>
      </c>
      <c r="E49" s="6">
        <v>4</v>
      </c>
      <c r="F49" s="19">
        <v>4</v>
      </c>
      <c r="G49" s="22"/>
      <c r="H49" s="23"/>
      <c r="I49" s="22"/>
      <c r="J49" s="23"/>
      <c r="K49" s="303"/>
      <c r="L49" s="292"/>
      <c r="M49" s="256"/>
      <c r="N49" s="95"/>
    </row>
    <row r="50" spans="1:14" ht="17.45" customHeight="1" x14ac:dyDescent="0.3">
      <c r="A50" s="311"/>
      <c r="B50" s="241"/>
      <c r="C50" s="4" t="s">
        <v>22</v>
      </c>
      <c r="D50" s="50" t="s">
        <v>80</v>
      </c>
      <c r="E50" s="6">
        <v>4</v>
      </c>
      <c r="F50" s="19">
        <v>4</v>
      </c>
      <c r="G50" s="22"/>
      <c r="H50" s="23"/>
      <c r="I50" s="22"/>
      <c r="J50" s="23"/>
      <c r="K50" s="303"/>
      <c r="L50" s="292"/>
      <c r="M50" s="256"/>
      <c r="N50" s="95"/>
    </row>
    <row r="51" spans="1:14" ht="17.45" customHeight="1" x14ac:dyDescent="0.3">
      <c r="A51" s="311"/>
      <c r="B51" s="201" t="s">
        <v>90</v>
      </c>
      <c r="C51" s="4" t="s">
        <v>13</v>
      </c>
      <c r="D51" s="51" t="s">
        <v>127</v>
      </c>
      <c r="E51" s="6">
        <v>4</v>
      </c>
      <c r="F51" s="19">
        <v>4</v>
      </c>
      <c r="G51" s="22"/>
      <c r="H51" s="23"/>
      <c r="I51" s="22"/>
      <c r="J51" s="23"/>
      <c r="K51" s="303"/>
      <c r="L51" s="292"/>
      <c r="M51" s="256"/>
      <c r="N51" s="95"/>
    </row>
    <row r="52" spans="1:14" ht="17.45" customHeight="1" x14ac:dyDescent="0.3">
      <c r="A52" s="311"/>
      <c r="B52" s="230"/>
      <c r="C52" s="4" t="s">
        <v>22</v>
      </c>
      <c r="D52" s="51" t="s">
        <v>157</v>
      </c>
      <c r="E52" s="6">
        <v>4</v>
      </c>
      <c r="F52" s="19">
        <v>4</v>
      </c>
      <c r="G52" s="22"/>
      <c r="H52" s="23"/>
      <c r="I52" s="22"/>
      <c r="J52" s="23"/>
      <c r="K52" s="303"/>
      <c r="L52" s="292"/>
      <c r="M52" s="256"/>
      <c r="N52" s="95"/>
    </row>
    <row r="53" spans="1:14" ht="17.45" customHeight="1" x14ac:dyDescent="0.3">
      <c r="A53" s="311"/>
      <c r="B53" s="230"/>
      <c r="C53" s="4" t="s">
        <v>158</v>
      </c>
      <c r="D53" s="51" t="s">
        <v>160</v>
      </c>
      <c r="E53" s="6">
        <v>4</v>
      </c>
      <c r="F53" s="19">
        <v>4</v>
      </c>
      <c r="G53" s="22"/>
      <c r="H53" s="23"/>
      <c r="I53" s="22"/>
      <c r="J53" s="23"/>
      <c r="K53" s="303"/>
      <c r="L53" s="292"/>
      <c r="M53" s="256"/>
      <c r="N53" s="95"/>
    </row>
    <row r="54" spans="1:14" ht="26.25" thickBot="1" x14ac:dyDescent="0.35">
      <c r="A54" s="311"/>
      <c r="B54" s="10" t="s">
        <v>31</v>
      </c>
      <c r="C54" s="10" t="s">
        <v>22</v>
      </c>
      <c r="D54" s="83" t="s">
        <v>144</v>
      </c>
      <c r="E54" s="13">
        <v>4</v>
      </c>
      <c r="F54" s="28">
        <v>4</v>
      </c>
      <c r="G54" s="79"/>
      <c r="H54" s="80"/>
      <c r="I54" s="79"/>
      <c r="J54" s="80"/>
      <c r="K54" s="303"/>
      <c r="L54" s="292"/>
      <c r="M54" s="256"/>
      <c r="N54" s="95"/>
    </row>
    <row r="55" spans="1:14" ht="17.45" customHeight="1" x14ac:dyDescent="0.3">
      <c r="A55" s="311"/>
      <c r="B55" s="15" t="s">
        <v>91</v>
      </c>
      <c r="C55" s="15" t="s">
        <v>72</v>
      </c>
      <c r="D55" s="53" t="s">
        <v>79</v>
      </c>
      <c r="E55" s="16">
        <v>4</v>
      </c>
      <c r="F55" s="21">
        <v>4</v>
      </c>
      <c r="G55" s="24"/>
      <c r="H55" s="25"/>
      <c r="I55" s="24"/>
      <c r="J55" s="25"/>
      <c r="K55" s="286"/>
      <c r="L55" s="33" t="s">
        <v>133</v>
      </c>
      <c r="M55" s="255">
        <v>20</v>
      </c>
      <c r="N55" s="283"/>
    </row>
    <row r="56" spans="1:14" ht="17.45" customHeight="1" x14ac:dyDescent="0.3">
      <c r="A56" s="311"/>
      <c r="B56" s="201" t="s">
        <v>92</v>
      </c>
      <c r="C56" s="12" t="s">
        <v>42</v>
      </c>
      <c r="D56" s="149" t="s">
        <v>150</v>
      </c>
      <c r="E56" s="14">
        <v>4</v>
      </c>
      <c r="F56" s="39">
        <v>4</v>
      </c>
      <c r="G56" s="126"/>
      <c r="H56" s="150"/>
      <c r="I56" s="126"/>
      <c r="J56" s="150"/>
      <c r="K56" s="287"/>
      <c r="L56" s="290" t="s">
        <v>139</v>
      </c>
      <c r="M56" s="256"/>
      <c r="N56" s="284"/>
    </row>
    <row r="57" spans="1:14" ht="17.45" customHeight="1" x14ac:dyDescent="0.3">
      <c r="A57" s="311"/>
      <c r="B57" s="202"/>
      <c r="C57" s="4" t="s">
        <v>58</v>
      </c>
      <c r="D57" s="54" t="s">
        <v>145</v>
      </c>
      <c r="E57" s="6">
        <v>4</v>
      </c>
      <c r="F57" s="19">
        <v>4</v>
      </c>
      <c r="G57" s="22"/>
      <c r="H57" s="23"/>
      <c r="I57" s="22"/>
      <c r="J57" s="23"/>
      <c r="K57" s="287"/>
      <c r="L57" s="301"/>
      <c r="M57" s="256"/>
      <c r="N57" s="284"/>
    </row>
    <row r="58" spans="1:14" ht="17.45" customHeight="1" x14ac:dyDescent="0.3">
      <c r="A58" s="311"/>
      <c r="B58" s="201" t="s">
        <v>29</v>
      </c>
      <c r="C58" s="4" t="s">
        <v>22</v>
      </c>
      <c r="D58" s="54" t="s">
        <v>119</v>
      </c>
      <c r="E58" s="6">
        <v>4</v>
      </c>
      <c r="F58" s="39">
        <v>4</v>
      </c>
      <c r="G58" s="22"/>
      <c r="H58" s="23"/>
      <c r="I58" s="22"/>
      <c r="J58" s="23"/>
      <c r="K58" s="287"/>
      <c r="L58" s="301"/>
      <c r="M58" s="256"/>
      <c r="N58" s="284"/>
    </row>
    <row r="59" spans="1:14" ht="17.45" customHeight="1" x14ac:dyDescent="0.3">
      <c r="A59" s="311"/>
      <c r="B59" s="202"/>
      <c r="C59" s="4" t="s">
        <v>42</v>
      </c>
      <c r="D59" s="55" t="s">
        <v>130</v>
      </c>
      <c r="E59" s="6">
        <v>4</v>
      </c>
      <c r="F59" s="19">
        <v>4</v>
      </c>
      <c r="G59" s="22"/>
      <c r="H59" s="23"/>
      <c r="I59" s="22"/>
      <c r="J59" s="23"/>
      <c r="K59" s="287"/>
      <c r="L59" s="301"/>
      <c r="M59" s="256"/>
      <c r="N59" s="284"/>
    </row>
    <row r="60" spans="1:14" ht="17.45" customHeight="1" x14ac:dyDescent="0.3">
      <c r="A60" s="311"/>
      <c r="B60" s="201" t="s">
        <v>90</v>
      </c>
      <c r="C60" s="4" t="s">
        <v>161</v>
      </c>
      <c r="D60" s="55" t="s">
        <v>163</v>
      </c>
      <c r="E60" s="6">
        <v>4</v>
      </c>
      <c r="F60" s="39">
        <v>4</v>
      </c>
      <c r="G60" s="22"/>
      <c r="H60" s="23"/>
      <c r="I60" s="22"/>
      <c r="J60" s="23"/>
      <c r="K60" s="287"/>
      <c r="L60" s="301"/>
      <c r="M60" s="256"/>
      <c r="N60" s="284"/>
    </row>
    <row r="61" spans="1:14" ht="17.45" customHeight="1" x14ac:dyDescent="0.3">
      <c r="A61" s="311"/>
      <c r="B61" s="202"/>
      <c r="C61" s="4" t="s">
        <v>72</v>
      </c>
      <c r="D61" s="56" t="s">
        <v>165</v>
      </c>
      <c r="E61" s="6">
        <v>4</v>
      </c>
      <c r="F61" s="39">
        <v>4</v>
      </c>
      <c r="G61" s="22"/>
      <c r="H61" s="23"/>
      <c r="I61" s="22"/>
      <c r="J61" s="23"/>
      <c r="K61" s="287"/>
      <c r="L61" s="301"/>
      <c r="M61" s="256"/>
      <c r="N61" s="284"/>
    </row>
    <row r="62" spans="1:14" ht="26.25" thickBot="1" x14ac:dyDescent="0.35">
      <c r="A62" s="311"/>
      <c r="B62" s="10" t="s">
        <v>31</v>
      </c>
      <c r="C62" s="10" t="s">
        <v>72</v>
      </c>
      <c r="D62" s="85" t="s">
        <v>111</v>
      </c>
      <c r="E62" s="13">
        <v>4</v>
      </c>
      <c r="F62" s="28">
        <v>4</v>
      </c>
      <c r="G62" s="79"/>
      <c r="H62" s="80"/>
      <c r="I62" s="79"/>
      <c r="J62" s="80"/>
      <c r="K62" s="287"/>
      <c r="L62" s="309"/>
      <c r="M62" s="256"/>
      <c r="N62" s="284"/>
    </row>
    <row r="63" spans="1:14" ht="17.45" customHeight="1" x14ac:dyDescent="0.3">
      <c r="A63" s="311"/>
      <c r="B63" s="308" t="s">
        <v>96</v>
      </c>
      <c r="C63" s="15" t="s">
        <v>22</v>
      </c>
      <c r="D63" s="58" t="s">
        <v>65</v>
      </c>
      <c r="E63" s="16">
        <v>3</v>
      </c>
      <c r="F63" s="21">
        <v>3</v>
      </c>
      <c r="G63" s="24"/>
      <c r="H63" s="25"/>
      <c r="I63" s="24"/>
      <c r="J63" s="25"/>
      <c r="K63" s="34" t="s">
        <v>34</v>
      </c>
      <c r="L63" s="277"/>
      <c r="M63" s="278">
        <v>3</v>
      </c>
      <c r="N63" s="283"/>
    </row>
    <row r="64" spans="1:14" ht="18" customHeight="1" thickBot="1" x14ac:dyDescent="0.35">
      <c r="A64" s="311"/>
      <c r="B64" s="230"/>
      <c r="C64" s="17" t="s">
        <v>22</v>
      </c>
      <c r="D64" s="59" t="s">
        <v>36</v>
      </c>
      <c r="E64" s="18">
        <v>3</v>
      </c>
      <c r="F64" s="20">
        <v>3</v>
      </c>
      <c r="G64" s="26"/>
      <c r="H64" s="27"/>
      <c r="I64" s="26"/>
      <c r="J64" s="27"/>
      <c r="K64" s="35">
        <v>3</v>
      </c>
      <c r="L64" s="277"/>
      <c r="M64" s="279"/>
      <c r="N64" s="285"/>
    </row>
    <row r="65" spans="1:14" ht="17.45" customHeight="1" x14ac:dyDescent="0.3">
      <c r="A65" s="311"/>
      <c r="B65" s="230"/>
      <c r="C65" s="15" t="s">
        <v>22</v>
      </c>
      <c r="D65" s="60" t="s">
        <v>73</v>
      </c>
      <c r="E65" s="16">
        <v>3</v>
      </c>
      <c r="F65" s="21">
        <v>3</v>
      </c>
      <c r="G65" s="24"/>
      <c r="H65" s="25"/>
      <c r="I65" s="24"/>
      <c r="J65" s="25"/>
      <c r="K65" s="140"/>
      <c r="L65" s="36" t="s">
        <v>34</v>
      </c>
      <c r="M65" s="255">
        <v>3</v>
      </c>
      <c r="N65" s="114"/>
    </row>
    <row r="66" spans="1:14" ht="18" customHeight="1" thickBot="1" x14ac:dyDescent="0.35">
      <c r="A66" s="311"/>
      <c r="B66" s="202"/>
      <c r="C66" s="134" t="s">
        <v>22</v>
      </c>
      <c r="D66" s="135" t="s">
        <v>75</v>
      </c>
      <c r="E66" s="136">
        <v>3</v>
      </c>
      <c r="F66" s="137">
        <v>3</v>
      </c>
      <c r="G66" s="146"/>
      <c r="H66" s="147"/>
      <c r="I66" s="146"/>
      <c r="J66" s="147"/>
      <c r="K66" s="141"/>
      <c r="L66" s="121">
        <v>3</v>
      </c>
      <c r="M66" s="257"/>
      <c r="N66" s="96"/>
    </row>
    <row r="67" spans="1:14" ht="17.45" customHeight="1" x14ac:dyDescent="0.3">
      <c r="A67" s="311"/>
      <c r="B67" s="201" t="s">
        <v>138</v>
      </c>
      <c r="C67" s="131" t="s">
        <v>13</v>
      </c>
      <c r="D67" s="138" t="s">
        <v>66</v>
      </c>
      <c r="E67" s="132">
        <v>3</v>
      </c>
      <c r="F67" s="133">
        <v>2</v>
      </c>
      <c r="G67" s="125"/>
      <c r="H67" s="127"/>
      <c r="I67" s="125"/>
      <c r="J67" s="142"/>
      <c r="K67" s="89" t="s">
        <v>34</v>
      </c>
      <c r="L67" s="67" t="s">
        <v>34</v>
      </c>
      <c r="M67" s="256">
        <v>4</v>
      </c>
      <c r="N67" s="95"/>
    </row>
    <row r="68" spans="1:14" ht="18" customHeight="1" thickBot="1" x14ac:dyDescent="0.35">
      <c r="A68" s="312"/>
      <c r="B68" s="313"/>
      <c r="C68" s="128" t="s">
        <v>22</v>
      </c>
      <c r="D68" s="139" t="s">
        <v>146</v>
      </c>
      <c r="E68" s="129">
        <v>3</v>
      </c>
      <c r="F68" s="130">
        <v>2</v>
      </c>
      <c r="G68" s="115"/>
      <c r="H68" s="120"/>
      <c r="I68" s="115"/>
      <c r="J68" s="143"/>
      <c r="K68" s="144">
        <v>2</v>
      </c>
      <c r="L68" s="145">
        <v>2</v>
      </c>
      <c r="M68" s="257"/>
      <c r="N68" s="96"/>
    </row>
    <row r="69" spans="1:14" x14ac:dyDescent="0.3">
      <c r="A69" s="263" t="s">
        <v>39</v>
      </c>
      <c r="B69" s="264"/>
      <c r="C69" s="264"/>
      <c r="D69" s="264"/>
      <c r="E69" s="264"/>
      <c r="F69" s="265"/>
      <c r="G69" s="122">
        <v>31</v>
      </c>
      <c r="H69" s="8">
        <v>31</v>
      </c>
      <c r="I69" s="8">
        <v>29</v>
      </c>
      <c r="J69" s="8">
        <v>29</v>
      </c>
      <c r="K69" s="8">
        <v>27</v>
      </c>
      <c r="L69" s="8">
        <v>27</v>
      </c>
      <c r="M69" s="116">
        <f>SUM(G69:L69)</f>
        <v>174</v>
      </c>
      <c r="N69" s="117">
        <f>SUM(N5:N28)</f>
        <v>84</v>
      </c>
    </row>
    <row r="70" spans="1:14" x14ac:dyDescent="0.3">
      <c r="A70" s="266" t="s">
        <v>23</v>
      </c>
      <c r="B70" s="210"/>
      <c r="C70" s="210"/>
      <c r="D70" s="210"/>
      <c r="E70" s="210"/>
      <c r="F70" s="267"/>
      <c r="G70" s="123">
        <v>3</v>
      </c>
      <c r="H70" s="7">
        <v>3</v>
      </c>
      <c r="I70" s="7">
        <v>3</v>
      </c>
      <c r="J70" s="7">
        <v>3</v>
      </c>
      <c r="K70" s="7">
        <v>3</v>
      </c>
      <c r="L70" s="7">
        <v>3</v>
      </c>
      <c r="M70" s="9">
        <f>SUM(G70:L70)</f>
        <v>18</v>
      </c>
      <c r="N70" s="97">
        <v>18</v>
      </c>
    </row>
    <row r="71" spans="1:14" ht="15" thickBot="1" x14ac:dyDescent="0.35">
      <c r="A71" s="268" t="s">
        <v>40</v>
      </c>
      <c r="B71" s="269"/>
      <c r="C71" s="269"/>
      <c r="D71" s="269"/>
      <c r="E71" s="269"/>
      <c r="F71" s="270"/>
      <c r="G71" s="124">
        <f t="shared" ref="G71:L71" si="0">G69+G70</f>
        <v>34</v>
      </c>
      <c r="H71" s="82">
        <f t="shared" si="0"/>
        <v>34</v>
      </c>
      <c r="I71" s="82">
        <f t="shared" si="0"/>
        <v>32</v>
      </c>
      <c r="J71" s="82">
        <f t="shared" si="0"/>
        <v>32</v>
      </c>
      <c r="K71" s="82">
        <f t="shared" si="0"/>
        <v>30</v>
      </c>
      <c r="L71" s="82">
        <f t="shared" si="0"/>
        <v>30</v>
      </c>
      <c r="M71" s="98">
        <f>SUM(G71:L71)</f>
        <v>192</v>
      </c>
      <c r="N71" s="99"/>
    </row>
  </sheetData>
  <mergeCells count="79">
    <mergeCell ref="A69:F69"/>
    <mergeCell ref="A70:F70"/>
    <mergeCell ref="A71:F71"/>
    <mergeCell ref="A29:A68"/>
    <mergeCell ref="B60:B61"/>
    <mergeCell ref="B67:B68"/>
    <mergeCell ref="M67:M68"/>
    <mergeCell ref="I30:I35"/>
    <mergeCell ref="L63:L64"/>
    <mergeCell ref="M63:M64"/>
    <mergeCell ref="J37:J43"/>
    <mergeCell ref="M44:M45"/>
    <mergeCell ref="J29:J35"/>
    <mergeCell ref="M29:M35"/>
    <mergeCell ref="L56:L62"/>
    <mergeCell ref="N63:N64"/>
    <mergeCell ref="B51:B53"/>
    <mergeCell ref="K55:K62"/>
    <mergeCell ref="M55:M62"/>
    <mergeCell ref="N55:N62"/>
    <mergeCell ref="B58:B59"/>
    <mergeCell ref="L46:L54"/>
    <mergeCell ref="M46:M54"/>
    <mergeCell ref="K47:K54"/>
    <mergeCell ref="B49:B50"/>
    <mergeCell ref="B63:B66"/>
    <mergeCell ref="M65:M66"/>
    <mergeCell ref="B46:B47"/>
    <mergeCell ref="B56:B57"/>
    <mergeCell ref="N29:N35"/>
    <mergeCell ref="B31:B32"/>
    <mergeCell ref="B33:B34"/>
    <mergeCell ref="B36:B37"/>
    <mergeCell ref="M36:M43"/>
    <mergeCell ref="N36:N43"/>
    <mergeCell ref="B39:B40"/>
    <mergeCell ref="B41:B42"/>
    <mergeCell ref="B27:B28"/>
    <mergeCell ref="N27:N28"/>
    <mergeCell ref="B15:B18"/>
    <mergeCell ref="M15:M18"/>
    <mergeCell ref="N15:N18"/>
    <mergeCell ref="B19:B24"/>
    <mergeCell ref="M19:M24"/>
    <mergeCell ref="N19:N24"/>
    <mergeCell ref="B25:B26"/>
    <mergeCell ref="G25:G26"/>
    <mergeCell ref="H25:H26"/>
    <mergeCell ref="M25:M26"/>
    <mergeCell ref="N25:N26"/>
    <mergeCell ref="M27:M28"/>
    <mergeCell ref="A5:A28"/>
    <mergeCell ref="B5:B6"/>
    <mergeCell ref="M5:M6"/>
    <mergeCell ref="N5:N6"/>
    <mergeCell ref="B7:B8"/>
    <mergeCell ref="M7:M8"/>
    <mergeCell ref="N7:N8"/>
    <mergeCell ref="B9:B10"/>
    <mergeCell ref="B13:B14"/>
    <mergeCell ref="M13:M14"/>
    <mergeCell ref="N13:N14"/>
    <mergeCell ref="M9:M10"/>
    <mergeCell ref="N9:N10"/>
    <mergeCell ref="B11:B12"/>
    <mergeCell ref="M11:M12"/>
    <mergeCell ref="N11:N12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rintOptions horizontalCentered="1"/>
  <pageMargins left="0.25" right="0.25" top="0.75" bottom="0.75" header="0.3" footer="0.3"/>
  <pageSetup paperSize="12" scale="89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9430-745B-42B2-91B1-F6E73DB603E4}">
  <sheetPr>
    <tabColor rgb="FFFFC000"/>
    <pageSetUpPr fitToPage="1"/>
  </sheetPr>
  <dimension ref="A1:N72"/>
  <sheetViews>
    <sheetView zoomScale="115" zoomScaleNormal="115" workbookViewId="0">
      <pane xSplit="1" ySplit="4" topLeftCell="B62" activePane="bottomRight" state="frozen"/>
      <selection activeCell="L64" sqref="L64:L71"/>
      <selection pane="topRight" activeCell="L64" sqref="L64:L71"/>
      <selection pane="bottomLeft" activeCell="L64" sqref="L64:L71"/>
      <selection pane="bottomRight" activeCell="D74" sqref="D74"/>
    </sheetView>
  </sheetViews>
  <sheetFormatPr defaultColWidth="9" defaultRowHeight="14.25" x14ac:dyDescent="0.3"/>
  <cols>
    <col min="1" max="1" width="4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152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20</v>
      </c>
      <c r="N7" s="212">
        <v>8</v>
      </c>
    </row>
    <row r="8" spans="1:14" x14ac:dyDescent="0.3">
      <c r="A8" s="207"/>
      <c r="B8" s="230"/>
      <c r="C8" s="4" t="s">
        <v>172</v>
      </c>
      <c r="D8" s="41" t="s">
        <v>173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30"/>
      <c r="C9" s="4" t="s">
        <v>24</v>
      </c>
      <c r="D9" s="41" t="s">
        <v>147</v>
      </c>
      <c r="E9" s="6">
        <v>4</v>
      </c>
      <c r="F9" s="19">
        <v>4</v>
      </c>
      <c r="G9" s="22"/>
      <c r="H9" s="23"/>
      <c r="I9" s="22">
        <v>4</v>
      </c>
      <c r="J9" s="23"/>
      <c r="K9" s="22"/>
      <c r="L9" s="23"/>
      <c r="M9" s="203"/>
      <c r="N9" s="212"/>
    </row>
    <row r="10" spans="1:14" x14ac:dyDescent="0.3">
      <c r="A10" s="207"/>
      <c r="B10" s="230"/>
      <c r="C10" s="4" t="s">
        <v>24</v>
      </c>
      <c r="D10" s="41" t="s">
        <v>182</v>
      </c>
      <c r="E10" s="6">
        <v>4</v>
      </c>
      <c r="F10" s="19">
        <v>4</v>
      </c>
      <c r="G10" s="22"/>
      <c r="H10" s="23"/>
      <c r="I10" s="22"/>
      <c r="J10" s="23">
        <v>4</v>
      </c>
      <c r="K10" s="22"/>
      <c r="L10" s="23"/>
      <c r="M10" s="203"/>
      <c r="N10" s="212"/>
    </row>
    <row r="11" spans="1:14" x14ac:dyDescent="0.3">
      <c r="A11" s="207"/>
      <c r="B11" s="202"/>
      <c r="C11" s="4" t="s">
        <v>24</v>
      </c>
      <c r="D11" s="41" t="s">
        <v>177</v>
      </c>
      <c r="E11" s="6">
        <v>4</v>
      </c>
      <c r="F11" s="19">
        <v>4</v>
      </c>
      <c r="G11" s="22"/>
      <c r="H11" s="23"/>
      <c r="I11" s="22"/>
      <c r="J11" s="23">
        <v>4</v>
      </c>
      <c r="K11" s="22"/>
      <c r="L11" s="23"/>
      <c r="M11" s="203"/>
      <c r="N11" s="212"/>
    </row>
    <row r="12" spans="1:14" x14ac:dyDescent="0.3">
      <c r="A12" s="207"/>
      <c r="B12" s="201" t="s">
        <v>15</v>
      </c>
      <c r="C12" s="4" t="s">
        <v>12</v>
      </c>
      <c r="D12" s="41" t="s">
        <v>49</v>
      </c>
      <c r="E12" s="6">
        <v>4</v>
      </c>
      <c r="F12" s="19">
        <v>4</v>
      </c>
      <c r="G12" s="22">
        <v>4</v>
      </c>
      <c r="H12" s="23"/>
      <c r="I12" s="22"/>
      <c r="J12" s="23"/>
      <c r="K12" s="22"/>
      <c r="L12" s="23"/>
      <c r="M12" s="203">
        <v>8</v>
      </c>
      <c r="N12" s="212">
        <v>8</v>
      </c>
    </row>
    <row r="13" spans="1:14" x14ac:dyDescent="0.3">
      <c r="A13" s="207"/>
      <c r="B13" s="202"/>
      <c r="C13" s="4" t="s">
        <v>12</v>
      </c>
      <c r="D13" s="41" t="s">
        <v>50</v>
      </c>
      <c r="E13" s="6">
        <v>4</v>
      </c>
      <c r="F13" s="19">
        <v>4</v>
      </c>
      <c r="G13" s="22"/>
      <c r="H13" s="23">
        <v>4</v>
      </c>
      <c r="I13" s="22"/>
      <c r="J13" s="23"/>
      <c r="K13" s="22"/>
      <c r="L13" s="23"/>
      <c r="M13" s="203"/>
      <c r="N13" s="212"/>
    </row>
    <row r="14" spans="1:14" x14ac:dyDescent="0.3">
      <c r="A14" s="207"/>
      <c r="B14" s="213" t="s">
        <v>16</v>
      </c>
      <c r="C14" s="4" t="s">
        <v>12</v>
      </c>
      <c r="D14" s="41" t="s">
        <v>51</v>
      </c>
      <c r="E14" s="6">
        <v>3</v>
      </c>
      <c r="F14" s="19">
        <v>3</v>
      </c>
      <c r="G14" s="22">
        <v>3</v>
      </c>
      <c r="H14" s="23"/>
      <c r="I14" s="22"/>
      <c r="J14" s="23"/>
      <c r="K14" s="22"/>
      <c r="L14" s="23"/>
      <c r="M14" s="203">
        <v>6</v>
      </c>
      <c r="N14" s="212">
        <v>6</v>
      </c>
    </row>
    <row r="15" spans="1:14" x14ac:dyDescent="0.3">
      <c r="A15" s="207"/>
      <c r="B15" s="214"/>
      <c r="C15" s="4" t="s">
        <v>12</v>
      </c>
      <c r="D15" s="41" t="s">
        <v>52</v>
      </c>
      <c r="E15" s="6">
        <v>3</v>
      </c>
      <c r="F15" s="19">
        <v>3</v>
      </c>
      <c r="G15" s="29"/>
      <c r="H15" s="23">
        <v>3</v>
      </c>
      <c r="I15" s="22"/>
      <c r="J15" s="23"/>
      <c r="K15" s="22"/>
      <c r="L15" s="23"/>
      <c r="M15" s="203"/>
      <c r="N15" s="212"/>
    </row>
    <row r="16" spans="1:14" x14ac:dyDescent="0.3">
      <c r="A16" s="207"/>
      <c r="B16" s="201" t="s">
        <v>90</v>
      </c>
      <c r="C16" s="4" t="s">
        <v>12</v>
      </c>
      <c r="D16" s="41" t="s">
        <v>53</v>
      </c>
      <c r="E16" s="6">
        <v>4</v>
      </c>
      <c r="F16" s="19">
        <v>4</v>
      </c>
      <c r="G16" s="29">
        <v>4</v>
      </c>
      <c r="H16" s="23"/>
      <c r="I16" s="22"/>
      <c r="J16" s="23"/>
      <c r="K16" s="22"/>
      <c r="L16" s="23"/>
      <c r="M16" s="203">
        <v>8</v>
      </c>
      <c r="N16" s="250">
        <v>8</v>
      </c>
    </row>
    <row r="17" spans="1:14" x14ac:dyDescent="0.3">
      <c r="A17" s="207"/>
      <c r="B17" s="202"/>
      <c r="C17" s="4" t="s">
        <v>12</v>
      </c>
      <c r="D17" s="41" t="s">
        <v>54</v>
      </c>
      <c r="E17" s="6">
        <v>4</v>
      </c>
      <c r="F17" s="19">
        <v>4</v>
      </c>
      <c r="G17" s="29"/>
      <c r="H17" s="23">
        <v>4</v>
      </c>
      <c r="I17" s="22"/>
      <c r="J17" s="23"/>
      <c r="K17" s="22"/>
      <c r="L17" s="23"/>
      <c r="M17" s="203"/>
      <c r="N17" s="250"/>
    </row>
    <row r="18" spans="1:14" x14ac:dyDescent="0.3">
      <c r="A18" s="207"/>
      <c r="B18" s="201" t="s">
        <v>95</v>
      </c>
      <c r="C18" s="4" t="s">
        <v>12</v>
      </c>
      <c r="D18" s="42" t="s">
        <v>55</v>
      </c>
      <c r="E18" s="6">
        <v>4</v>
      </c>
      <c r="F18" s="19">
        <v>4</v>
      </c>
      <c r="G18" s="29">
        <v>4</v>
      </c>
      <c r="H18" s="23"/>
      <c r="I18" s="22"/>
      <c r="J18" s="23"/>
      <c r="K18" s="22"/>
      <c r="L18" s="23"/>
      <c r="M18" s="203">
        <v>10</v>
      </c>
      <c r="N18" s="212">
        <v>10</v>
      </c>
    </row>
    <row r="19" spans="1:14" x14ac:dyDescent="0.3">
      <c r="A19" s="207"/>
      <c r="B19" s="230"/>
      <c r="C19" s="4" t="s">
        <v>12</v>
      </c>
      <c r="D19" s="42" t="s">
        <v>56</v>
      </c>
      <c r="E19" s="6">
        <v>4</v>
      </c>
      <c r="F19" s="19">
        <v>4</v>
      </c>
      <c r="G19" s="29"/>
      <c r="H19" s="23">
        <v>4</v>
      </c>
      <c r="I19" s="22"/>
      <c r="J19" s="23"/>
      <c r="K19" s="22"/>
      <c r="L19" s="23"/>
      <c r="M19" s="203"/>
      <c r="N19" s="212"/>
    </row>
    <row r="20" spans="1:14" x14ac:dyDescent="0.3">
      <c r="A20" s="207"/>
      <c r="B20" s="230"/>
      <c r="C20" s="4" t="s">
        <v>12</v>
      </c>
      <c r="D20" s="42" t="s">
        <v>59</v>
      </c>
      <c r="E20" s="6">
        <v>1</v>
      </c>
      <c r="F20" s="19">
        <v>1</v>
      </c>
      <c r="G20" s="29">
        <v>1</v>
      </c>
      <c r="H20" s="23"/>
      <c r="I20" s="22"/>
      <c r="J20" s="23"/>
      <c r="K20" s="22"/>
      <c r="L20" s="23"/>
      <c r="M20" s="203"/>
      <c r="N20" s="212"/>
    </row>
    <row r="21" spans="1:14" x14ac:dyDescent="0.3">
      <c r="A21" s="207"/>
      <c r="B21" s="202"/>
      <c r="C21" s="4" t="s">
        <v>12</v>
      </c>
      <c r="D21" s="42" t="s">
        <v>60</v>
      </c>
      <c r="E21" s="6">
        <v>1</v>
      </c>
      <c r="F21" s="19">
        <v>1</v>
      </c>
      <c r="G21" s="29"/>
      <c r="H21" s="23">
        <v>1</v>
      </c>
      <c r="I21" s="22"/>
      <c r="J21" s="23"/>
      <c r="K21" s="22"/>
      <c r="L21" s="23"/>
      <c r="M21" s="203"/>
      <c r="N21" s="212"/>
    </row>
    <row r="22" spans="1:14" x14ac:dyDescent="0.3">
      <c r="A22" s="207"/>
      <c r="B22" s="201" t="s">
        <v>97</v>
      </c>
      <c r="C22" s="4" t="s">
        <v>24</v>
      </c>
      <c r="D22" s="42" t="s">
        <v>70</v>
      </c>
      <c r="E22" s="6">
        <v>3</v>
      </c>
      <c r="F22" s="19">
        <v>2</v>
      </c>
      <c r="G22" s="22">
        <v>2</v>
      </c>
      <c r="H22" s="23"/>
      <c r="I22" s="22"/>
      <c r="J22" s="23"/>
      <c r="K22" s="22"/>
      <c r="L22" s="23"/>
      <c r="M22" s="203">
        <f>SUM(G22:L27)</f>
        <v>12</v>
      </c>
      <c r="N22" s="212">
        <v>10</v>
      </c>
    </row>
    <row r="23" spans="1:14" x14ac:dyDescent="0.3">
      <c r="A23" s="207"/>
      <c r="B23" s="230"/>
      <c r="C23" s="4" t="s">
        <v>24</v>
      </c>
      <c r="D23" s="42" t="s">
        <v>57</v>
      </c>
      <c r="E23" s="6">
        <v>3</v>
      </c>
      <c r="F23" s="19">
        <v>2</v>
      </c>
      <c r="G23" s="22"/>
      <c r="H23" s="23">
        <v>2</v>
      </c>
      <c r="I23" s="22"/>
      <c r="J23" s="23"/>
      <c r="K23" s="22"/>
      <c r="L23" s="23"/>
      <c r="M23" s="203"/>
      <c r="N23" s="212"/>
    </row>
    <row r="24" spans="1:14" x14ac:dyDescent="0.3">
      <c r="A24" s="207"/>
      <c r="B24" s="230"/>
      <c r="C24" s="4" t="s">
        <v>22</v>
      </c>
      <c r="D24" s="42" t="s">
        <v>69</v>
      </c>
      <c r="E24" s="6">
        <v>2</v>
      </c>
      <c r="F24" s="19">
        <v>2</v>
      </c>
      <c r="G24" s="22"/>
      <c r="H24" s="23"/>
      <c r="I24" s="22">
        <v>2</v>
      </c>
      <c r="J24" s="23"/>
      <c r="K24" s="22"/>
      <c r="L24" s="23"/>
      <c r="M24" s="203"/>
      <c r="N24" s="212"/>
    </row>
    <row r="25" spans="1:14" x14ac:dyDescent="0.3">
      <c r="A25" s="207"/>
      <c r="B25" s="230"/>
      <c r="C25" s="4" t="s">
        <v>22</v>
      </c>
      <c r="D25" s="42" t="s">
        <v>71</v>
      </c>
      <c r="E25" s="6">
        <v>2</v>
      </c>
      <c r="F25" s="19">
        <v>2</v>
      </c>
      <c r="G25" s="22"/>
      <c r="H25" s="23"/>
      <c r="I25" s="22"/>
      <c r="J25" s="23">
        <v>2</v>
      </c>
      <c r="K25" s="22"/>
      <c r="L25" s="23"/>
      <c r="M25" s="203"/>
      <c r="N25" s="212"/>
    </row>
    <row r="26" spans="1:14" x14ac:dyDescent="0.3">
      <c r="A26" s="207"/>
      <c r="B26" s="230"/>
      <c r="C26" s="4" t="s">
        <v>72</v>
      </c>
      <c r="D26" s="42" t="s">
        <v>136</v>
      </c>
      <c r="E26" s="6">
        <v>3</v>
      </c>
      <c r="F26" s="19">
        <v>2</v>
      </c>
      <c r="G26" s="22"/>
      <c r="H26" s="23"/>
      <c r="I26" s="22"/>
      <c r="J26" s="23"/>
      <c r="K26" s="22">
        <v>2</v>
      </c>
      <c r="L26" s="23"/>
      <c r="M26" s="203"/>
      <c r="N26" s="212"/>
    </row>
    <row r="27" spans="1:14" x14ac:dyDescent="0.3">
      <c r="A27" s="207"/>
      <c r="B27" s="202"/>
      <c r="C27" s="4" t="s">
        <v>72</v>
      </c>
      <c r="D27" s="42" t="s">
        <v>137</v>
      </c>
      <c r="E27" s="6">
        <v>3</v>
      </c>
      <c r="F27" s="19">
        <v>2</v>
      </c>
      <c r="G27" s="22"/>
      <c r="H27" s="23"/>
      <c r="I27" s="22"/>
      <c r="J27" s="23"/>
      <c r="K27" s="22"/>
      <c r="L27" s="23">
        <v>2</v>
      </c>
      <c r="M27" s="203"/>
      <c r="N27" s="212"/>
    </row>
    <row r="28" spans="1:14" x14ac:dyDescent="0.3">
      <c r="A28" s="207"/>
      <c r="B28" s="241" t="s">
        <v>96</v>
      </c>
      <c r="C28" s="4" t="s">
        <v>13</v>
      </c>
      <c r="D28" s="42" t="s">
        <v>19</v>
      </c>
      <c r="E28" s="6">
        <v>3</v>
      </c>
      <c r="F28" s="19">
        <v>2</v>
      </c>
      <c r="G28" s="245" t="s">
        <v>67</v>
      </c>
      <c r="H28" s="247" t="s">
        <v>67</v>
      </c>
      <c r="I28" s="22"/>
      <c r="J28" s="23"/>
      <c r="K28" s="22"/>
      <c r="L28" s="23"/>
      <c r="M28" s="203">
        <v>4</v>
      </c>
      <c r="N28" s="212">
        <v>10</v>
      </c>
    </row>
    <row r="29" spans="1:14" x14ac:dyDescent="0.3">
      <c r="A29" s="207"/>
      <c r="B29" s="241"/>
      <c r="C29" s="4" t="s">
        <v>13</v>
      </c>
      <c r="D29" s="42" t="s">
        <v>20</v>
      </c>
      <c r="E29" s="6">
        <v>3</v>
      </c>
      <c r="F29" s="19">
        <v>2</v>
      </c>
      <c r="G29" s="246"/>
      <c r="H29" s="248"/>
      <c r="I29" s="22"/>
      <c r="J29" s="23"/>
      <c r="K29" s="22"/>
      <c r="L29" s="23"/>
      <c r="M29" s="203"/>
      <c r="N29" s="212"/>
    </row>
    <row r="30" spans="1:14" x14ac:dyDescent="0.3">
      <c r="A30" s="207"/>
      <c r="B30" s="241" t="s">
        <v>93</v>
      </c>
      <c r="C30" s="4" t="s">
        <v>13</v>
      </c>
      <c r="D30" s="42" t="s">
        <v>43</v>
      </c>
      <c r="E30" s="6">
        <v>4</v>
      </c>
      <c r="F30" s="19">
        <v>3</v>
      </c>
      <c r="G30" s="30">
        <v>3</v>
      </c>
      <c r="H30" s="31"/>
      <c r="I30" s="22"/>
      <c r="J30" s="23"/>
      <c r="K30" s="22"/>
      <c r="L30" s="23"/>
      <c r="M30" s="297">
        <v>6</v>
      </c>
      <c r="N30" s="212">
        <v>16</v>
      </c>
    </row>
    <row r="31" spans="1:14" ht="15" thickBot="1" x14ac:dyDescent="0.35">
      <c r="A31" s="207"/>
      <c r="B31" s="241"/>
      <c r="C31" s="4" t="s">
        <v>42</v>
      </c>
      <c r="D31" s="42" t="s">
        <v>76</v>
      </c>
      <c r="E31" s="6">
        <v>4</v>
      </c>
      <c r="F31" s="19">
        <v>3</v>
      </c>
      <c r="G31" s="30"/>
      <c r="H31" s="31">
        <v>3</v>
      </c>
      <c r="I31" s="22"/>
      <c r="J31" s="23"/>
      <c r="K31" s="22"/>
      <c r="L31" s="23"/>
      <c r="M31" s="298"/>
      <c r="N31" s="212"/>
    </row>
    <row r="32" spans="1:14" ht="13.9" customHeight="1" x14ac:dyDescent="0.3">
      <c r="A32" s="310" t="s">
        <v>21</v>
      </c>
      <c r="B32" s="15" t="s">
        <v>27</v>
      </c>
      <c r="C32" s="15" t="s">
        <v>24</v>
      </c>
      <c r="D32" s="93" t="s">
        <v>83</v>
      </c>
      <c r="E32" s="16">
        <v>4</v>
      </c>
      <c r="F32" s="21">
        <v>4</v>
      </c>
      <c r="G32" s="101"/>
      <c r="H32" s="102"/>
      <c r="I32" s="94" t="s">
        <v>133</v>
      </c>
      <c r="J32" s="251"/>
      <c r="K32" s="101"/>
      <c r="L32" s="102"/>
      <c r="M32" s="215">
        <v>20</v>
      </c>
      <c r="N32" s="216"/>
    </row>
    <row r="33" spans="1:14" ht="17.45" customHeight="1" x14ac:dyDescent="0.3">
      <c r="A33" s="311"/>
      <c r="B33" s="241" t="s">
        <v>29</v>
      </c>
      <c r="C33" s="4" t="s">
        <v>24</v>
      </c>
      <c r="D33" s="44" t="s">
        <v>87</v>
      </c>
      <c r="E33" s="6">
        <v>4</v>
      </c>
      <c r="F33" s="19">
        <v>4</v>
      </c>
      <c r="G33" s="103"/>
      <c r="H33" s="104"/>
      <c r="I33" s="235" t="s">
        <v>139</v>
      </c>
      <c r="J33" s="252"/>
      <c r="K33" s="103"/>
      <c r="L33" s="104"/>
      <c r="M33" s="203"/>
      <c r="N33" s="212"/>
    </row>
    <row r="34" spans="1:14" ht="17.45" customHeight="1" x14ac:dyDescent="0.3">
      <c r="A34" s="311"/>
      <c r="B34" s="241"/>
      <c r="C34" s="4" t="s">
        <v>22</v>
      </c>
      <c r="D34" s="45" t="s">
        <v>63</v>
      </c>
      <c r="E34" s="6">
        <v>4</v>
      </c>
      <c r="F34" s="19">
        <v>4</v>
      </c>
      <c r="G34" s="103"/>
      <c r="H34" s="104"/>
      <c r="I34" s="235"/>
      <c r="J34" s="252"/>
      <c r="K34" s="103"/>
      <c r="L34" s="104"/>
      <c r="M34" s="203"/>
      <c r="N34" s="212"/>
    </row>
    <row r="35" spans="1:14" ht="17.45" customHeight="1" x14ac:dyDescent="0.3">
      <c r="A35" s="311"/>
      <c r="B35" s="201" t="s">
        <v>30</v>
      </c>
      <c r="C35" s="4" t="s">
        <v>22</v>
      </c>
      <c r="D35" s="45" t="s">
        <v>169</v>
      </c>
      <c r="E35" s="6">
        <v>4</v>
      </c>
      <c r="F35" s="19">
        <v>4</v>
      </c>
      <c r="G35" s="103"/>
      <c r="H35" s="104"/>
      <c r="I35" s="235"/>
      <c r="J35" s="252"/>
      <c r="K35" s="103"/>
      <c r="L35" s="104"/>
      <c r="M35" s="203"/>
      <c r="N35" s="212"/>
    </row>
    <row r="36" spans="1:14" ht="17.45" customHeight="1" x14ac:dyDescent="0.3">
      <c r="A36" s="311"/>
      <c r="B36" s="202"/>
      <c r="C36" s="4" t="s">
        <v>58</v>
      </c>
      <c r="D36" s="44" t="s">
        <v>154</v>
      </c>
      <c r="E36" s="6">
        <v>4</v>
      </c>
      <c r="F36" s="19">
        <v>4</v>
      </c>
      <c r="G36" s="103"/>
      <c r="H36" s="104"/>
      <c r="I36" s="235"/>
      <c r="J36" s="252"/>
      <c r="K36" s="103"/>
      <c r="L36" s="104"/>
      <c r="M36" s="203"/>
      <c r="N36" s="212"/>
    </row>
    <row r="37" spans="1:14" ht="18" customHeight="1" thickBot="1" x14ac:dyDescent="0.35">
      <c r="A37" s="311"/>
      <c r="B37" s="74" t="s">
        <v>31</v>
      </c>
      <c r="C37" s="74" t="s">
        <v>24</v>
      </c>
      <c r="D37" s="78" t="s">
        <v>141</v>
      </c>
      <c r="E37" s="76">
        <v>4</v>
      </c>
      <c r="F37" s="77">
        <v>4</v>
      </c>
      <c r="G37" s="109"/>
      <c r="H37" s="110"/>
      <c r="I37" s="236"/>
      <c r="J37" s="253"/>
      <c r="K37" s="109"/>
      <c r="L37" s="110"/>
      <c r="M37" s="254"/>
      <c r="N37" s="259"/>
    </row>
    <row r="38" spans="1:14" ht="17.45" customHeight="1" x14ac:dyDescent="0.3">
      <c r="A38" s="311"/>
      <c r="B38" s="238" t="s">
        <v>91</v>
      </c>
      <c r="C38" s="12" t="s">
        <v>13</v>
      </c>
      <c r="D38" s="91" t="s">
        <v>82</v>
      </c>
      <c r="E38" s="14">
        <v>4</v>
      </c>
      <c r="F38" s="39">
        <v>4</v>
      </c>
      <c r="G38" s="107"/>
      <c r="H38" s="108"/>
      <c r="I38" s="87"/>
      <c r="J38" s="92" t="s">
        <v>179</v>
      </c>
      <c r="K38" s="112"/>
      <c r="L38" s="113"/>
      <c r="M38" s="255">
        <v>16</v>
      </c>
      <c r="N38" s="283"/>
    </row>
    <row r="39" spans="1:14" ht="17.45" customHeight="1" x14ac:dyDescent="0.3">
      <c r="A39" s="311"/>
      <c r="B39" s="214"/>
      <c r="C39" s="4" t="s">
        <v>42</v>
      </c>
      <c r="D39" s="118" t="s">
        <v>86</v>
      </c>
      <c r="E39" s="6">
        <v>4</v>
      </c>
      <c r="F39" s="19">
        <v>4</v>
      </c>
      <c r="G39" s="103"/>
      <c r="H39" s="104"/>
      <c r="I39" s="87"/>
      <c r="J39" s="260" t="s">
        <v>183</v>
      </c>
      <c r="K39" s="103"/>
      <c r="L39" s="104"/>
      <c r="M39" s="256"/>
      <c r="N39" s="284"/>
    </row>
    <row r="40" spans="1:14" ht="17.45" customHeight="1" x14ac:dyDescent="0.3">
      <c r="A40" s="311"/>
      <c r="B40" s="213" t="s">
        <v>89</v>
      </c>
      <c r="C40" s="4" t="s">
        <v>24</v>
      </c>
      <c r="D40" s="46" t="s">
        <v>129</v>
      </c>
      <c r="E40" s="6">
        <v>4</v>
      </c>
      <c r="F40" s="19">
        <v>4</v>
      </c>
      <c r="G40" s="103"/>
      <c r="H40" s="104"/>
      <c r="I40" s="87"/>
      <c r="J40" s="261"/>
      <c r="K40" s="103"/>
      <c r="L40" s="104"/>
      <c r="M40" s="256"/>
      <c r="N40" s="284"/>
    </row>
    <row r="41" spans="1:14" ht="17.45" customHeight="1" x14ac:dyDescent="0.3">
      <c r="A41" s="311"/>
      <c r="B41" s="214"/>
      <c r="C41" s="4" t="s">
        <v>58</v>
      </c>
      <c r="D41" s="46" t="s">
        <v>120</v>
      </c>
      <c r="E41" s="6">
        <v>4</v>
      </c>
      <c r="F41" s="19">
        <v>4</v>
      </c>
      <c r="G41" s="103"/>
      <c r="H41" s="104"/>
      <c r="I41" s="87"/>
      <c r="J41" s="261"/>
      <c r="K41" s="103"/>
      <c r="L41" s="104"/>
      <c r="M41" s="256"/>
      <c r="N41" s="284"/>
    </row>
    <row r="42" spans="1:14" ht="17.45" customHeight="1" x14ac:dyDescent="0.3">
      <c r="A42" s="311"/>
      <c r="B42" s="213" t="s">
        <v>90</v>
      </c>
      <c r="C42" s="4" t="s">
        <v>13</v>
      </c>
      <c r="D42" s="46" t="s">
        <v>156</v>
      </c>
      <c r="E42" s="6">
        <v>4</v>
      </c>
      <c r="F42" s="19">
        <v>4</v>
      </c>
      <c r="G42" s="103"/>
      <c r="H42" s="104"/>
      <c r="I42" s="87"/>
      <c r="J42" s="261"/>
      <c r="K42" s="103"/>
      <c r="L42" s="104"/>
      <c r="M42" s="256"/>
      <c r="N42" s="284"/>
    </row>
    <row r="43" spans="1:14" ht="17.45" customHeight="1" x14ac:dyDescent="0.3">
      <c r="A43" s="311"/>
      <c r="B43" s="214"/>
      <c r="C43" s="4" t="s">
        <v>42</v>
      </c>
      <c r="D43" s="46" t="s">
        <v>170</v>
      </c>
      <c r="E43" s="6">
        <v>4</v>
      </c>
      <c r="F43" s="72">
        <v>4</v>
      </c>
      <c r="G43" s="103"/>
      <c r="H43" s="104"/>
      <c r="I43" s="87"/>
      <c r="J43" s="261"/>
      <c r="K43" s="103"/>
      <c r="L43" s="104"/>
      <c r="M43" s="256"/>
      <c r="N43" s="284"/>
    </row>
    <row r="44" spans="1:14" ht="26.25" thickBot="1" x14ac:dyDescent="0.35">
      <c r="A44" s="311"/>
      <c r="B44" s="73" t="s">
        <v>95</v>
      </c>
      <c r="C44" s="74" t="s">
        <v>13</v>
      </c>
      <c r="D44" s="75" t="s">
        <v>143</v>
      </c>
      <c r="E44" s="76">
        <v>4</v>
      </c>
      <c r="F44" s="77">
        <v>4</v>
      </c>
      <c r="G44" s="109"/>
      <c r="H44" s="110"/>
      <c r="I44" s="90"/>
      <c r="J44" s="262"/>
      <c r="K44" s="109"/>
      <c r="L44" s="110"/>
      <c r="M44" s="257"/>
      <c r="N44" s="285"/>
    </row>
    <row r="45" spans="1:14" ht="17.45" customHeight="1" x14ac:dyDescent="0.3">
      <c r="A45" s="311"/>
      <c r="B45" s="68" t="s">
        <v>32</v>
      </c>
      <c r="C45" s="61" t="s">
        <v>72</v>
      </c>
      <c r="D45" s="69" t="s">
        <v>102</v>
      </c>
      <c r="E45" s="70">
        <v>4</v>
      </c>
      <c r="F45" s="71">
        <v>3</v>
      </c>
      <c r="G45" s="107"/>
      <c r="H45" s="108"/>
      <c r="I45" s="89" t="s">
        <v>34</v>
      </c>
      <c r="J45" s="67" t="s">
        <v>34</v>
      </c>
      <c r="K45" s="107"/>
      <c r="L45" s="108"/>
      <c r="M45" s="256">
        <v>6</v>
      </c>
      <c r="N45" s="95"/>
    </row>
    <row r="46" spans="1:14" ht="18" customHeight="1" thickBot="1" x14ac:dyDescent="0.35">
      <c r="A46" s="311"/>
      <c r="B46" s="5" t="s">
        <v>93</v>
      </c>
      <c r="C46" s="10" t="s">
        <v>22</v>
      </c>
      <c r="D46" s="66" t="s">
        <v>135</v>
      </c>
      <c r="E46" s="13">
        <v>4</v>
      </c>
      <c r="F46" s="28">
        <v>3</v>
      </c>
      <c r="G46" s="105"/>
      <c r="H46" s="106"/>
      <c r="I46" s="88">
        <v>3</v>
      </c>
      <c r="J46" s="81">
        <v>3</v>
      </c>
      <c r="K46" s="111"/>
      <c r="L46" s="110"/>
      <c r="M46" s="257"/>
      <c r="N46" s="96"/>
    </row>
    <row r="47" spans="1:14" ht="17.45" customHeight="1" x14ac:dyDescent="0.3">
      <c r="A47" s="311"/>
      <c r="B47" s="276" t="s">
        <v>91</v>
      </c>
      <c r="C47" s="15" t="s">
        <v>24</v>
      </c>
      <c r="D47" s="47" t="s">
        <v>61</v>
      </c>
      <c r="E47" s="16">
        <v>4</v>
      </c>
      <c r="F47" s="21">
        <v>4</v>
      </c>
      <c r="G47" s="24"/>
      <c r="H47" s="25"/>
      <c r="I47" s="24"/>
      <c r="J47" s="25"/>
      <c r="K47" s="32" t="s">
        <v>133</v>
      </c>
      <c r="L47" s="292"/>
      <c r="M47" s="255">
        <v>20</v>
      </c>
      <c r="N47" s="114"/>
    </row>
    <row r="48" spans="1:14" ht="17.45" customHeight="1" x14ac:dyDescent="0.3">
      <c r="A48" s="311"/>
      <c r="B48" s="241"/>
      <c r="C48" s="4" t="s">
        <v>42</v>
      </c>
      <c r="D48" s="48" t="s">
        <v>74</v>
      </c>
      <c r="E48" s="6">
        <v>4</v>
      </c>
      <c r="F48" s="19">
        <v>4</v>
      </c>
      <c r="G48" s="22"/>
      <c r="H48" s="23"/>
      <c r="I48" s="22"/>
      <c r="J48" s="23"/>
      <c r="K48" s="294" t="s">
        <v>134</v>
      </c>
      <c r="L48" s="292"/>
      <c r="M48" s="256"/>
      <c r="N48" s="95"/>
    </row>
    <row r="49" spans="1:14" ht="17.45" customHeight="1" x14ac:dyDescent="0.3">
      <c r="A49" s="311"/>
      <c r="B49" s="4" t="s">
        <v>92</v>
      </c>
      <c r="C49" s="4" t="s">
        <v>22</v>
      </c>
      <c r="D49" s="49" t="s">
        <v>168</v>
      </c>
      <c r="E49" s="6">
        <v>4</v>
      </c>
      <c r="F49" s="19">
        <v>4</v>
      </c>
      <c r="G49" s="22"/>
      <c r="H49" s="23"/>
      <c r="I49" s="22"/>
      <c r="J49" s="23"/>
      <c r="K49" s="303"/>
      <c r="L49" s="292"/>
      <c r="M49" s="256"/>
      <c r="N49" s="95"/>
    </row>
    <row r="50" spans="1:14" ht="17.45" customHeight="1" x14ac:dyDescent="0.3">
      <c r="A50" s="311"/>
      <c r="B50" s="241" t="s">
        <v>89</v>
      </c>
      <c r="C50" s="4" t="s">
        <v>24</v>
      </c>
      <c r="D50" s="50" t="s">
        <v>62</v>
      </c>
      <c r="E50" s="6">
        <v>4</v>
      </c>
      <c r="F50" s="19">
        <v>4</v>
      </c>
      <c r="G50" s="22"/>
      <c r="H50" s="23"/>
      <c r="I50" s="22"/>
      <c r="J50" s="23"/>
      <c r="K50" s="303"/>
      <c r="L50" s="292"/>
      <c r="M50" s="256"/>
      <c r="N50" s="95"/>
    </row>
    <row r="51" spans="1:14" ht="17.45" customHeight="1" x14ac:dyDescent="0.3">
      <c r="A51" s="311"/>
      <c r="B51" s="241"/>
      <c r="C51" s="4" t="s">
        <v>22</v>
      </c>
      <c r="D51" s="50" t="s">
        <v>80</v>
      </c>
      <c r="E51" s="6">
        <v>4</v>
      </c>
      <c r="F51" s="19">
        <v>4</v>
      </c>
      <c r="G51" s="22"/>
      <c r="H51" s="23"/>
      <c r="I51" s="22"/>
      <c r="J51" s="23"/>
      <c r="K51" s="303"/>
      <c r="L51" s="292"/>
      <c r="M51" s="256"/>
      <c r="N51" s="95"/>
    </row>
    <row r="52" spans="1:14" ht="17.45" customHeight="1" x14ac:dyDescent="0.3">
      <c r="A52" s="311"/>
      <c r="B52" s="201" t="s">
        <v>90</v>
      </c>
      <c r="C52" s="4" t="s">
        <v>13</v>
      </c>
      <c r="D52" s="51" t="s">
        <v>127</v>
      </c>
      <c r="E52" s="6">
        <v>4</v>
      </c>
      <c r="F52" s="19">
        <v>4</v>
      </c>
      <c r="G52" s="22"/>
      <c r="H52" s="23"/>
      <c r="I52" s="22"/>
      <c r="J52" s="23"/>
      <c r="K52" s="303"/>
      <c r="L52" s="292"/>
      <c r="M52" s="256"/>
      <c r="N52" s="95"/>
    </row>
    <row r="53" spans="1:14" ht="17.45" customHeight="1" x14ac:dyDescent="0.3">
      <c r="A53" s="311"/>
      <c r="B53" s="230"/>
      <c r="C53" s="4" t="s">
        <v>22</v>
      </c>
      <c r="D53" s="51" t="s">
        <v>157</v>
      </c>
      <c r="E53" s="6">
        <v>4</v>
      </c>
      <c r="F53" s="19">
        <v>4</v>
      </c>
      <c r="G53" s="22"/>
      <c r="H53" s="23"/>
      <c r="I53" s="22"/>
      <c r="J53" s="23"/>
      <c r="K53" s="303"/>
      <c r="L53" s="292"/>
      <c r="M53" s="256"/>
      <c r="N53" s="95"/>
    </row>
    <row r="54" spans="1:14" ht="17.45" customHeight="1" x14ac:dyDescent="0.3">
      <c r="A54" s="311"/>
      <c r="B54" s="230"/>
      <c r="C54" s="4" t="s">
        <v>58</v>
      </c>
      <c r="D54" s="51" t="s">
        <v>160</v>
      </c>
      <c r="E54" s="6">
        <v>4</v>
      </c>
      <c r="F54" s="19">
        <v>4</v>
      </c>
      <c r="G54" s="22"/>
      <c r="H54" s="23"/>
      <c r="I54" s="22"/>
      <c r="J54" s="23"/>
      <c r="K54" s="303"/>
      <c r="L54" s="292"/>
      <c r="M54" s="256"/>
      <c r="N54" s="95"/>
    </row>
    <row r="55" spans="1:14" ht="26.25" thickBot="1" x14ac:dyDescent="0.35">
      <c r="A55" s="311"/>
      <c r="B55" s="10" t="s">
        <v>31</v>
      </c>
      <c r="C55" s="10" t="s">
        <v>22</v>
      </c>
      <c r="D55" s="83" t="s">
        <v>144</v>
      </c>
      <c r="E55" s="13">
        <v>4</v>
      </c>
      <c r="F55" s="28">
        <v>4</v>
      </c>
      <c r="G55" s="79"/>
      <c r="H55" s="80"/>
      <c r="I55" s="79"/>
      <c r="J55" s="80"/>
      <c r="K55" s="303"/>
      <c r="L55" s="292"/>
      <c r="M55" s="256"/>
      <c r="N55" s="95"/>
    </row>
    <row r="56" spans="1:14" ht="17.45" customHeight="1" x14ac:dyDescent="0.3">
      <c r="A56" s="311"/>
      <c r="B56" s="15" t="s">
        <v>91</v>
      </c>
      <c r="C56" s="15" t="s">
        <v>72</v>
      </c>
      <c r="D56" s="53" t="s">
        <v>79</v>
      </c>
      <c r="E56" s="16">
        <v>4</v>
      </c>
      <c r="F56" s="21">
        <v>4</v>
      </c>
      <c r="G56" s="24"/>
      <c r="H56" s="25"/>
      <c r="I56" s="24"/>
      <c r="J56" s="25"/>
      <c r="K56" s="286"/>
      <c r="L56" s="33" t="s">
        <v>133</v>
      </c>
      <c r="M56" s="255">
        <v>20</v>
      </c>
      <c r="N56" s="283"/>
    </row>
    <row r="57" spans="1:14" ht="17.45" customHeight="1" x14ac:dyDescent="0.3">
      <c r="A57" s="311"/>
      <c r="B57" s="201" t="s">
        <v>92</v>
      </c>
      <c r="C57" s="12" t="s">
        <v>42</v>
      </c>
      <c r="D57" s="149" t="s">
        <v>150</v>
      </c>
      <c r="E57" s="14">
        <v>4</v>
      </c>
      <c r="F57" s="39">
        <v>4</v>
      </c>
      <c r="G57" s="126"/>
      <c r="H57" s="150"/>
      <c r="I57" s="126"/>
      <c r="J57" s="150"/>
      <c r="K57" s="287"/>
      <c r="L57" s="290" t="s">
        <v>139</v>
      </c>
      <c r="M57" s="256"/>
      <c r="N57" s="284"/>
    </row>
    <row r="58" spans="1:14" ht="17.45" customHeight="1" x14ac:dyDescent="0.3">
      <c r="A58" s="311"/>
      <c r="B58" s="202"/>
      <c r="C58" s="4" t="s">
        <v>58</v>
      </c>
      <c r="D58" s="54" t="s">
        <v>145</v>
      </c>
      <c r="E58" s="6">
        <v>4</v>
      </c>
      <c r="F58" s="19">
        <v>4</v>
      </c>
      <c r="G58" s="22"/>
      <c r="H58" s="23"/>
      <c r="I58" s="22"/>
      <c r="J58" s="23"/>
      <c r="K58" s="287"/>
      <c r="L58" s="301"/>
      <c r="M58" s="256"/>
      <c r="N58" s="284"/>
    </row>
    <row r="59" spans="1:14" ht="17.45" customHeight="1" x14ac:dyDescent="0.3">
      <c r="A59" s="311"/>
      <c r="B59" s="201" t="s">
        <v>29</v>
      </c>
      <c r="C59" s="4" t="s">
        <v>22</v>
      </c>
      <c r="D59" s="54" t="s">
        <v>119</v>
      </c>
      <c r="E59" s="6">
        <v>4</v>
      </c>
      <c r="F59" s="39">
        <v>4</v>
      </c>
      <c r="G59" s="22"/>
      <c r="H59" s="23"/>
      <c r="I59" s="22"/>
      <c r="J59" s="23"/>
      <c r="K59" s="287"/>
      <c r="L59" s="301"/>
      <c r="M59" s="256"/>
      <c r="N59" s="284"/>
    </row>
    <row r="60" spans="1:14" ht="17.45" customHeight="1" x14ac:dyDescent="0.3">
      <c r="A60" s="311"/>
      <c r="B60" s="202"/>
      <c r="C60" s="4" t="s">
        <v>42</v>
      </c>
      <c r="D60" s="55" t="s">
        <v>130</v>
      </c>
      <c r="E60" s="6">
        <v>4</v>
      </c>
      <c r="F60" s="19">
        <v>4</v>
      </c>
      <c r="G60" s="22"/>
      <c r="H60" s="23"/>
      <c r="I60" s="22"/>
      <c r="J60" s="23"/>
      <c r="K60" s="287"/>
      <c r="L60" s="301"/>
      <c r="M60" s="256"/>
      <c r="N60" s="284"/>
    </row>
    <row r="61" spans="1:14" ht="17.45" customHeight="1" x14ac:dyDescent="0.3">
      <c r="A61" s="311"/>
      <c r="B61" s="201" t="s">
        <v>90</v>
      </c>
      <c r="C61" s="4" t="s">
        <v>42</v>
      </c>
      <c r="D61" s="55" t="s">
        <v>163</v>
      </c>
      <c r="E61" s="6">
        <v>4</v>
      </c>
      <c r="F61" s="39">
        <v>4</v>
      </c>
      <c r="G61" s="22"/>
      <c r="H61" s="23"/>
      <c r="I61" s="22"/>
      <c r="J61" s="23"/>
      <c r="K61" s="287"/>
      <c r="L61" s="301"/>
      <c r="M61" s="256"/>
      <c r="N61" s="284"/>
    </row>
    <row r="62" spans="1:14" ht="17.45" customHeight="1" x14ac:dyDescent="0.3">
      <c r="A62" s="311"/>
      <c r="B62" s="202"/>
      <c r="C62" s="4" t="s">
        <v>72</v>
      </c>
      <c r="D62" s="56" t="s">
        <v>165</v>
      </c>
      <c r="E62" s="6">
        <v>4</v>
      </c>
      <c r="F62" s="39">
        <v>4</v>
      </c>
      <c r="G62" s="22"/>
      <c r="H62" s="23"/>
      <c r="I62" s="22"/>
      <c r="J62" s="23"/>
      <c r="K62" s="287"/>
      <c r="L62" s="301"/>
      <c r="M62" s="256"/>
      <c r="N62" s="284"/>
    </row>
    <row r="63" spans="1:14" ht="26.25" thickBot="1" x14ac:dyDescent="0.35">
      <c r="A63" s="311"/>
      <c r="B63" s="10" t="s">
        <v>31</v>
      </c>
      <c r="C63" s="10" t="s">
        <v>72</v>
      </c>
      <c r="D63" s="85" t="s">
        <v>111</v>
      </c>
      <c r="E63" s="13">
        <v>4</v>
      </c>
      <c r="F63" s="28">
        <v>4</v>
      </c>
      <c r="G63" s="79"/>
      <c r="H63" s="80"/>
      <c r="I63" s="79"/>
      <c r="J63" s="80"/>
      <c r="K63" s="287"/>
      <c r="L63" s="309"/>
      <c r="M63" s="256"/>
      <c r="N63" s="284"/>
    </row>
    <row r="64" spans="1:14" ht="17.45" customHeight="1" x14ac:dyDescent="0.3">
      <c r="A64" s="311"/>
      <c r="B64" s="308" t="s">
        <v>96</v>
      </c>
      <c r="C64" s="15" t="s">
        <v>22</v>
      </c>
      <c r="D64" s="58" t="s">
        <v>65</v>
      </c>
      <c r="E64" s="16">
        <v>3</v>
      </c>
      <c r="F64" s="21">
        <v>3</v>
      </c>
      <c r="G64" s="24"/>
      <c r="H64" s="25"/>
      <c r="I64" s="24"/>
      <c r="J64" s="25"/>
      <c r="K64" s="34" t="s">
        <v>34</v>
      </c>
      <c r="L64" s="277"/>
      <c r="M64" s="278">
        <v>3</v>
      </c>
      <c r="N64" s="283"/>
    </row>
    <row r="65" spans="1:14" ht="18" customHeight="1" thickBot="1" x14ac:dyDescent="0.35">
      <c r="A65" s="311"/>
      <c r="B65" s="230"/>
      <c r="C65" s="17" t="s">
        <v>22</v>
      </c>
      <c r="D65" s="59" t="s">
        <v>36</v>
      </c>
      <c r="E65" s="18">
        <v>3</v>
      </c>
      <c r="F65" s="20">
        <v>3</v>
      </c>
      <c r="G65" s="26"/>
      <c r="H65" s="27"/>
      <c r="I65" s="26"/>
      <c r="J65" s="27"/>
      <c r="K65" s="35">
        <v>3</v>
      </c>
      <c r="L65" s="277"/>
      <c r="M65" s="279"/>
      <c r="N65" s="285"/>
    </row>
    <row r="66" spans="1:14" ht="17.45" customHeight="1" x14ac:dyDescent="0.3">
      <c r="A66" s="311"/>
      <c r="B66" s="230"/>
      <c r="C66" s="15" t="s">
        <v>22</v>
      </c>
      <c r="D66" s="60" t="s">
        <v>73</v>
      </c>
      <c r="E66" s="16">
        <v>3</v>
      </c>
      <c r="F66" s="21">
        <v>3</v>
      </c>
      <c r="G66" s="24"/>
      <c r="H66" s="25"/>
      <c r="I66" s="24"/>
      <c r="J66" s="25"/>
      <c r="K66" s="140"/>
      <c r="L66" s="36" t="s">
        <v>34</v>
      </c>
      <c r="M66" s="255">
        <v>3</v>
      </c>
      <c r="N66" s="114"/>
    </row>
    <row r="67" spans="1:14" ht="18" customHeight="1" thickBot="1" x14ac:dyDescent="0.35">
      <c r="A67" s="311"/>
      <c r="B67" s="202"/>
      <c r="C67" s="134" t="s">
        <v>22</v>
      </c>
      <c r="D67" s="135" t="s">
        <v>75</v>
      </c>
      <c r="E67" s="136">
        <v>3</v>
      </c>
      <c r="F67" s="137">
        <v>3</v>
      </c>
      <c r="G67" s="146"/>
      <c r="H67" s="147"/>
      <c r="I67" s="146"/>
      <c r="J67" s="147"/>
      <c r="K67" s="141"/>
      <c r="L67" s="121">
        <v>3</v>
      </c>
      <c r="M67" s="257"/>
      <c r="N67" s="96"/>
    </row>
    <row r="68" spans="1:14" ht="17.45" customHeight="1" x14ac:dyDescent="0.3">
      <c r="A68" s="311"/>
      <c r="B68" s="201" t="s">
        <v>138</v>
      </c>
      <c r="C68" s="131" t="s">
        <v>13</v>
      </c>
      <c r="D68" s="138" t="s">
        <v>66</v>
      </c>
      <c r="E68" s="132">
        <v>3</v>
      </c>
      <c r="F68" s="133">
        <v>2</v>
      </c>
      <c r="G68" s="125"/>
      <c r="H68" s="127"/>
      <c r="I68" s="125"/>
      <c r="J68" s="142"/>
      <c r="K68" s="89" t="s">
        <v>34</v>
      </c>
      <c r="L68" s="67" t="s">
        <v>34</v>
      </c>
      <c r="M68" s="256">
        <v>4</v>
      </c>
      <c r="N68" s="95"/>
    </row>
    <row r="69" spans="1:14" ht="18" customHeight="1" thickBot="1" x14ac:dyDescent="0.35">
      <c r="A69" s="312"/>
      <c r="B69" s="313"/>
      <c r="C69" s="128" t="s">
        <v>22</v>
      </c>
      <c r="D69" s="139" t="s">
        <v>146</v>
      </c>
      <c r="E69" s="129">
        <v>3</v>
      </c>
      <c r="F69" s="130">
        <v>2</v>
      </c>
      <c r="G69" s="115"/>
      <c r="H69" s="120"/>
      <c r="I69" s="115"/>
      <c r="J69" s="143"/>
      <c r="K69" s="144">
        <v>2</v>
      </c>
      <c r="L69" s="145">
        <v>2</v>
      </c>
      <c r="M69" s="257"/>
      <c r="N69" s="96"/>
    </row>
    <row r="70" spans="1:14" x14ac:dyDescent="0.3">
      <c r="A70" s="263" t="s">
        <v>39</v>
      </c>
      <c r="B70" s="264"/>
      <c r="C70" s="264"/>
      <c r="D70" s="264"/>
      <c r="E70" s="264"/>
      <c r="F70" s="265"/>
      <c r="G70" s="122">
        <v>31</v>
      </c>
      <c r="H70" s="8">
        <v>31</v>
      </c>
      <c r="I70" s="8">
        <v>29</v>
      </c>
      <c r="J70" s="8">
        <v>29</v>
      </c>
      <c r="K70" s="8">
        <v>27</v>
      </c>
      <c r="L70" s="8">
        <v>27</v>
      </c>
      <c r="M70" s="116">
        <f>SUM(G70:L70)</f>
        <v>174</v>
      </c>
      <c r="N70" s="117">
        <f>SUM(N5:N31)</f>
        <v>84</v>
      </c>
    </row>
    <row r="71" spans="1:14" x14ac:dyDescent="0.3">
      <c r="A71" s="266" t="s">
        <v>23</v>
      </c>
      <c r="B71" s="210"/>
      <c r="C71" s="210"/>
      <c r="D71" s="210"/>
      <c r="E71" s="210"/>
      <c r="F71" s="267"/>
      <c r="G71" s="123">
        <v>3</v>
      </c>
      <c r="H71" s="7">
        <v>3</v>
      </c>
      <c r="I71" s="7">
        <v>3</v>
      </c>
      <c r="J71" s="7">
        <v>3</v>
      </c>
      <c r="K71" s="7">
        <v>3</v>
      </c>
      <c r="L71" s="7">
        <v>3</v>
      </c>
      <c r="M71" s="9">
        <f>SUM(G71:L71)</f>
        <v>18</v>
      </c>
      <c r="N71" s="97">
        <v>18</v>
      </c>
    </row>
    <row r="72" spans="1:14" ht="15" thickBot="1" x14ac:dyDescent="0.35">
      <c r="A72" s="268" t="s">
        <v>40</v>
      </c>
      <c r="B72" s="269"/>
      <c r="C72" s="269"/>
      <c r="D72" s="269"/>
      <c r="E72" s="269"/>
      <c r="F72" s="270"/>
      <c r="G72" s="124">
        <f t="shared" ref="G72:L72" si="0">G70+G71</f>
        <v>34</v>
      </c>
      <c r="H72" s="82">
        <f t="shared" si="0"/>
        <v>34</v>
      </c>
      <c r="I72" s="82">
        <f t="shared" si="0"/>
        <v>32</v>
      </c>
      <c r="J72" s="82">
        <f t="shared" si="0"/>
        <v>32</v>
      </c>
      <c r="K72" s="82">
        <f t="shared" si="0"/>
        <v>30</v>
      </c>
      <c r="L72" s="82">
        <f t="shared" si="0"/>
        <v>30</v>
      </c>
      <c r="M72" s="98">
        <f>SUM(G72:L72)</f>
        <v>192</v>
      </c>
      <c r="N72" s="99"/>
    </row>
  </sheetData>
  <mergeCells count="79">
    <mergeCell ref="A70:F70"/>
    <mergeCell ref="A71:F71"/>
    <mergeCell ref="A72:F72"/>
    <mergeCell ref="B64:B67"/>
    <mergeCell ref="L64:L65"/>
    <mergeCell ref="A32:A69"/>
    <mergeCell ref="J32:J37"/>
    <mergeCell ref="B38:B39"/>
    <mergeCell ref="M64:M65"/>
    <mergeCell ref="N64:N65"/>
    <mergeCell ref="M66:M67"/>
    <mergeCell ref="B68:B69"/>
    <mergeCell ref="M68:M69"/>
    <mergeCell ref="M38:M44"/>
    <mergeCell ref="K56:K63"/>
    <mergeCell ref="M56:M63"/>
    <mergeCell ref="N56:N63"/>
    <mergeCell ref="B57:B58"/>
    <mergeCell ref="L57:L63"/>
    <mergeCell ref="B59:B60"/>
    <mergeCell ref="B61:B62"/>
    <mergeCell ref="B42:B43"/>
    <mergeCell ref="M45:M46"/>
    <mergeCell ref="B47:B48"/>
    <mergeCell ref="L47:L55"/>
    <mergeCell ref="M47:M55"/>
    <mergeCell ref="K48:K55"/>
    <mergeCell ref="B50:B51"/>
    <mergeCell ref="B52:B54"/>
    <mergeCell ref="N38:N44"/>
    <mergeCell ref="B28:B29"/>
    <mergeCell ref="G28:G29"/>
    <mergeCell ref="H28:H29"/>
    <mergeCell ref="M28:M29"/>
    <mergeCell ref="N28:N29"/>
    <mergeCell ref="B30:B31"/>
    <mergeCell ref="M30:M31"/>
    <mergeCell ref="N30:N31"/>
    <mergeCell ref="M32:M37"/>
    <mergeCell ref="N32:N37"/>
    <mergeCell ref="I33:I37"/>
    <mergeCell ref="B33:B34"/>
    <mergeCell ref="B35:B36"/>
    <mergeCell ref="J39:J44"/>
    <mergeCell ref="B40:B41"/>
    <mergeCell ref="B18:B21"/>
    <mergeCell ref="M18:M21"/>
    <mergeCell ref="N18:N21"/>
    <mergeCell ref="B22:B27"/>
    <mergeCell ref="M22:M27"/>
    <mergeCell ref="N22:N27"/>
    <mergeCell ref="A5:A31"/>
    <mergeCell ref="B5:B6"/>
    <mergeCell ref="M5:M6"/>
    <mergeCell ref="N5:N6"/>
    <mergeCell ref="B7:B11"/>
    <mergeCell ref="M7:M11"/>
    <mergeCell ref="N7:N11"/>
    <mergeCell ref="B12:B13"/>
    <mergeCell ref="B16:B17"/>
    <mergeCell ref="M16:M17"/>
    <mergeCell ref="N16:N17"/>
    <mergeCell ref="M12:M13"/>
    <mergeCell ref="N12:N13"/>
    <mergeCell ref="B14:B15"/>
    <mergeCell ref="M14:M15"/>
    <mergeCell ref="N14:N15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rintOptions horizontalCentered="1"/>
  <pageMargins left="0.25" right="0.25" top="0.75" bottom="0.75" header="0.3" footer="0.3"/>
  <pageSetup paperSize="12" scale="81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24C1-3AF4-4016-8143-3B3326654725}">
  <sheetPr>
    <tabColor rgb="FFFFC000"/>
    <pageSetUpPr fitToPage="1"/>
  </sheetPr>
  <dimension ref="A1:N85"/>
  <sheetViews>
    <sheetView tabSelected="1" zoomScale="115" zoomScaleNormal="115" workbookViewId="0">
      <pane xSplit="1" ySplit="4" topLeftCell="B62" activePane="bottomRight" state="frozen"/>
      <selection activeCell="L64" sqref="L64:L71"/>
      <selection pane="topRight" activeCell="L64" sqref="L64:L71"/>
      <selection pane="bottomLeft" activeCell="L64" sqref="L64:L71"/>
      <selection pane="bottomRight" activeCell="B77" sqref="B77:C81"/>
    </sheetView>
  </sheetViews>
  <sheetFormatPr defaultColWidth="9" defaultRowHeight="14.25" x14ac:dyDescent="0.3"/>
  <cols>
    <col min="1" max="1" width="4.875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241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8</v>
      </c>
      <c r="N7" s="212">
        <v>8</v>
      </c>
    </row>
    <row r="8" spans="1:14" x14ac:dyDescent="0.3">
      <c r="A8" s="207"/>
      <c r="B8" s="230"/>
      <c r="C8" s="4" t="s">
        <v>172</v>
      </c>
      <c r="D8" s="41" t="s">
        <v>173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01" t="s">
        <v>15</v>
      </c>
      <c r="C9" s="4" t="s">
        <v>12</v>
      </c>
      <c r="D9" s="41" t="s">
        <v>49</v>
      </c>
      <c r="E9" s="6">
        <v>4</v>
      </c>
      <c r="F9" s="19">
        <v>4</v>
      </c>
      <c r="G9" s="22">
        <v>4</v>
      </c>
      <c r="H9" s="23"/>
      <c r="I9" s="22"/>
      <c r="J9" s="23"/>
      <c r="K9" s="22"/>
      <c r="L9" s="23"/>
      <c r="M9" s="203">
        <v>8</v>
      </c>
      <c r="N9" s="212">
        <v>8</v>
      </c>
    </row>
    <row r="10" spans="1:14" x14ac:dyDescent="0.3">
      <c r="A10" s="207"/>
      <c r="B10" s="202"/>
      <c r="C10" s="4" t="s">
        <v>12</v>
      </c>
      <c r="D10" s="41" t="s">
        <v>50</v>
      </c>
      <c r="E10" s="6">
        <v>4</v>
      </c>
      <c r="F10" s="19">
        <v>4</v>
      </c>
      <c r="G10" s="22"/>
      <c r="H10" s="23">
        <v>4</v>
      </c>
      <c r="I10" s="22"/>
      <c r="J10" s="23"/>
      <c r="K10" s="22"/>
      <c r="L10" s="23"/>
      <c r="M10" s="203"/>
      <c r="N10" s="212"/>
    </row>
    <row r="11" spans="1:14" x14ac:dyDescent="0.3">
      <c r="A11" s="207"/>
      <c r="B11" s="213" t="s">
        <v>16</v>
      </c>
      <c r="C11" s="4" t="s">
        <v>12</v>
      </c>
      <c r="D11" s="41" t="s">
        <v>51</v>
      </c>
      <c r="E11" s="6">
        <v>3</v>
      </c>
      <c r="F11" s="19">
        <v>3</v>
      </c>
      <c r="G11" s="22">
        <v>3</v>
      </c>
      <c r="H11" s="23"/>
      <c r="I11" s="22"/>
      <c r="J11" s="23"/>
      <c r="K11" s="22"/>
      <c r="L11" s="23"/>
      <c r="M11" s="203">
        <v>6</v>
      </c>
      <c r="N11" s="212">
        <v>6</v>
      </c>
    </row>
    <row r="12" spans="1:14" x14ac:dyDescent="0.3">
      <c r="A12" s="207"/>
      <c r="B12" s="214"/>
      <c r="C12" s="4" t="s">
        <v>12</v>
      </c>
      <c r="D12" s="41" t="s">
        <v>52</v>
      </c>
      <c r="E12" s="6">
        <v>3</v>
      </c>
      <c r="F12" s="19">
        <v>3</v>
      </c>
      <c r="G12" s="29"/>
      <c r="H12" s="23">
        <v>3</v>
      </c>
      <c r="I12" s="22"/>
      <c r="J12" s="23"/>
      <c r="K12" s="22"/>
      <c r="L12" s="23"/>
      <c r="M12" s="203"/>
      <c r="N12" s="212"/>
    </row>
    <row r="13" spans="1:14" x14ac:dyDescent="0.3">
      <c r="A13" s="207"/>
      <c r="B13" s="201" t="s">
        <v>211</v>
      </c>
      <c r="C13" s="4" t="s">
        <v>12</v>
      </c>
      <c r="D13" s="41" t="s">
        <v>53</v>
      </c>
      <c r="E13" s="6">
        <v>4</v>
      </c>
      <c r="F13" s="19">
        <v>4</v>
      </c>
      <c r="G13" s="29">
        <v>4</v>
      </c>
      <c r="H13" s="23"/>
      <c r="I13" s="22"/>
      <c r="J13" s="23"/>
      <c r="K13" s="22"/>
      <c r="L13" s="23"/>
      <c r="M13" s="203">
        <v>8</v>
      </c>
      <c r="N13" s="250">
        <v>8</v>
      </c>
    </row>
    <row r="14" spans="1:14" x14ac:dyDescent="0.3">
      <c r="A14" s="207"/>
      <c r="B14" s="202"/>
      <c r="C14" s="4" t="s">
        <v>12</v>
      </c>
      <c r="D14" s="41" t="s">
        <v>54</v>
      </c>
      <c r="E14" s="6">
        <v>4</v>
      </c>
      <c r="F14" s="19">
        <v>4</v>
      </c>
      <c r="G14" s="29"/>
      <c r="H14" s="23">
        <v>4</v>
      </c>
      <c r="I14" s="22"/>
      <c r="J14" s="23"/>
      <c r="K14" s="22"/>
      <c r="L14" s="23"/>
      <c r="M14" s="203"/>
      <c r="N14" s="250"/>
    </row>
    <row r="15" spans="1:14" x14ac:dyDescent="0.3">
      <c r="A15" s="207"/>
      <c r="B15" s="201" t="s">
        <v>219</v>
      </c>
      <c r="C15" s="4" t="s">
        <v>12</v>
      </c>
      <c r="D15" s="42" t="s">
        <v>55</v>
      </c>
      <c r="E15" s="6">
        <v>4</v>
      </c>
      <c r="F15" s="19">
        <v>4</v>
      </c>
      <c r="G15" s="29">
        <v>4</v>
      </c>
      <c r="H15" s="23"/>
      <c r="I15" s="22"/>
      <c r="J15" s="23"/>
      <c r="K15" s="22"/>
      <c r="L15" s="23"/>
      <c r="M15" s="203">
        <v>10</v>
      </c>
      <c r="N15" s="212">
        <v>10</v>
      </c>
    </row>
    <row r="16" spans="1:14" x14ac:dyDescent="0.3">
      <c r="A16" s="207"/>
      <c r="B16" s="230"/>
      <c r="C16" s="4" t="s">
        <v>12</v>
      </c>
      <c r="D16" s="42" t="s">
        <v>56</v>
      </c>
      <c r="E16" s="6">
        <v>4</v>
      </c>
      <c r="F16" s="19">
        <v>4</v>
      </c>
      <c r="G16" s="29"/>
      <c r="H16" s="23">
        <v>4</v>
      </c>
      <c r="I16" s="22"/>
      <c r="J16" s="23"/>
      <c r="K16" s="22"/>
      <c r="L16" s="23"/>
      <c r="M16" s="203"/>
      <c r="N16" s="212"/>
    </row>
    <row r="17" spans="1:14" x14ac:dyDescent="0.3">
      <c r="A17" s="207"/>
      <c r="B17" s="230"/>
      <c r="C17" s="4" t="s">
        <v>12</v>
      </c>
      <c r="D17" s="42" t="s">
        <v>59</v>
      </c>
      <c r="E17" s="6">
        <v>1</v>
      </c>
      <c r="F17" s="19">
        <v>1</v>
      </c>
      <c r="G17" s="29">
        <v>1</v>
      </c>
      <c r="H17" s="23"/>
      <c r="I17" s="22"/>
      <c r="J17" s="23"/>
      <c r="K17" s="22"/>
      <c r="L17" s="23"/>
      <c r="M17" s="203"/>
      <c r="N17" s="212"/>
    </row>
    <row r="18" spans="1:14" x14ac:dyDescent="0.3">
      <c r="A18" s="207"/>
      <c r="B18" s="202"/>
      <c r="C18" s="4" t="s">
        <v>12</v>
      </c>
      <c r="D18" s="42" t="s">
        <v>60</v>
      </c>
      <c r="E18" s="6">
        <v>1</v>
      </c>
      <c r="F18" s="19">
        <v>1</v>
      </c>
      <c r="G18" s="29"/>
      <c r="H18" s="23">
        <v>1</v>
      </c>
      <c r="I18" s="22"/>
      <c r="J18" s="23"/>
      <c r="K18" s="22"/>
      <c r="L18" s="23"/>
      <c r="M18" s="203"/>
      <c r="N18" s="212"/>
    </row>
    <row r="19" spans="1:14" x14ac:dyDescent="0.3">
      <c r="A19" s="207"/>
      <c r="B19" s="201" t="s">
        <v>220</v>
      </c>
      <c r="C19" s="4" t="s">
        <v>24</v>
      </c>
      <c r="D19" s="42" t="s">
        <v>70</v>
      </c>
      <c r="E19" s="6">
        <v>3</v>
      </c>
      <c r="F19" s="19">
        <v>2</v>
      </c>
      <c r="G19" s="22">
        <v>2</v>
      </c>
      <c r="H19" s="23"/>
      <c r="I19" s="22"/>
      <c r="J19" s="23"/>
      <c r="K19" s="22"/>
      <c r="L19" s="23"/>
      <c r="M19" s="203">
        <f>SUM(G19:L24)</f>
        <v>10</v>
      </c>
      <c r="N19" s="212">
        <v>10</v>
      </c>
    </row>
    <row r="20" spans="1:14" x14ac:dyDescent="0.3">
      <c r="A20" s="207"/>
      <c r="B20" s="230"/>
      <c r="C20" s="4" t="s">
        <v>24</v>
      </c>
      <c r="D20" s="176" t="s">
        <v>57</v>
      </c>
      <c r="E20" s="6">
        <v>3</v>
      </c>
      <c r="F20" s="19">
        <v>2</v>
      </c>
      <c r="G20" s="22"/>
      <c r="H20" s="177"/>
      <c r="I20" s="22"/>
      <c r="J20" s="175">
        <v>2</v>
      </c>
      <c r="K20" s="22"/>
      <c r="L20" s="23"/>
      <c r="M20" s="203"/>
      <c r="N20" s="212"/>
    </row>
    <row r="21" spans="1:14" x14ac:dyDescent="0.3">
      <c r="A21" s="207"/>
      <c r="B21" s="230"/>
      <c r="C21" s="4" t="s">
        <v>22</v>
      </c>
      <c r="D21" s="42" t="s">
        <v>69</v>
      </c>
      <c r="E21" s="6">
        <v>2</v>
      </c>
      <c r="F21" s="19">
        <v>1</v>
      </c>
      <c r="G21" s="22"/>
      <c r="H21" s="175">
        <v>1</v>
      </c>
      <c r="I21" s="178"/>
      <c r="J21" s="23"/>
      <c r="K21" s="22"/>
      <c r="L21" s="23"/>
      <c r="M21" s="203"/>
      <c r="N21" s="212"/>
    </row>
    <row r="22" spans="1:14" x14ac:dyDescent="0.3">
      <c r="A22" s="207"/>
      <c r="B22" s="230"/>
      <c r="C22" s="4" t="s">
        <v>22</v>
      </c>
      <c r="D22" s="176" t="s">
        <v>71</v>
      </c>
      <c r="E22" s="6">
        <v>2</v>
      </c>
      <c r="F22" s="19">
        <v>1</v>
      </c>
      <c r="G22" s="22"/>
      <c r="H22" s="182"/>
      <c r="I22" s="181">
        <v>1</v>
      </c>
      <c r="J22" s="177"/>
      <c r="K22" s="22"/>
      <c r="L22" s="23"/>
      <c r="M22" s="203"/>
      <c r="N22" s="212"/>
    </row>
    <row r="23" spans="1:14" x14ac:dyDescent="0.3">
      <c r="A23" s="207"/>
      <c r="B23" s="230"/>
      <c r="C23" s="4" t="s">
        <v>58</v>
      </c>
      <c r="D23" s="42" t="s">
        <v>77</v>
      </c>
      <c r="E23" s="6">
        <v>3</v>
      </c>
      <c r="F23" s="19">
        <v>2</v>
      </c>
      <c r="G23" s="22"/>
      <c r="H23" s="23"/>
      <c r="I23" s="22"/>
      <c r="J23" s="23"/>
      <c r="K23" s="22">
        <v>2</v>
      </c>
      <c r="L23" s="23"/>
      <c r="M23" s="203"/>
      <c r="N23" s="212"/>
    </row>
    <row r="24" spans="1:14" x14ac:dyDescent="0.3">
      <c r="A24" s="207"/>
      <c r="B24" s="202"/>
      <c r="C24" s="4" t="s">
        <v>58</v>
      </c>
      <c r="D24" s="42" t="s">
        <v>99</v>
      </c>
      <c r="E24" s="6">
        <v>3</v>
      </c>
      <c r="F24" s="19">
        <v>2</v>
      </c>
      <c r="G24" s="22"/>
      <c r="H24" s="23"/>
      <c r="I24" s="22"/>
      <c r="J24" s="23"/>
      <c r="K24" s="22"/>
      <c r="L24" s="23">
        <v>2</v>
      </c>
      <c r="M24" s="203"/>
      <c r="N24" s="212"/>
    </row>
    <row r="25" spans="1:14" x14ac:dyDescent="0.3">
      <c r="A25" s="207"/>
      <c r="B25" s="241" t="s">
        <v>221</v>
      </c>
      <c r="C25" s="4" t="s">
        <v>13</v>
      </c>
      <c r="D25" s="42" t="s">
        <v>19</v>
      </c>
      <c r="E25" s="6">
        <v>3</v>
      </c>
      <c r="F25" s="19">
        <v>2</v>
      </c>
      <c r="G25" s="245" t="s">
        <v>67</v>
      </c>
      <c r="H25" s="247" t="s">
        <v>67</v>
      </c>
      <c r="I25" s="22"/>
      <c r="J25" s="23"/>
      <c r="K25" s="22"/>
      <c r="L25" s="23"/>
      <c r="M25" s="203">
        <v>4</v>
      </c>
      <c r="N25" s="212">
        <v>10</v>
      </c>
    </row>
    <row r="26" spans="1:14" x14ac:dyDescent="0.3">
      <c r="A26" s="207"/>
      <c r="B26" s="241"/>
      <c r="C26" s="4" t="s">
        <v>13</v>
      </c>
      <c r="D26" s="42" t="s">
        <v>20</v>
      </c>
      <c r="E26" s="6">
        <v>3</v>
      </c>
      <c r="F26" s="19">
        <v>2</v>
      </c>
      <c r="G26" s="246"/>
      <c r="H26" s="248"/>
      <c r="I26" s="22"/>
      <c r="J26" s="23"/>
      <c r="K26" s="22"/>
      <c r="L26" s="23"/>
      <c r="M26" s="203"/>
      <c r="N26" s="212"/>
    </row>
    <row r="27" spans="1:14" x14ac:dyDescent="0.3">
      <c r="A27" s="207"/>
      <c r="B27" s="201" t="s">
        <v>222</v>
      </c>
      <c r="C27" s="4" t="s">
        <v>13</v>
      </c>
      <c r="D27" s="176" t="s">
        <v>43</v>
      </c>
      <c r="E27" s="6">
        <v>4</v>
      </c>
      <c r="F27" s="19">
        <v>3</v>
      </c>
      <c r="G27" s="30"/>
      <c r="H27" s="31">
        <v>3</v>
      </c>
      <c r="I27" s="178"/>
      <c r="J27" s="23"/>
      <c r="K27" s="22"/>
      <c r="L27" s="23"/>
      <c r="M27" s="297">
        <v>8</v>
      </c>
      <c r="N27" s="212">
        <v>16</v>
      </c>
    </row>
    <row r="28" spans="1:14" x14ac:dyDescent="0.3">
      <c r="A28" s="207"/>
      <c r="B28" s="202"/>
      <c r="C28" s="4" t="s">
        <v>22</v>
      </c>
      <c r="D28" s="176" t="s">
        <v>217</v>
      </c>
      <c r="E28" s="6">
        <v>4</v>
      </c>
      <c r="F28" s="19">
        <v>3</v>
      </c>
      <c r="G28" s="30"/>
      <c r="H28" s="31"/>
      <c r="I28" s="22">
        <v>3</v>
      </c>
      <c r="J28" s="177"/>
      <c r="K28" s="22"/>
      <c r="L28" s="23"/>
      <c r="M28" s="256"/>
      <c r="N28" s="212"/>
    </row>
    <row r="29" spans="1:14" x14ac:dyDescent="0.3">
      <c r="A29" s="207"/>
      <c r="B29" s="201" t="s">
        <v>138</v>
      </c>
      <c r="C29" s="4" t="s">
        <v>42</v>
      </c>
      <c r="D29" s="176" t="s">
        <v>226</v>
      </c>
      <c r="E29" s="6">
        <v>3</v>
      </c>
      <c r="F29" s="19">
        <v>2</v>
      </c>
      <c r="G29" s="30"/>
      <c r="H29" s="179"/>
      <c r="I29" s="22"/>
      <c r="J29" s="23">
        <v>2</v>
      </c>
      <c r="K29" s="22"/>
      <c r="L29" s="23"/>
      <c r="M29" s="298"/>
      <c r="N29" s="212"/>
    </row>
    <row r="30" spans="1:14" ht="15" thickBot="1" x14ac:dyDescent="0.35">
      <c r="A30" s="207"/>
      <c r="B30" s="342"/>
      <c r="C30" s="4" t="s">
        <v>13</v>
      </c>
      <c r="D30" s="41" t="s">
        <v>68</v>
      </c>
      <c r="E30" s="6">
        <v>3</v>
      </c>
      <c r="F30" s="19">
        <v>2</v>
      </c>
      <c r="G30" s="62">
        <v>2</v>
      </c>
      <c r="H30" s="64"/>
      <c r="I30" s="22"/>
      <c r="J30" s="23"/>
      <c r="K30" s="22"/>
      <c r="L30" s="23"/>
      <c r="M30" s="79">
        <v>2</v>
      </c>
      <c r="N30" s="212"/>
    </row>
    <row r="31" spans="1:14" x14ac:dyDescent="0.3">
      <c r="A31" s="206" t="s">
        <v>21</v>
      </c>
      <c r="B31" s="15" t="s">
        <v>223</v>
      </c>
      <c r="C31" s="15" t="s">
        <v>24</v>
      </c>
      <c r="D31" s="93" t="s">
        <v>83</v>
      </c>
      <c r="E31" s="16">
        <v>4</v>
      </c>
      <c r="F31" s="21">
        <v>4</v>
      </c>
      <c r="G31" s="101"/>
      <c r="H31" s="102"/>
      <c r="I31" s="94" t="s">
        <v>33</v>
      </c>
      <c r="J31" s="251"/>
      <c r="K31" s="101"/>
      <c r="L31" s="102"/>
      <c r="M31" s="215">
        <v>24</v>
      </c>
      <c r="N31" s="216"/>
    </row>
    <row r="32" spans="1:14" x14ac:dyDescent="0.3">
      <c r="A32" s="307"/>
      <c r="B32" s="10" t="s">
        <v>224</v>
      </c>
      <c r="C32" s="12" t="s">
        <v>24</v>
      </c>
      <c r="D32" s="148" t="s">
        <v>147</v>
      </c>
      <c r="E32" s="14">
        <v>4</v>
      </c>
      <c r="F32" s="39">
        <v>4</v>
      </c>
      <c r="G32" s="107"/>
      <c r="H32" s="108"/>
      <c r="I32" s="234" t="s">
        <v>81</v>
      </c>
      <c r="J32" s="299"/>
      <c r="K32" s="107"/>
      <c r="L32" s="108"/>
      <c r="M32" s="282"/>
      <c r="N32" s="300"/>
    </row>
    <row r="33" spans="1:14" x14ac:dyDescent="0.3">
      <c r="A33" s="207"/>
      <c r="B33" s="241" t="s">
        <v>225</v>
      </c>
      <c r="C33" s="4" t="s">
        <v>24</v>
      </c>
      <c r="D33" s="44" t="s">
        <v>87</v>
      </c>
      <c r="E33" s="6">
        <v>4</v>
      </c>
      <c r="F33" s="19">
        <v>4</v>
      </c>
      <c r="G33" s="103"/>
      <c r="H33" s="104"/>
      <c r="I33" s="235"/>
      <c r="J33" s="252"/>
      <c r="K33" s="103"/>
      <c r="L33" s="104"/>
      <c r="M33" s="203"/>
      <c r="N33" s="212"/>
    </row>
    <row r="34" spans="1:14" x14ac:dyDescent="0.3">
      <c r="A34" s="207"/>
      <c r="B34" s="241"/>
      <c r="C34" s="4" t="s">
        <v>22</v>
      </c>
      <c r="D34" s="45" t="s">
        <v>63</v>
      </c>
      <c r="E34" s="6">
        <v>4</v>
      </c>
      <c r="F34" s="19">
        <v>4</v>
      </c>
      <c r="G34" s="103"/>
      <c r="H34" s="104"/>
      <c r="I34" s="235"/>
      <c r="J34" s="252"/>
      <c r="K34" s="103"/>
      <c r="L34" s="104"/>
      <c r="M34" s="203"/>
      <c r="N34" s="212"/>
    </row>
    <row r="35" spans="1:14" x14ac:dyDescent="0.3">
      <c r="A35" s="207"/>
      <c r="B35" s="201" t="s">
        <v>211</v>
      </c>
      <c r="C35" s="4" t="s">
        <v>208</v>
      </c>
      <c r="D35" s="45" t="s">
        <v>209</v>
      </c>
      <c r="E35" s="6">
        <v>4</v>
      </c>
      <c r="F35" s="19">
        <v>4</v>
      </c>
      <c r="G35" s="103"/>
      <c r="H35" s="104"/>
      <c r="I35" s="235"/>
      <c r="J35" s="252"/>
      <c r="K35" s="103"/>
      <c r="L35" s="104"/>
      <c r="M35" s="203"/>
      <c r="N35" s="212"/>
    </row>
    <row r="36" spans="1:14" x14ac:dyDescent="0.3">
      <c r="A36" s="207"/>
      <c r="B36" s="230"/>
      <c r="C36" s="4" t="s">
        <v>22</v>
      </c>
      <c r="D36" s="45" t="s">
        <v>169</v>
      </c>
      <c r="E36" s="6">
        <v>4</v>
      </c>
      <c r="F36" s="19">
        <v>4</v>
      </c>
      <c r="G36" s="103"/>
      <c r="H36" s="104"/>
      <c r="I36" s="235"/>
      <c r="J36" s="252"/>
      <c r="K36" s="103"/>
      <c r="L36" s="104"/>
      <c r="M36" s="203"/>
      <c r="N36" s="212"/>
    </row>
    <row r="37" spans="1:14" x14ac:dyDescent="0.3">
      <c r="A37" s="207"/>
      <c r="B37" s="202"/>
      <c r="C37" s="4" t="s">
        <v>72</v>
      </c>
      <c r="D37" s="44" t="s">
        <v>213</v>
      </c>
      <c r="E37" s="6">
        <v>4</v>
      </c>
      <c r="F37" s="19">
        <v>4</v>
      </c>
      <c r="G37" s="103"/>
      <c r="H37" s="104"/>
      <c r="I37" s="235"/>
      <c r="J37" s="252"/>
      <c r="K37" s="103"/>
      <c r="L37" s="104"/>
      <c r="M37" s="203"/>
      <c r="N37" s="212"/>
    </row>
    <row r="38" spans="1:14" ht="15" thickBot="1" x14ac:dyDescent="0.35">
      <c r="A38" s="207"/>
      <c r="B38" s="74" t="s">
        <v>219</v>
      </c>
      <c r="C38" s="74" t="s">
        <v>24</v>
      </c>
      <c r="D38" s="78" t="s">
        <v>140</v>
      </c>
      <c r="E38" s="76">
        <v>4</v>
      </c>
      <c r="F38" s="77">
        <v>4</v>
      </c>
      <c r="G38" s="109"/>
      <c r="H38" s="110"/>
      <c r="I38" s="236"/>
      <c r="J38" s="253"/>
      <c r="K38" s="109"/>
      <c r="L38" s="110"/>
      <c r="M38" s="254"/>
      <c r="N38" s="259"/>
    </row>
    <row r="39" spans="1:14" x14ac:dyDescent="0.3">
      <c r="A39" s="207"/>
      <c r="B39" s="238" t="s">
        <v>223</v>
      </c>
      <c r="C39" s="12" t="s">
        <v>13</v>
      </c>
      <c r="D39" s="91" t="s">
        <v>82</v>
      </c>
      <c r="E39" s="14">
        <v>4</v>
      </c>
      <c r="F39" s="39">
        <v>4</v>
      </c>
      <c r="G39" s="107"/>
      <c r="H39" s="108"/>
      <c r="I39" s="87"/>
      <c r="J39" s="92" t="s">
        <v>33</v>
      </c>
      <c r="K39" s="112"/>
      <c r="L39" s="113"/>
      <c r="M39" s="255">
        <v>24</v>
      </c>
      <c r="N39" s="283"/>
    </row>
    <row r="40" spans="1:14" ht="13.9" customHeight="1" x14ac:dyDescent="0.3">
      <c r="A40" s="207"/>
      <c r="B40" s="214"/>
      <c r="C40" s="4" t="s">
        <v>42</v>
      </c>
      <c r="D40" s="118" t="s">
        <v>86</v>
      </c>
      <c r="E40" s="6">
        <v>4</v>
      </c>
      <c r="F40" s="19">
        <v>4</v>
      </c>
      <c r="G40" s="103"/>
      <c r="H40" s="104"/>
      <c r="I40" s="87"/>
      <c r="J40" s="260" t="s">
        <v>81</v>
      </c>
      <c r="K40" s="103"/>
      <c r="L40" s="104"/>
      <c r="M40" s="256"/>
      <c r="N40" s="284"/>
    </row>
    <row r="41" spans="1:14" ht="16.5" x14ac:dyDescent="0.3">
      <c r="A41" s="207"/>
      <c r="B41" s="5" t="s">
        <v>224</v>
      </c>
      <c r="C41" s="4" t="s">
        <v>13</v>
      </c>
      <c r="D41" s="46" t="s">
        <v>206</v>
      </c>
      <c r="E41" s="6">
        <v>4</v>
      </c>
      <c r="F41" s="19">
        <v>4</v>
      </c>
      <c r="G41" s="103"/>
      <c r="H41" s="104"/>
      <c r="I41" s="87"/>
      <c r="J41" s="261"/>
      <c r="K41" s="103"/>
      <c r="L41" s="104"/>
      <c r="M41" s="256"/>
      <c r="N41" s="284"/>
    </row>
    <row r="42" spans="1:14" x14ac:dyDescent="0.3">
      <c r="A42" s="207"/>
      <c r="B42" s="213" t="s">
        <v>225</v>
      </c>
      <c r="C42" s="4" t="s">
        <v>24</v>
      </c>
      <c r="D42" s="46" t="s">
        <v>129</v>
      </c>
      <c r="E42" s="6">
        <v>4</v>
      </c>
      <c r="F42" s="19">
        <v>4</v>
      </c>
      <c r="G42" s="103"/>
      <c r="H42" s="104"/>
      <c r="I42" s="87"/>
      <c r="J42" s="261"/>
      <c r="K42" s="103"/>
      <c r="L42" s="104"/>
      <c r="M42" s="256"/>
      <c r="N42" s="284"/>
    </row>
    <row r="43" spans="1:14" x14ac:dyDescent="0.3">
      <c r="A43" s="207"/>
      <c r="B43" s="214"/>
      <c r="C43" s="4" t="s">
        <v>58</v>
      </c>
      <c r="D43" s="46" t="s">
        <v>120</v>
      </c>
      <c r="E43" s="6">
        <v>4</v>
      </c>
      <c r="F43" s="19">
        <v>4</v>
      </c>
      <c r="G43" s="103"/>
      <c r="H43" s="104"/>
      <c r="I43" s="87"/>
      <c r="J43" s="261"/>
      <c r="K43" s="103"/>
      <c r="L43" s="104"/>
      <c r="M43" s="256"/>
      <c r="N43" s="284"/>
    </row>
    <row r="44" spans="1:14" x14ac:dyDescent="0.3">
      <c r="A44" s="207"/>
      <c r="B44" s="213" t="s">
        <v>211</v>
      </c>
      <c r="C44" s="4" t="s">
        <v>24</v>
      </c>
      <c r="D44" s="46" t="s">
        <v>125</v>
      </c>
      <c r="E44" s="6">
        <v>4</v>
      </c>
      <c r="F44" s="19">
        <v>4</v>
      </c>
      <c r="G44" s="103"/>
      <c r="H44" s="104"/>
      <c r="I44" s="87"/>
      <c r="J44" s="261"/>
      <c r="K44" s="103"/>
      <c r="L44" s="104"/>
      <c r="M44" s="256"/>
      <c r="N44" s="284"/>
    </row>
    <row r="45" spans="1:14" x14ac:dyDescent="0.3">
      <c r="A45" s="207"/>
      <c r="B45" s="238"/>
      <c r="C45" s="4" t="s">
        <v>22</v>
      </c>
      <c r="D45" s="46" t="s">
        <v>210</v>
      </c>
      <c r="E45" s="6">
        <v>4</v>
      </c>
      <c r="F45" s="72">
        <v>4</v>
      </c>
      <c r="G45" s="103"/>
      <c r="H45" s="104"/>
      <c r="I45" s="87"/>
      <c r="J45" s="261"/>
      <c r="K45" s="103"/>
      <c r="L45" s="104"/>
      <c r="M45" s="256"/>
      <c r="N45" s="284"/>
    </row>
    <row r="46" spans="1:14" ht="26.25" thickBot="1" x14ac:dyDescent="0.35">
      <c r="A46" s="207"/>
      <c r="B46" s="73" t="s">
        <v>219</v>
      </c>
      <c r="C46" s="74" t="s">
        <v>42</v>
      </c>
      <c r="D46" s="75" t="s">
        <v>240</v>
      </c>
      <c r="E46" s="76">
        <v>4</v>
      </c>
      <c r="F46" s="77">
        <v>4</v>
      </c>
      <c r="G46" s="109"/>
      <c r="H46" s="110"/>
      <c r="I46" s="90"/>
      <c r="J46" s="262"/>
      <c r="K46" s="109"/>
      <c r="L46" s="110"/>
      <c r="M46" s="257"/>
      <c r="N46" s="285"/>
    </row>
    <row r="47" spans="1:14" x14ac:dyDescent="0.3">
      <c r="A47" s="207"/>
      <c r="B47" s="305" t="s">
        <v>32</v>
      </c>
      <c r="C47" s="153" t="s">
        <v>13</v>
      </c>
      <c r="D47" s="154" t="s">
        <v>185</v>
      </c>
      <c r="E47" s="155">
        <v>4</v>
      </c>
      <c r="F47" s="156">
        <v>3</v>
      </c>
      <c r="G47" s="112"/>
      <c r="H47" s="113"/>
      <c r="I47" s="89" t="s">
        <v>34</v>
      </c>
      <c r="J47" s="329"/>
      <c r="K47" s="107"/>
      <c r="L47" s="108"/>
      <c r="M47" s="256">
        <v>6</v>
      </c>
      <c r="N47" s="95"/>
    </row>
    <row r="48" spans="1:14" ht="18" customHeight="1" thickBot="1" x14ac:dyDescent="0.35">
      <c r="A48" s="207"/>
      <c r="B48" s="238"/>
      <c r="C48" s="131" t="s">
        <v>13</v>
      </c>
      <c r="D48" s="160" t="s">
        <v>184</v>
      </c>
      <c r="E48" s="132">
        <v>4</v>
      </c>
      <c r="F48" s="161">
        <v>3</v>
      </c>
      <c r="G48" s="162"/>
      <c r="H48" s="163"/>
      <c r="I48" s="157">
        <v>3</v>
      </c>
      <c r="J48" s="330"/>
      <c r="K48" s="103"/>
      <c r="L48" s="104"/>
      <c r="M48" s="256"/>
      <c r="N48" s="95"/>
    </row>
    <row r="49" spans="1:14" x14ac:dyDescent="0.3">
      <c r="A49" s="207"/>
      <c r="B49" s="238"/>
      <c r="C49" s="131" t="s">
        <v>42</v>
      </c>
      <c r="D49" s="160" t="s">
        <v>186</v>
      </c>
      <c r="E49" s="132">
        <v>4</v>
      </c>
      <c r="F49" s="133">
        <v>3</v>
      </c>
      <c r="G49" s="107"/>
      <c r="H49" s="108"/>
      <c r="I49" s="326"/>
      <c r="J49" s="89" t="s">
        <v>34</v>
      </c>
      <c r="K49" s="103"/>
      <c r="L49" s="104"/>
      <c r="M49" s="256"/>
      <c r="N49" s="95"/>
    </row>
    <row r="50" spans="1:14" ht="17.45" customHeight="1" x14ac:dyDescent="0.3">
      <c r="A50" s="207"/>
      <c r="B50" s="306"/>
      <c r="C50" s="131" t="s">
        <v>22</v>
      </c>
      <c r="D50" s="160" t="s">
        <v>188</v>
      </c>
      <c r="E50" s="132">
        <v>4</v>
      </c>
      <c r="F50" s="161">
        <v>3</v>
      </c>
      <c r="G50" s="162"/>
      <c r="H50" s="163"/>
      <c r="I50" s="327"/>
      <c r="J50" s="323">
        <v>3</v>
      </c>
      <c r="K50" s="103"/>
      <c r="L50" s="104"/>
      <c r="M50" s="256"/>
      <c r="N50" s="95"/>
    </row>
    <row r="51" spans="1:14" ht="17.45" customHeight="1" x14ac:dyDescent="0.3">
      <c r="A51" s="207"/>
      <c r="B51" s="331" t="s">
        <v>216</v>
      </c>
      <c r="C51" s="167" t="s">
        <v>22</v>
      </c>
      <c r="D51" s="168" t="s">
        <v>197</v>
      </c>
      <c r="E51" s="169">
        <v>3</v>
      </c>
      <c r="F51" s="174">
        <v>3</v>
      </c>
      <c r="G51" s="151"/>
      <c r="H51" s="152"/>
      <c r="I51" s="327"/>
      <c r="J51" s="324"/>
      <c r="K51" s="111"/>
      <c r="L51" s="173"/>
      <c r="M51" s="256"/>
      <c r="N51" s="95"/>
    </row>
    <row r="52" spans="1:14" ht="18" customHeight="1" thickBot="1" x14ac:dyDescent="0.35">
      <c r="A52" s="207"/>
      <c r="B52" s="332"/>
      <c r="C52" s="61" t="s">
        <v>193</v>
      </c>
      <c r="D52" s="69" t="s">
        <v>194</v>
      </c>
      <c r="E52" s="70">
        <v>3</v>
      </c>
      <c r="F52" s="71">
        <v>3</v>
      </c>
      <c r="G52" s="151"/>
      <c r="H52" s="152"/>
      <c r="I52" s="328"/>
      <c r="J52" s="325"/>
      <c r="K52" s="111"/>
      <c r="L52" s="110"/>
      <c r="M52" s="256"/>
      <c r="N52" s="95"/>
    </row>
    <row r="53" spans="1:14" x14ac:dyDescent="0.3">
      <c r="A53" s="207"/>
      <c r="B53" s="276" t="s">
        <v>223</v>
      </c>
      <c r="C53" s="15" t="s">
        <v>24</v>
      </c>
      <c r="D53" s="47" t="s">
        <v>61</v>
      </c>
      <c r="E53" s="16">
        <v>4</v>
      </c>
      <c r="F53" s="21">
        <v>3</v>
      </c>
      <c r="G53" s="24"/>
      <c r="H53" s="25"/>
      <c r="I53" s="24"/>
      <c r="J53" s="25"/>
      <c r="K53" s="32" t="s">
        <v>103</v>
      </c>
      <c r="L53" s="292"/>
      <c r="M53" s="255">
        <v>21</v>
      </c>
      <c r="N53" s="114"/>
    </row>
    <row r="54" spans="1:14" x14ac:dyDescent="0.3">
      <c r="A54" s="207"/>
      <c r="B54" s="241"/>
      <c r="C54" s="4" t="s">
        <v>42</v>
      </c>
      <c r="D54" s="48" t="s">
        <v>74</v>
      </c>
      <c r="E54" s="6">
        <v>4</v>
      </c>
      <c r="F54" s="19">
        <v>3</v>
      </c>
      <c r="G54" s="22"/>
      <c r="H54" s="23"/>
      <c r="I54" s="22"/>
      <c r="J54" s="23"/>
      <c r="K54" s="294" t="s">
        <v>104</v>
      </c>
      <c r="L54" s="292"/>
      <c r="M54" s="256"/>
      <c r="N54" s="95"/>
    </row>
    <row r="55" spans="1:14" x14ac:dyDescent="0.3">
      <c r="A55" s="207"/>
      <c r="B55" s="4" t="s">
        <v>224</v>
      </c>
      <c r="C55" s="4" t="s">
        <v>22</v>
      </c>
      <c r="D55" s="49" t="s">
        <v>168</v>
      </c>
      <c r="E55" s="6">
        <v>4</v>
      </c>
      <c r="F55" s="19">
        <v>3</v>
      </c>
      <c r="G55" s="22"/>
      <c r="H55" s="23"/>
      <c r="I55" s="22"/>
      <c r="J55" s="23"/>
      <c r="K55" s="303"/>
      <c r="L55" s="292"/>
      <c r="M55" s="256"/>
      <c r="N55" s="95"/>
    </row>
    <row r="56" spans="1:14" x14ac:dyDescent="0.3">
      <c r="A56" s="207"/>
      <c r="B56" s="241" t="s">
        <v>225</v>
      </c>
      <c r="C56" s="4" t="s">
        <v>24</v>
      </c>
      <c r="D56" s="50" t="s">
        <v>195</v>
      </c>
      <c r="E56" s="6">
        <v>4</v>
      </c>
      <c r="F56" s="19">
        <v>3</v>
      </c>
      <c r="G56" s="22"/>
      <c r="H56" s="23"/>
      <c r="I56" s="22"/>
      <c r="J56" s="23"/>
      <c r="K56" s="303"/>
      <c r="L56" s="292"/>
      <c r="M56" s="256"/>
      <c r="N56" s="95"/>
    </row>
    <row r="57" spans="1:14" x14ac:dyDescent="0.3">
      <c r="A57" s="207"/>
      <c r="B57" s="241"/>
      <c r="C57" s="4" t="s">
        <v>22</v>
      </c>
      <c r="D57" s="50" t="s">
        <v>80</v>
      </c>
      <c r="E57" s="6">
        <v>4</v>
      </c>
      <c r="F57" s="19">
        <v>3</v>
      </c>
      <c r="G57" s="22"/>
      <c r="H57" s="23"/>
      <c r="I57" s="22"/>
      <c r="J57" s="23"/>
      <c r="K57" s="303"/>
      <c r="L57" s="292"/>
      <c r="M57" s="256"/>
      <c r="N57" s="95"/>
    </row>
    <row r="58" spans="1:14" x14ac:dyDescent="0.3">
      <c r="A58" s="207"/>
      <c r="B58" s="201" t="s">
        <v>211</v>
      </c>
      <c r="C58" s="4" t="s">
        <v>24</v>
      </c>
      <c r="D58" s="51" t="s">
        <v>166</v>
      </c>
      <c r="E58" s="6">
        <v>4</v>
      </c>
      <c r="F58" s="19">
        <v>3</v>
      </c>
      <c r="G58" s="22"/>
      <c r="H58" s="23"/>
      <c r="I58" s="22"/>
      <c r="J58" s="23"/>
      <c r="K58" s="303"/>
      <c r="L58" s="292"/>
      <c r="M58" s="256"/>
      <c r="N58" s="95"/>
    </row>
    <row r="59" spans="1:14" x14ac:dyDescent="0.3">
      <c r="A59" s="207"/>
      <c r="B59" s="230"/>
      <c r="C59" s="4" t="s">
        <v>22</v>
      </c>
      <c r="D59" s="51" t="s">
        <v>157</v>
      </c>
      <c r="E59" s="6">
        <v>4</v>
      </c>
      <c r="F59" s="19">
        <v>3</v>
      </c>
      <c r="G59" s="22"/>
      <c r="H59" s="23"/>
      <c r="I59" s="22"/>
      <c r="J59" s="23"/>
      <c r="K59" s="303"/>
      <c r="L59" s="292"/>
      <c r="M59" s="256"/>
      <c r="N59" s="95"/>
    </row>
    <row r="60" spans="1:14" ht="17.45" customHeight="1" x14ac:dyDescent="0.3">
      <c r="A60" s="207"/>
      <c r="B60" s="230"/>
      <c r="C60" s="4" t="s">
        <v>72</v>
      </c>
      <c r="D60" s="51" t="s">
        <v>196</v>
      </c>
      <c r="E60" s="6">
        <v>4</v>
      </c>
      <c r="F60" s="19">
        <v>3</v>
      </c>
      <c r="G60" s="22"/>
      <c r="H60" s="23"/>
      <c r="I60" s="22"/>
      <c r="J60" s="23"/>
      <c r="K60" s="303"/>
      <c r="L60" s="292"/>
      <c r="M60" s="256"/>
      <c r="N60" s="95"/>
    </row>
    <row r="61" spans="1:14" ht="25.5" x14ac:dyDescent="0.3">
      <c r="A61" s="207"/>
      <c r="B61" s="201" t="s">
        <v>219</v>
      </c>
      <c r="C61" s="10" t="s">
        <v>22</v>
      </c>
      <c r="D61" s="83" t="s">
        <v>239</v>
      </c>
      <c r="E61" s="13">
        <v>4</v>
      </c>
      <c r="F61" s="28">
        <v>3</v>
      </c>
      <c r="G61" s="79"/>
      <c r="H61" s="80"/>
      <c r="I61" s="79"/>
      <c r="J61" s="80"/>
      <c r="K61" s="303"/>
      <c r="L61" s="292"/>
      <c r="M61" s="256"/>
      <c r="N61" s="95"/>
    </row>
    <row r="62" spans="1:14" x14ac:dyDescent="0.3">
      <c r="A62" s="207"/>
      <c r="B62" s="202"/>
      <c r="C62" s="10" t="s">
        <v>58</v>
      </c>
      <c r="D62" s="83" t="s">
        <v>199</v>
      </c>
      <c r="E62" s="13">
        <v>4</v>
      </c>
      <c r="F62" s="28">
        <v>3</v>
      </c>
      <c r="G62" s="79"/>
      <c r="H62" s="80"/>
      <c r="I62" s="79"/>
      <c r="J62" s="80"/>
      <c r="K62" s="303"/>
      <c r="L62" s="292"/>
      <c r="M62" s="256"/>
      <c r="N62" s="95"/>
    </row>
    <row r="63" spans="1:14" ht="18" customHeight="1" thickBot="1" x14ac:dyDescent="0.35">
      <c r="A63" s="207"/>
      <c r="B63" s="17" t="s">
        <v>222</v>
      </c>
      <c r="C63" s="17" t="s">
        <v>22</v>
      </c>
      <c r="D63" s="52" t="s">
        <v>108</v>
      </c>
      <c r="E63" s="18">
        <v>4</v>
      </c>
      <c r="F63" s="20">
        <v>3</v>
      </c>
      <c r="G63" s="26"/>
      <c r="H63" s="27"/>
      <c r="I63" s="26"/>
      <c r="J63" s="27"/>
      <c r="K63" s="304"/>
      <c r="L63" s="293"/>
      <c r="M63" s="257"/>
      <c r="N63" s="96"/>
    </row>
    <row r="64" spans="1:14" x14ac:dyDescent="0.3">
      <c r="A64" s="207"/>
      <c r="B64" s="15" t="s">
        <v>223</v>
      </c>
      <c r="C64" s="15" t="s">
        <v>72</v>
      </c>
      <c r="D64" s="53" t="s">
        <v>79</v>
      </c>
      <c r="E64" s="16">
        <v>4</v>
      </c>
      <c r="F64" s="21">
        <v>3</v>
      </c>
      <c r="G64" s="24"/>
      <c r="H64" s="25"/>
      <c r="I64" s="24"/>
      <c r="J64" s="25"/>
      <c r="K64" s="286"/>
      <c r="L64" s="33" t="s">
        <v>103</v>
      </c>
      <c r="M64" s="255">
        <v>21</v>
      </c>
      <c r="N64" s="283"/>
    </row>
    <row r="65" spans="1:14" x14ac:dyDescent="0.3">
      <c r="A65" s="207"/>
      <c r="B65" s="201" t="s">
        <v>224</v>
      </c>
      <c r="C65" s="12" t="s">
        <v>42</v>
      </c>
      <c r="D65" s="149" t="s">
        <v>150</v>
      </c>
      <c r="E65" s="14">
        <v>4</v>
      </c>
      <c r="F65" s="39">
        <v>3</v>
      </c>
      <c r="G65" s="126"/>
      <c r="H65" s="150"/>
      <c r="I65" s="126"/>
      <c r="J65" s="150"/>
      <c r="K65" s="287"/>
      <c r="L65" s="290" t="s">
        <v>104</v>
      </c>
      <c r="M65" s="256"/>
      <c r="N65" s="284"/>
    </row>
    <row r="66" spans="1:14" ht="13.9" customHeight="1" x14ac:dyDescent="0.3">
      <c r="A66" s="207"/>
      <c r="B66" s="202"/>
      <c r="C66" s="4" t="s">
        <v>58</v>
      </c>
      <c r="D66" s="54" t="s">
        <v>145</v>
      </c>
      <c r="E66" s="6">
        <v>4</v>
      </c>
      <c r="F66" s="19">
        <v>3</v>
      </c>
      <c r="G66" s="22"/>
      <c r="H66" s="23"/>
      <c r="I66" s="22"/>
      <c r="J66" s="23"/>
      <c r="K66" s="287"/>
      <c r="L66" s="301"/>
      <c r="M66" s="256"/>
      <c r="N66" s="284"/>
    </row>
    <row r="67" spans="1:14" ht="17.45" customHeight="1" x14ac:dyDescent="0.3">
      <c r="A67" s="207"/>
      <c r="B67" s="201" t="s">
        <v>225</v>
      </c>
      <c r="C67" s="4" t="s">
        <v>22</v>
      </c>
      <c r="D67" s="54" t="s">
        <v>198</v>
      </c>
      <c r="E67" s="6">
        <v>4</v>
      </c>
      <c r="F67" s="19">
        <v>3</v>
      </c>
      <c r="G67" s="22"/>
      <c r="H67" s="23"/>
      <c r="I67" s="22"/>
      <c r="J67" s="23"/>
      <c r="K67" s="287"/>
      <c r="L67" s="301"/>
      <c r="M67" s="256"/>
      <c r="N67" s="284"/>
    </row>
    <row r="68" spans="1:14" ht="17.45" customHeight="1" x14ac:dyDescent="0.3">
      <c r="A68" s="207"/>
      <c r="B68" s="202"/>
      <c r="C68" s="4" t="s">
        <v>42</v>
      </c>
      <c r="D68" s="55" t="s">
        <v>130</v>
      </c>
      <c r="E68" s="6">
        <v>4</v>
      </c>
      <c r="F68" s="19">
        <v>3</v>
      </c>
      <c r="G68" s="22"/>
      <c r="H68" s="23"/>
      <c r="I68" s="22"/>
      <c r="J68" s="23"/>
      <c r="K68" s="287"/>
      <c r="L68" s="301"/>
      <c r="M68" s="256"/>
      <c r="N68" s="284"/>
    </row>
    <row r="69" spans="1:14" ht="17.45" customHeight="1" x14ac:dyDescent="0.3">
      <c r="A69" s="207"/>
      <c r="B69" s="201" t="s">
        <v>211</v>
      </c>
      <c r="C69" s="4" t="s">
        <v>214</v>
      </c>
      <c r="D69" s="55" t="s">
        <v>215</v>
      </c>
      <c r="E69" s="6">
        <v>4</v>
      </c>
      <c r="F69" s="19">
        <v>3</v>
      </c>
      <c r="G69" s="22"/>
      <c r="H69" s="23"/>
      <c r="I69" s="22"/>
      <c r="J69" s="23"/>
      <c r="K69" s="287"/>
      <c r="L69" s="301"/>
      <c r="M69" s="256"/>
      <c r="N69" s="284"/>
    </row>
    <row r="70" spans="1:14" x14ac:dyDescent="0.3">
      <c r="A70" s="207"/>
      <c r="B70" s="202"/>
      <c r="C70" s="4" t="s">
        <v>72</v>
      </c>
      <c r="D70" s="56" t="s">
        <v>212</v>
      </c>
      <c r="E70" s="6">
        <v>4</v>
      </c>
      <c r="F70" s="19">
        <v>3</v>
      </c>
      <c r="G70" s="22"/>
      <c r="H70" s="23"/>
      <c r="I70" s="22"/>
      <c r="J70" s="23"/>
      <c r="K70" s="287"/>
      <c r="L70" s="301"/>
      <c r="M70" s="256"/>
      <c r="N70" s="284"/>
    </row>
    <row r="71" spans="1:14" x14ac:dyDescent="0.3">
      <c r="A71" s="207"/>
      <c r="B71" s="10" t="s">
        <v>219</v>
      </c>
      <c r="C71" s="10" t="s">
        <v>72</v>
      </c>
      <c r="D71" s="85" t="s">
        <v>218</v>
      </c>
      <c r="E71" s="13">
        <v>4</v>
      </c>
      <c r="F71" s="28">
        <v>3</v>
      </c>
      <c r="G71" s="79"/>
      <c r="H71" s="80"/>
      <c r="I71" s="79"/>
      <c r="J71" s="80"/>
      <c r="K71" s="287"/>
      <c r="L71" s="301"/>
      <c r="M71" s="256"/>
      <c r="N71" s="284"/>
    </row>
    <row r="72" spans="1:14" ht="18" customHeight="1" thickBot="1" x14ac:dyDescent="0.35">
      <c r="A72" s="207"/>
      <c r="B72" s="17" t="s">
        <v>222</v>
      </c>
      <c r="C72" s="17" t="s">
        <v>58</v>
      </c>
      <c r="D72" s="57" t="s">
        <v>114</v>
      </c>
      <c r="E72" s="18">
        <v>4</v>
      </c>
      <c r="F72" s="20">
        <v>3</v>
      </c>
      <c r="G72" s="26"/>
      <c r="H72" s="27"/>
      <c r="I72" s="26"/>
      <c r="J72" s="27"/>
      <c r="K72" s="288"/>
      <c r="L72" s="302"/>
      <c r="M72" s="257"/>
      <c r="N72" s="285"/>
    </row>
    <row r="73" spans="1:14" x14ac:dyDescent="0.3">
      <c r="A73" s="207"/>
      <c r="B73" s="202" t="s">
        <v>221</v>
      </c>
      <c r="C73" s="15" t="s">
        <v>22</v>
      </c>
      <c r="D73" s="58" t="s">
        <v>65</v>
      </c>
      <c r="E73" s="16">
        <v>3</v>
      </c>
      <c r="F73" s="21">
        <v>3</v>
      </c>
      <c r="G73" s="24"/>
      <c r="H73" s="25"/>
      <c r="I73" s="24"/>
      <c r="J73" s="25"/>
      <c r="K73" s="34" t="s">
        <v>34</v>
      </c>
      <c r="L73" s="277"/>
      <c r="M73" s="278">
        <v>3</v>
      </c>
      <c r="N73" s="283"/>
    </row>
    <row r="74" spans="1:14" ht="15" thickBot="1" x14ac:dyDescent="0.35">
      <c r="A74" s="207"/>
      <c r="B74" s="241"/>
      <c r="C74" s="17" t="s">
        <v>22</v>
      </c>
      <c r="D74" s="59" t="s">
        <v>36</v>
      </c>
      <c r="E74" s="18">
        <v>3</v>
      </c>
      <c r="F74" s="20">
        <v>3</v>
      </c>
      <c r="G74" s="26"/>
      <c r="H74" s="27"/>
      <c r="I74" s="26"/>
      <c r="J74" s="27"/>
      <c r="K74" s="35">
        <v>3</v>
      </c>
      <c r="L74" s="277"/>
      <c r="M74" s="279"/>
      <c r="N74" s="285"/>
    </row>
    <row r="75" spans="1:14" x14ac:dyDescent="0.3">
      <c r="A75" s="207"/>
      <c r="B75" s="241"/>
      <c r="C75" s="15" t="s">
        <v>22</v>
      </c>
      <c r="D75" s="60" t="s">
        <v>73</v>
      </c>
      <c r="E75" s="16">
        <v>3</v>
      </c>
      <c r="F75" s="21">
        <v>3</v>
      </c>
      <c r="G75" s="24"/>
      <c r="H75" s="25"/>
      <c r="I75" s="24"/>
      <c r="J75" s="25"/>
      <c r="K75" s="280"/>
      <c r="L75" s="36" t="s">
        <v>34</v>
      </c>
      <c r="M75" s="282">
        <v>3</v>
      </c>
      <c r="N75" s="284"/>
    </row>
    <row r="76" spans="1:14" ht="15" thickBot="1" x14ac:dyDescent="0.35">
      <c r="A76" s="275"/>
      <c r="B76" s="274"/>
      <c r="C76" s="74" t="s">
        <v>22</v>
      </c>
      <c r="D76" s="119" t="s">
        <v>75</v>
      </c>
      <c r="E76" s="76">
        <v>3</v>
      </c>
      <c r="F76" s="100">
        <v>3</v>
      </c>
      <c r="G76" s="180"/>
      <c r="H76" s="80"/>
      <c r="I76" s="180"/>
      <c r="J76" s="80"/>
      <c r="K76" s="343"/>
      <c r="L76" s="188">
        <v>3</v>
      </c>
      <c r="M76" s="254"/>
      <c r="N76" s="285"/>
    </row>
    <row r="77" spans="1:14" ht="16.5" customHeight="1" x14ac:dyDescent="0.3">
      <c r="A77" s="333" t="s">
        <v>230</v>
      </c>
      <c r="B77" s="336" t="s">
        <v>227</v>
      </c>
      <c r="C77" s="195" t="s">
        <v>22</v>
      </c>
      <c r="D77" s="185" t="s">
        <v>236</v>
      </c>
      <c r="E77" s="184">
        <v>4</v>
      </c>
      <c r="F77" s="183">
        <v>3</v>
      </c>
      <c r="G77" s="314" t="s">
        <v>232</v>
      </c>
      <c r="H77" s="315"/>
      <c r="I77" s="315"/>
      <c r="J77" s="315"/>
      <c r="K77" s="315"/>
      <c r="L77" s="316"/>
      <c r="M77" s="338"/>
      <c r="N77" s="340"/>
    </row>
    <row r="78" spans="1:14" ht="16.5" customHeight="1" x14ac:dyDescent="0.3">
      <c r="A78" s="334"/>
      <c r="B78" s="337"/>
      <c r="C78" s="193" t="s">
        <v>58</v>
      </c>
      <c r="D78" s="185" t="s">
        <v>235</v>
      </c>
      <c r="E78" s="184">
        <v>4</v>
      </c>
      <c r="F78" s="186">
        <v>3</v>
      </c>
      <c r="G78" s="317"/>
      <c r="H78" s="318"/>
      <c r="I78" s="318"/>
      <c r="J78" s="318"/>
      <c r="K78" s="318"/>
      <c r="L78" s="319"/>
      <c r="M78" s="339"/>
      <c r="N78" s="341"/>
    </row>
    <row r="79" spans="1:14" ht="30" customHeight="1" x14ac:dyDescent="0.3">
      <c r="A79" s="335"/>
      <c r="B79" s="190" t="s">
        <v>228</v>
      </c>
      <c r="C79" s="191" t="s">
        <v>58</v>
      </c>
      <c r="D79" s="185" t="s">
        <v>237</v>
      </c>
      <c r="E79" s="184">
        <v>4</v>
      </c>
      <c r="F79" s="186">
        <v>3</v>
      </c>
      <c r="G79" s="317"/>
      <c r="H79" s="318"/>
      <c r="I79" s="318"/>
      <c r="J79" s="318"/>
      <c r="K79" s="318"/>
      <c r="L79" s="319"/>
      <c r="M79" s="339"/>
      <c r="N79" s="341"/>
    </row>
    <row r="80" spans="1:14" ht="16.5" customHeight="1" thickBot="1" x14ac:dyDescent="0.35">
      <c r="A80" s="335"/>
      <c r="B80" s="187" t="s">
        <v>138</v>
      </c>
      <c r="C80" s="191" t="s">
        <v>58</v>
      </c>
      <c r="D80" s="192" t="s">
        <v>233</v>
      </c>
      <c r="E80" s="191">
        <v>3</v>
      </c>
      <c r="F80" s="194">
        <v>2</v>
      </c>
      <c r="G80" s="317"/>
      <c r="H80" s="318"/>
      <c r="I80" s="318"/>
      <c r="J80" s="318"/>
      <c r="K80" s="318"/>
      <c r="L80" s="319"/>
      <c r="M80" s="339"/>
      <c r="N80" s="341"/>
    </row>
    <row r="81" spans="1:14" ht="36" customHeight="1" thickBot="1" x14ac:dyDescent="0.35">
      <c r="A81" s="198" t="s">
        <v>231</v>
      </c>
      <c r="B81" s="189" t="s">
        <v>229</v>
      </c>
      <c r="C81" s="195" t="s">
        <v>58</v>
      </c>
      <c r="D81" s="196" t="s">
        <v>234</v>
      </c>
      <c r="E81" s="195">
        <v>4</v>
      </c>
      <c r="F81" s="197">
        <v>3</v>
      </c>
      <c r="G81" s="320"/>
      <c r="H81" s="321"/>
      <c r="I81" s="321"/>
      <c r="J81" s="321"/>
      <c r="K81" s="321"/>
      <c r="L81" s="322"/>
      <c r="M81" s="200"/>
      <c r="N81" s="199"/>
    </row>
    <row r="82" spans="1:14" x14ac:dyDescent="0.3">
      <c r="A82" s="263" t="s">
        <v>39</v>
      </c>
      <c r="B82" s="264"/>
      <c r="C82" s="264"/>
      <c r="D82" s="264"/>
      <c r="E82" s="264"/>
      <c r="F82" s="265"/>
      <c r="G82" s="122">
        <v>30</v>
      </c>
      <c r="H82" s="8">
        <v>30</v>
      </c>
      <c r="I82" s="8">
        <v>31</v>
      </c>
      <c r="J82" s="8">
        <v>31</v>
      </c>
      <c r="K82" s="8">
        <v>26</v>
      </c>
      <c r="L82" s="8">
        <v>26</v>
      </c>
      <c r="M82" s="116">
        <f>SUM(G82:L82)</f>
        <v>174</v>
      </c>
      <c r="N82" s="117">
        <f>SUM(N5:N30)</f>
        <v>84</v>
      </c>
    </row>
    <row r="83" spans="1:14" x14ac:dyDescent="0.3">
      <c r="A83" s="266" t="s">
        <v>23</v>
      </c>
      <c r="B83" s="210"/>
      <c r="C83" s="210"/>
      <c r="D83" s="210"/>
      <c r="E83" s="210"/>
      <c r="F83" s="267"/>
      <c r="G83" s="123">
        <v>3</v>
      </c>
      <c r="H83" s="7">
        <v>3</v>
      </c>
      <c r="I83" s="7">
        <v>3</v>
      </c>
      <c r="J83" s="7">
        <v>3</v>
      </c>
      <c r="K83" s="7">
        <v>3</v>
      </c>
      <c r="L83" s="7">
        <v>3</v>
      </c>
      <c r="M83" s="9">
        <f>SUM(G83:L83)</f>
        <v>18</v>
      </c>
      <c r="N83" s="97">
        <v>18</v>
      </c>
    </row>
    <row r="84" spans="1:14" x14ac:dyDescent="0.3">
      <c r="A84" s="268" t="s">
        <v>40</v>
      </c>
      <c r="B84" s="269"/>
      <c r="C84" s="269"/>
      <c r="D84" s="269"/>
      <c r="E84" s="269"/>
      <c r="F84" s="270"/>
      <c r="G84" s="124">
        <f t="shared" ref="G84:L84" si="0">G82+G83</f>
        <v>33</v>
      </c>
      <c r="H84" s="82">
        <f t="shared" si="0"/>
        <v>33</v>
      </c>
      <c r="I84" s="82">
        <f t="shared" si="0"/>
        <v>34</v>
      </c>
      <c r="J84" s="82">
        <f t="shared" si="0"/>
        <v>34</v>
      </c>
      <c r="K84" s="82">
        <f t="shared" si="0"/>
        <v>29</v>
      </c>
      <c r="L84" s="82">
        <f t="shared" si="0"/>
        <v>29</v>
      </c>
      <c r="M84" s="98">
        <f>SUM(G84:L84)</f>
        <v>192</v>
      </c>
      <c r="N84" s="99"/>
    </row>
    <row r="85" spans="1:14" x14ac:dyDescent="0.3">
      <c r="A85" s="3" t="s">
        <v>238</v>
      </c>
    </row>
  </sheetData>
  <mergeCells count="91">
    <mergeCell ref="M77:M80"/>
    <mergeCell ref="N77:N80"/>
    <mergeCell ref="B29:B30"/>
    <mergeCell ref="A82:F82"/>
    <mergeCell ref="A83:F83"/>
    <mergeCell ref="A5:A30"/>
    <mergeCell ref="B5:B6"/>
    <mergeCell ref="B15:B18"/>
    <mergeCell ref="L73:L74"/>
    <mergeCell ref="M73:M74"/>
    <mergeCell ref="N73:N74"/>
    <mergeCell ref="K75:K76"/>
    <mergeCell ref="M75:M76"/>
    <mergeCell ref="N75:N76"/>
    <mergeCell ref="K64:K72"/>
    <mergeCell ref="M64:M72"/>
    <mergeCell ref="A84:F84"/>
    <mergeCell ref="B47:B50"/>
    <mergeCell ref="B51:B52"/>
    <mergeCell ref="B61:B62"/>
    <mergeCell ref="B73:B76"/>
    <mergeCell ref="B53:B54"/>
    <mergeCell ref="A31:A76"/>
    <mergeCell ref="B39:B40"/>
    <mergeCell ref="B35:B37"/>
    <mergeCell ref="B42:B43"/>
    <mergeCell ref="A77:A80"/>
    <mergeCell ref="B77:B78"/>
    <mergeCell ref="N64:N72"/>
    <mergeCell ref="B65:B66"/>
    <mergeCell ref="L65:L72"/>
    <mergeCell ref="B67:B68"/>
    <mergeCell ref="B69:B70"/>
    <mergeCell ref="M47:M52"/>
    <mergeCell ref="J50:J52"/>
    <mergeCell ref="I49:I52"/>
    <mergeCell ref="J47:J48"/>
    <mergeCell ref="B44:B45"/>
    <mergeCell ref="L53:L63"/>
    <mergeCell ref="M53:M63"/>
    <mergeCell ref="K54:K63"/>
    <mergeCell ref="B56:B57"/>
    <mergeCell ref="B58:B60"/>
    <mergeCell ref="N39:N46"/>
    <mergeCell ref="B25:B26"/>
    <mergeCell ref="G25:G26"/>
    <mergeCell ref="H25:H26"/>
    <mergeCell ref="M25:M26"/>
    <mergeCell ref="N25:N26"/>
    <mergeCell ref="M27:M29"/>
    <mergeCell ref="N27:N30"/>
    <mergeCell ref="J31:J38"/>
    <mergeCell ref="M31:M38"/>
    <mergeCell ref="N31:N38"/>
    <mergeCell ref="I32:I38"/>
    <mergeCell ref="B33:B34"/>
    <mergeCell ref="J40:J46"/>
    <mergeCell ref="M39:M46"/>
    <mergeCell ref="B27:B28"/>
    <mergeCell ref="M15:M18"/>
    <mergeCell ref="N15:N18"/>
    <mergeCell ref="B19:B24"/>
    <mergeCell ref="M19:M24"/>
    <mergeCell ref="N19:N24"/>
    <mergeCell ref="M5:M6"/>
    <mergeCell ref="N5:N6"/>
    <mergeCell ref="B7:B8"/>
    <mergeCell ref="M7:M8"/>
    <mergeCell ref="N7:N8"/>
    <mergeCell ref="N13:N14"/>
    <mergeCell ref="M9:M10"/>
    <mergeCell ref="N9:N10"/>
    <mergeCell ref="B11:B12"/>
    <mergeCell ref="M11:M12"/>
    <mergeCell ref="N11:N12"/>
    <mergeCell ref="G77:L81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9:B10"/>
    <mergeCell ref="B13:B14"/>
    <mergeCell ref="M13:M14"/>
  </mergeCells>
  <phoneticPr fontId="2" type="noConversion"/>
  <printOptions horizontalCentered="1"/>
  <pageMargins left="0.25" right="0.25" top="0.75" bottom="0.75" header="0.3" footer="0.3"/>
  <pageSetup paperSize="9" scale="53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29FC-2326-47E0-B9D0-C3C63658CF93}">
  <sheetPr>
    <tabColor rgb="FFFFC000"/>
    <pageSetUpPr fitToPage="1"/>
  </sheetPr>
  <dimension ref="A1:N81"/>
  <sheetViews>
    <sheetView zoomScale="115" zoomScaleNormal="115" workbookViewId="0">
      <pane xSplit="1" ySplit="4" topLeftCell="B20" activePane="bottomRight" state="frozen"/>
      <selection activeCell="L64" sqref="L64:L71"/>
      <selection pane="topRight" activeCell="L64" sqref="L64:L71"/>
      <selection pane="bottomLeft" activeCell="L64" sqref="L64:L71"/>
      <selection pane="bottomRight" activeCell="H16" sqref="H16"/>
    </sheetView>
  </sheetViews>
  <sheetFormatPr defaultColWidth="9" defaultRowHeight="14.25" x14ac:dyDescent="0.3"/>
  <cols>
    <col min="1" max="1" width="4" style="3" customWidth="1"/>
    <col min="2" max="2" width="10.75" style="2" customWidth="1"/>
    <col min="3" max="3" width="7" style="3" customWidth="1"/>
    <col min="4" max="4" width="33.625" style="2" customWidth="1"/>
    <col min="5" max="6" width="4.375" style="3" customWidth="1"/>
    <col min="7" max="8" width="5.25" style="3" customWidth="1"/>
    <col min="9" max="10" width="5.25" style="2" customWidth="1"/>
    <col min="11" max="12" width="5.25" style="3" customWidth="1"/>
    <col min="13" max="13" width="5.25" style="2" customWidth="1"/>
    <col min="14" max="14" width="5.75" style="2" customWidth="1"/>
    <col min="15" max="15" width="4.875" style="1" customWidth="1"/>
    <col min="16" max="16384" width="9" style="1"/>
  </cols>
  <sheetData>
    <row r="1" spans="1:14" ht="31.9" customHeight="1" x14ac:dyDescent="0.3">
      <c r="A1" s="218" t="s">
        <v>152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ht="22.15" customHeight="1" thickBot="1" x14ac:dyDescent="0.35">
      <c r="A2" s="219" t="s">
        <v>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x14ac:dyDescent="0.3">
      <c r="A3" s="220" t="s">
        <v>0</v>
      </c>
      <c r="B3" s="222" t="s">
        <v>2</v>
      </c>
      <c r="C3" s="222" t="s">
        <v>3</v>
      </c>
      <c r="D3" s="222"/>
      <c r="E3" s="222" t="s">
        <v>37</v>
      </c>
      <c r="F3" s="224" t="s">
        <v>38</v>
      </c>
      <c r="G3" s="226" t="s">
        <v>4</v>
      </c>
      <c r="H3" s="227"/>
      <c r="I3" s="226" t="s">
        <v>5</v>
      </c>
      <c r="J3" s="227"/>
      <c r="K3" s="226" t="s">
        <v>6</v>
      </c>
      <c r="L3" s="227"/>
      <c r="M3" s="228" t="s">
        <v>41</v>
      </c>
      <c r="N3" s="204" t="s">
        <v>98</v>
      </c>
    </row>
    <row r="4" spans="1:14" ht="15" thickBot="1" x14ac:dyDescent="0.35">
      <c r="A4" s="221"/>
      <c r="B4" s="223"/>
      <c r="C4" s="223"/>
      <c r="D4" s="223"/>
      <c r="E4" s="223"/>
      <c r="F4" s="225"/>
      <c r="G4" s="37" t="s">
        <v>7</v>
      </c>
      <c r="H4" s="38" t="s">
        <v>8</v>
      </c>
      <c r="I4" s="37" t="s">
        <v>7</v>
      </c>
      <c r="J4" s="38" t="s">
        <v>8</v>
      </c>
      <c r="K4" s="37" t="s">
        <v>7</v>
      </c>
      <c r="L4" s="38" t="s">
        <v>8</v>
      </c>
      <c r="M4" s="229"/>
      <c r="N4" s="205"/>
    </row>
    <row r="5" spans="1:14" x14ac:dyDescent="0.3">
      <c r="A5" s="206" t="s">
        <v>9</v>
      </c>
      <c r="B5" s="211" t="s">
        <v>11</v>
      </c>
      <c r="C5" s="15" t="s">
        <v>12</v>
      </c>
      <c r="D5" s="40" t="s">
        <v>45</v>
      </c>
      <c r="E5" s="16">
        <v>4</v>
      </c>
      <c r="F5" s="21">
        <v>4</v>
      </c>
      <c r="G5" s="24">
        <v>4</v>
      </c>
      <c r="H5" s="25"/>
      <c r="I5" s="24"/>
      <c r="J5" s="25"/>
      <c r="K5" s="24"/>
      <c r="L5" s="25"/>
      <c r="M5" s="215">
        <v>8</v>
      </c>
      <c r="N5" s="216">
        <v>8</v>
      </c>
    </row>
    <row r="6" spans="1:14" x14ac:dyDescent="0.3">
      <c r="A6" s="207"/>
      <c r="B6" s="202"/>
      <c r="C6" s="4" t="s">
        <v>12</v>
      </c>
      <c r="D6" s="41" t="s">
        <v>46</v>
      </c>
      <c r="E6" s="6">
        <v>4</v>
      </c>
      <c r="F6" s="19">
        <v>4</v>
      </c>
      <c r="G6" s="22"/>
      <c r="H6" s="23">
        <v>4</v>
      </c>
      <c r="I6" s="22"/>
      <c r="J6" s="23"/>
      <c r="K6" s="22"/>
      <c r="L6" s="23"/>
      <c r="M6" s="203"/>
      <c r="N6" s="212"/>
    </row>
    <row r="7" spans="1:14" x14ac:dyDescent="0.3">
      <c r="A7" s="207"/>
      <c r="B7" s="201" t="s">
        <v>14</v>
      </c>
      <c r="C7" s="4" t="s">
        <v>12</v>
      </c>
      <c r="D7" s="41" t="s">
        <v>47</v>
      </c>
      <c r="E7" s="6">
        <v>4</v>
      </c>
      <c r="F7" s="19">
        <v>4</v>
      </c>
      <c r="G7" s="22">
        <v>4</v>
      </c>
      <c r="H7" s="23"/>
      <c r="I7" s="22"/>
      <c r="J7" s="23"/>
      <c r="K7" s="22"/>
      <c r="L7" s="23"/>
      <c r="M7" s="203">
        <v>8</v>
      </c>
      <c r="N7" s="212">
        <v>8</v>
      </c>
    </row>
    <row r="8" spans="1:14" x14ac:dyDescent="0.3">
      <c r="A8" s="207"/>
      <c r="B8" s="230"/>
      <c r="C8" s="4" t="s">
        <v>172</v>
      </c>
      <c r="D8" s="41" t="s">
        <v>173</v>
      </c>
      <c r="E8" s="6">
        <v>4</v>
      </c>
      <c r="F8" s="19">
        <v>4</v>
      </c>
      <c r="G8" s="22"/>
      <c r="H8" s="23">
        <v>4</v>
      </c>
      <c r="I8" s="22"/>
      <c r="J8" s="23"/>
      <c r="K8" s="22"/>
      <c r="L8" s="23"/>
      <c r="M8" s="203"/>
      <c r="N8" s="212"/>
    </row>
    <row r="9" spans="1:14" x14ac:dyDescent="0.3">
      <c r="A9" s="207"/>
      <c r="B9" s="201" t="s">
        <v>15</v>
      </c>
      <c r="C9" s="4" t="s">
        <v>12</v>
      </c>
      <c r="D9" s="41" t="s">
        <v>49</v>
      </c>
      <c r="E9" s="6">
        <v>4</v>
      </c>
      <c r="F9" s="19">
        <v>4</v>
      </c>
      <c r="G9" s="22">
        <v>4</v>
      </c>
      <c r="H9" s="23"/>
      <c r="I9" s="22"/>
      <c r="J9" s="23"/>
      <c r="K9" s="22"/>
      <c r="L9" s="23"/>
      <c r="M9" s="203">
        <v>8</v>
      </c>
      <c r="N9" s="212">
        <v>8</v>
      </c>
    </row>
    <row r="10" spans="1:14" x14ac:dyDescent="0.3">
      <c r="A10" s="207"/>
      <c r="B10" s="202"/>
      <c r="C10" s="4" t="s">
        <v>12</v>
      </c>
      <c r="D10" s="41" t="s">
        <v>50</v>
      </c>
      <c r="E10" s="6">
        <v>4</v>
      </c>
      <c r="F10" s="19">
        <v>4</v>
      </c>
      <c r="G10" s="22"/>
      <c r="H10" s="23">
        <v>4</v>
      </c>
      <c r="I10" s="22"/>
      <c r="J10" s="23"/>
      <c r="K10" s="22"/>
      <c r="L10" s="23"/>
      <c r="M10" s="203"/>
      <c r="N10" s="212"/>
    </row>
    <row r="11" spans="1:14" x14ac:dyDescent="0.3">
      <c r="A11" s="207"/>
      <c r="B11" s="213" t="s">
        <v>16</v>
      </c>
      <c r="C11" s="4" t="s">
        <v>12</v>
      </c>
      <c r="D11" s="41" t="s">
        <v>51</v>
      </c>
      <c r="E11" s="6">
        <v>3</v>
      </c>
      <c r="F11" s="19">
        <v>3</v>
      </c>
      <c r="G11" s="22">
        <v>3</v>
      </c>
      <c r="H11" s="23"/>
      <c r="I11" s="22"/>
      <c r="J11" s="23"/>
      <c r="K11" s="22"/>
      <c r="L11" s="23"/>
      <c r="M11" s="203">
        <v>6</v>
      </c>
      <c r="N11" s="212">
        <v>6</v>
      </c>
    </row>
    <row r="12" spans="1:14" x14ac:dyDescent="0.3">
      <c r="A12" s="207"/>
      <c r="B12" s="214"/>
      <c r="C12" s="4" t="s">
        <v>12</v>
      </c>
      <c r="D12" s="41" t="s">
        <v>52</v>
      </c>
      <c r="E12" s="6">
        <v>3</v>
      </c>
      <c r="F12" s="19">
        <v>3</v>
      </c>
      <c r="G12" s="29"/>
      <c r="H12" s="23">
        <v>3</v>
      </c>
      <c r="I12" s="22"/>
      <c r="J12" s="23"/>
      <c r="K12" s="22"/>
      <c r="L12" s="23"/>
      <c r="M12" s="203"/>
      <c r="N12" s="212"/>
    </row>
    <row r="13" spans="1:14" x14ac:dyDescent="0.3">
      <c r="A13" s="207"/>
      <c r="B13" s="201" t="s">
        <v>90</v>
      </c>
      <c r="C13" s="4" t="s">
        <v>12</v>
      </c>
      <c r="D13" s="41" t="s">
        <v>53</v>
      </c>
      <c r="E13" s="6">
        <v>4</v>
      </c>
      <c r="F13" s="19">
        <v>4</v>
      </c>
      <c r="G13" s="29">
        <v>4</v>
      </c>
      <c r="H13" s="23"/>
      <c r="I13" s="22"/>
      <c r="J13" s="23"/>
      <c r="K13" s="22"/>
      <c r="L13" s="23"/>
      <c r="M13" s="203">
        <v>8</v>
      </c>
      <c r="N13" s="250">
        <v>8</v>
      </c>
    </row>
    <row r="14" spans="1:14" x14ac:dyDescent="0.3">
      <c r="A14" s="207"/>
      <c r="B14" s="202"/>
      <c r="C14" s="4" t="s">
        <v>12</v>
      </c>
      <c r="D14" s="41" t="s">
        <v>54</v>
      </c>
      <c r="E14" s="6">
        <v>4</v>
      </c>
      <c r="F14" s="19">
        <v>4</v>
      </c>
      <c r="G14" s="29"/>
      <c r="H14" s="23">
        <v>4</v>
      </c>
      <c r="I14" s="22"/>
      <c r="J14" s="23"/>
      <c r="K14" s="22"/>
      <c r="L14" s="23"/>
      <c r="M14" s="203"/>
      <c r="N14" s="250"/>
    </row>
    <row r="15" spans="1:14" x14ac:dyDescent="0.3">
      <c r="A15" s="207"/>
      <c r="B15" s="201" t="s">
        <v>95</v>
      </c>
      <c r="C15" s="4" t="s">
        <v>12</v>
      </c>
      <c r="D15" s="42" t="s">
        <v>55</v>
      </c>
      <c r="E15" s="6">
        <v>4</v>
      </c>
      <c r="F15" s="19">
        <v>4</v>
      </c>
      <c r="G15" s="29">
        <v>4</v>
      </c>
      <c r="H15" s="23"/>
      <c r="I15" s="22"/>
      <c r="J15" s="23"/>
      <c r="K15" s="22"/>
      <c r="L15" s="23"/>
      <c r="M15" s="203">
        <v>10</v>
      </c>
      <c r="N15" s="212">
        <v>10</v>
      </c>
    </row>
    <row r="16" spans="1:14" x14ac:dyDescent="0.3">
      <c r="A16" s="207"/>
      <c r="B16" s="230"/>
      <c r="C16" s="4" t="s">
        <v>12</v>
      </c>
      <c r="D16" s="42" t="s">
        <v>56</v>
      </c>
      <c r="E16" s="6">
        <v>4</v>
      </c>
      <c r="F16" s="19">
        <v>4</v>
      </c>
      <c r="G16" s="29"/>
      <c r="H16" s="23">
        <v>4</v>
      </c>
      <c r="I16" s="22"/>
      <c r="J16" s="23"/>
      <c r="K16" s="22"/>
      <c r="L16" s="23"/>
      <c r="M16" s="203"/>
      <c r="N16" s="212"/>
    </row>
    <row r="17" spans="1:14" x14ac:dyDescent="0.3">
      <c r="A17" s="207"/>
      <c r="B17" s="230"/>
      <c r="C17" s="4" t="s">
        <v>12</v>
      </c>
      <c r="D17" s="42" t="s">
        <v>59</v>
      </c>
      <c r="E17" s="6">
        <v>1</v>
      </c>
      <c r="F17" s="19">
        <v>1</v>
      </c>
      <c r="G17" s="29">
        <v>1</v>
      </c>
      <c r="H17" s="23"/>
      <c r="I17" s="22"/>
      <c r="J17" s="23"/>
      <c r="K17" s="22"/>
      <c r="L17" s="23"/>
      <c r="M17" s="203"/>
      <c r="N17" s="212"/>
    </row>
    <row r="18" spans="1:14" x14ac:dyDescent="0.3">
      <c r="A18" s="207"/>
      <c r="B18" s="202"/>
      <c r="C18" s="4" t="s">
        <v>12</v>
      </c>
      <c r="D18" s="42" t="s">
        <v>60</v>
      </c>
      <c r="E18" s="6">
        <v>1</v>
      </c>
      <c r="F18" s="19">
        <v>1</v>
      </c>
      <c r="G18" s="29"/>
      <c r="H18" s="23">
        <v>1</v>
      </c>
      <c r="I18" s="22"/>
      <c r="J18" s="23"/>
      <c r="K18" s="22"/>
      <c r="L18" s="23"/>
      <c r="M18" s="203"/>
      <c r="N18" s="212"/>
    </row>
    <row r="19" spans="1:14" x14ac:dyDescent="0.3">
      <c r="A19" s="207"/>
      <c r="B19" s="201" t="s">
        <v>97</v>
      </c>
      <c r="C19" s="4" t="s">
        <v>24</v>
      </c>
      <c r="D19" s="42" t="s">
        <v>70</v>
      </c>
      <c r="E19" s="6">
        <v>3</v>
      </c>
      <c r="F19" s="19">
        <v>2</v>
      </c>
      <c r="G19" s="22">
        <v>2</v>
      </c>
      <c r="H19" s="23"/>
      <c r="I19" s="22"/>
      <c r="J19" s="23"/>
      <c r="K19" s="22"/>
      <c r="L19" s="23"/>
      <c r="M19" s="203">
        <f>SUM(G19:L24)</f>
        <v>10</v>
      </c>
      <c r="N19" s="212">
        <v>10</v>
      </c>
    </row>
    <row r="20" spans="1:14" x14ac:dyDescent="0.3">
      <c r="A20" s="207"/>
      <c r="B20" s="230"/>
      <c r="C20" s="4" t="s">
        <v>24</v>
      </c>
      <c r="D20" s="42" t="s">
        <v>57</v>
      </c>
      <c r="E20" s="6">
        <v>3</v>
      </c>
      <c r="F20" s="19">
        <v>2</v>
      </c>
      <c r="G20" s="22"/>
      <c r="H20" s="23">
        <v>2</v>
      </c>
      <c r="I20" s="22"/>
      <c r="J20" s="23"/>
      <c r="K20" s="22"/>
      <c r="L20" s="23"/>
      <c r="M20" s="203"/>
      <c r="N20" s="212"/>
    </row>
    <row r="21" spans="1:14" x14ac:dyDescent="0.3">
      <c r="A21" s="207"/>
      <c r="B21" s="230"/>
      <c r="C21" s="4" t="s">
        <v>22</v>
      </c>
      <c r="D21" s="42" t="s">
        <v>69</v>
      </c>
      <c r="E21" s="6">
        <v>2</v>
      </c>
      <c r="F21" s="19">
        <v>1</v>
      </c>
      <c r="G21" s="22"/>
      <c r="H21" s="23"/>
      <c r="I21" s="22">
        <v>1</v>
      </c>
      <c r="J21" s="23"/>
      <c r="K21" s="22"/>
      <c r="L21" s="23"/>
      <c r="M21" s="203"/>
      <c r="N21" s="212"/>
    </row>
    <row r="22" spans="1:14" x14ac:dyDescent="0.3">
      <c r="A22" s="207"/>
      <c r="B22" s="230"/>
      <c r="C22" s="4" t="s">
        <v>22</v>
      </c>
      <c r="D22" s="42" t="s">
        <v>71</v>
      </c>
      <c r="E22" s="6">
        <v>2</v>
      </c>
      <c r="F22" s="19">
        <v>1</v>
      </c>
      <c r="G22" s="22"/>
      <c r="H22" s="23"/>
      <c r="I22" s="22"/>
      <c r="J22" s="23">
        <v>1</v>
      </c>
      <c r="K22" s="22"/>
      <c r="L22" s="23"/>
      <c r="M22" s="203"/>
      <c r="N22" s="212"/>
    </row>
    <row r="23" spans="1:14" x14ac:dyDescent="0.3">
      <c r="A23" s="207"/>
      <c r="B23" s="230"/>
      <c r="C23" s="4" t="s">
        <v>58</v>
      </c>
      <c r="D23" s="42" t="s">
        <v>77</v>
      </c>
      <c r="E23" s="6">
        <v>3</v>
      </c>
      <c r="F23" s="19">
        <v>2</v>
      </c>
      <c r="G23" s="22"/>
      <c r="H23" s="23"/>
      <c r="I23" s="22"/>
      <c r="J23" s="23"/>
      <c r="K23" s="22">
        <v>2</v>
      </c>
      <c r="L23" s="23"/>
      <c r="M23" s="203"/>
      <c r="N23" s="212"/>
    </row>
    <row r="24" spans="1:14" x14ac:dyDescent="0.3">
      <c r="A24" s="207"/>
      <c r="B24" s="202"/>
      <c r="C24" s="4" t="s">
        <v>58</v>
      </c>
      <c r="D24" s="42" t="s">
        <v>99</v>
      </c>
      <c r="E24" s="6">
        <v>3</v>
      </c>
      <c r="F24" s="19">
        <v>2</v>
      </c>
      <c r="G24" s="22"/>
      <c r="H24" s="23"/>
      <c r="I24" s="22"/>
      <c r="J24" s="23"/>
      <c r="K24" s="22"/>
      <c r="L24" s="23">
        <v>2</v>
      </c>
      <c r="M24" s="203"/>
      <c r="N24" s="212"/>
    </row>
    <row r="25" spans="1:14" x14ac:dyDescent="0.3">
      <c r="A25" s="207"/>
      <c r="B25" s="241" t="s">
        <v>96</v>
      </c>
      <c r="C25" s="4" t="s">
        <v>13</v>
      </c>
      <c r="D25" s="42" t="s">
        <v>19</v>
      </c>
      <c r="E25" s="6">
        <v>3</v>
      </c>
      <c r="F25" s="19">
        <v>2</v>
      </c>
      <c r="G25" s="245" t="s">
        <v>67</v>
      </c>
      <c r="H25" s="247" t="s">
        <v>67</v>
      </c>
      <c r="I25" s="22"/>
      <c r="J25" s="23"/>
      <c r="K25" s="22"/>
      <c r="L25" s="23"/>
      <c r="M25" s="203">
        <v>4</v>
      </c>
      <c r="N25" s="212">
        <v>10</v>
      </c>
    </row>
    <row r="26" spans="1:14" x14ac:dyDescent="0.3">
      <c r="A26" s="207"/>
      <c r="B26" s="241"/>
      <c r="C26" s="4" t="s">
        <v>13</v>
      </c>
      <c r="D26" s="42" t="s">
        <v>20</v>
      </c>
      <c r="E26" s="6">
        <v>3</v>
      </c>
      <c r="F26" s="19">
        <v>2</v>
      </c>
      <c r="G26" s="246"/>
      <c r="H26" s="248"/>
      <c r="I26" s="22"/>
      <c r="J26" s="23"/>
      <c r="K26" s="22"/>
      <c r="L26" s="23"/>
      <c r="M26" s="203"/>
      <c r="N26" s="212"/>
    </row>
    <row r="27" spans="1:14" x14ac:dyDescent="0.3">
      <c r="A27" s="207"/>
      <c r="B27" s="241" t="s">
        <v>93</v>
      </c>
      <c r="C27" s="4" t="s">
        <v>13</v>
      </c>
      <c r="D27" s="42" t="s">
        <v>43</v>
      </c>
      <c r="E27" s="6">
        <v>4</v>
      </c>
      <c r="F27" s="19">
        <v>3</v>
      </c>
      <c r="G27" s="30"/>
      <c r="H27" s="31"/>
      <c r="I27" s="22">
        <v>3</v>
      </c>
      <c r="J27" s="23"/>
      <c r="K27" s="22"/>
      <c r="L27" s="23"/>
      <c r="M27" s="297">
        <v>8</v>
      </c>
      <c r="N27" s="212">
        <v>16</v>
      </c>
    </row>
    <row r="28" spans="1:14" x14ac:dyDescent="0.3">
      <c r="A28" s="207"/>
      <c r="B28" s="241"/>
      <c r="C28" s="4" t="s">
        <v>22</v>
      </c>
      <c r="D28" s="42" t="s">
        <v>180</v>
      </c>
      <c r="E28" s="6">
        <v>4</v>
      </c>
      <c r="F28" s="19">
        <v>3</v>
      </c>
      <c r="G28" s="30"/>
      <c r="H28" s="31"/>
      <c r="I28" s="22"/>
      <c r="J28" s="23">
        <v>3</v>
      </c>
      <c r="K28" s="22"/>
      <c r="L28" s="23"/>
      <c r="M28" s="256"/>
      <c r="N28" s="212"/>
    </row>
    <row r="29" spans="1:14" x14ac:dyDescent="0.3">
      <c r="A29" s="207"/>
      <c r="B29" s="241"/>
      <c r="C29" s="4" t="s">
        <v>42</v>
      </c>
      <c r="D29" s="42" t="s">
        <v>192</v>
      </c>
      <c r="E29" s="6">
        <v>3</v>
      </c>
      <c r="F29" s="19">
        <v>2</v>
      </c>
      <c r="G29" s="30"/>
      <c r="H29" s="31">
        <v>2</v>
      </c>
      <c r="I29" s="22"/>
      <c r="J29" s="23"/>
      <c r="K29" s="22"/>
      <c r="L29" s="23"/>
      <c r="M29" s="298"/>
      <c r="N29" s="212"/>
    </row>
    <row r="30" spans="1:14" ht="15" thickBot="1" x14ac:dyDescent="0.35">
      <c r="A30" s="207"/>
      <c r="B30" s="10" t="s">
        <v>94</v>
      </c>
      <c r="C30" s="4" t="s">
        <v>13</v>
      </c>
      <c r="D30" s="41" t="s">
        <v>68</v>
      </c>
      <c r="E30" s="6">
        <v>3</v>
      </c>
      <c r="F30" s="19">
        <v>2</v>
      </c>
      <c r="G30" s="62">
        <v>2</v>
      </c>
      <c r="H30" s="64"/>
      <c r="I30" s="22"/>
      <c r="J30" s="23"/>
      <c r="K30" s="22"/>
      <c r="L30" s="23"/>
      <c r="M30" s="79">
        <v>2</v>
      </c>
      <c r="N30" s="212"/>
    </row>
    <row r="31" spans="1:14" x14ac:dyDescent="0.3">
      <c r="A31" s="206" t="s">
        <v>21</v>
      </c>
      <c r="B31" s="15" t="s">
        <v>27</v>
      </c>
      <c r="C31" s="15" t="s">
        <v>24</v>
      </c>
      <c r="D31" s="93" t="s">
        <v>83</v>
      </c>
      <c r="E31" s="16">
        <v>4</v>
      </c>
      <c r="F31" s="21">
        <v>4</v>
      </c>
      <c r="G31" s="101"/>
      <c r="H31" s="102"/>
      <c r="I31" s="94" t="s">
        <v>33</v>
      </c>
      <c r="J31" s="251"/>
      <c r="K31" s="101"/>
      <c r="L31" s="102"/>
      <c r="M31" s="215">
        <v>24</v>
      </c>
      <c r="N31" s="216"/>
    </row>
    <row r="32" spans="1:14" ht="17.45" customHeight="1" x14ac:dyDescent="0.3">
      <c r="A32" s="307"/>
      <c r="B32" s="10" t="s">
        <v>28</v>
      </c>
      <c r="C32" s="12" t="s">
        <v>24</v>
      </c>
      <c r="D32" s="148" t="s">
        <v>147</v>
      </c>
      <c r="E32" s="14">
        <v>4</v>
      </c>
      <c r="F32" s="39">
        <v>4</v>
      </c>
      <c r="G32" s="107"/>
      <c r="H32" s="108"/>
      <c r="I32" s="234" t="s">
        <v>81</v>
      </c>
      <c r="J32" s="299"/>
      <c r="K32" s="107"/>
      <c r="L32" s="108"/>
      <c r="M32" s="282"/>
      <c r="N32" s="300"/>
    </row>
    <row r="33" spans="1:14" ht="17.45" customHeight="1" x14ac:dyDescent="0.3">
      <c r="A33" s="207"/>
      <c r="B33" s="241" t="s">
        <v>29</v>
      </c>
      <c r="C33" s="4" t="s">
        <v>24</v>
      </c>
      <c r="D33" s="44" t="s">
        <v>87</v>
      </c>
      <c r="E33" s="6">
        <v>4</v>
      </c>
      <c r="F33" s="19">
        <v>4</v>
      </c>
      <c r="G33" s="103"/>
      <c r="H33" s="104"/>
      <c r="I33" s="235"/>
      <c r="J33" s="252"/>
      <c r="K33" s="103"/>
      <c r="L33" s="104"/>
      <c r="M33" s="203"/>
      <c r="N33" s="212"/>
    </row>
    <row r="34" spans="1:14" ht="17.45" customHeight="1" x14ac:dyDescent="0.3">
      <c r="A34" s="207"/>
      <c r="B34" s="241"/>
      <c r="C34" s="4" t="s">
        <v>22</v>
      </c>
      <c r="D34" s="45" t="s">
        <v>63</v>
      </c>
      <c r="E34" s="6">
        <v>4</v>
      </c>
      <c r="F34" s="19">
        <v>4</v>
      </c>
      <c r="G34" s="103"/>
      <c r="H34" s="104"/>
      <c r="I34" s="235"/>
      <c r="J34" s="252"/>
      <c r="K34" s="103"/>
      <c r="L34" s="104"/>
      <c r="M34" s="203"/>
      <c r="N34" s="212"/>
    </row>
    <row r="35" spans="1:14" ht="17.45" customHeight="1" x14ac:dyDescent="0.3">
      <c r="A35" s="207"/>
      <c r="B35" s="201" t="s">
        <v>30</v>
      </c>
      <c r="C35" s="4" t="s">
        <v>22</v>
      </c>
      <c r="D35" s="45" t="s">
        <v>204</v>
      </c>
      <c r="E35" s="6">
        <v>4</v>
      </c>
      <c r="F35" s="19">
        <v>4</v>
      </c>
      <c r="G35" s="103"/>
      <c r="H35" s="104"/>
      <c r="I35" s="235"/>
      <c r="J35" s="252"/>
      <c r="K35" s="103"/>
      <c r="L35" s="104"/>
      <c r="M35" s="203"/>
      <c r="N35" s="212"/>
    </row>
    <row r="36" spans="1:14" ht="17.45" customHeight="1" x14ac:dyDescent="0.3">
      <c r="A36" s="207"/>
      <c r="B36" s="202"/>
      <c r="C36" s="4" t="s">
        <v>72</v>
      </c>
      <c r="D36" s="44" t="s">
        <v>153</v>
      </c>
      <c r="E36" s="6">
        <v>4</v>
      </c>
      <c r="F36" s="19">
        <v>4</v>
      </c>
      <c r="G36" s="103"/>
      <c r="H36" s="104"/>
      <c r="I36" s="235"/>
      <c r="J36" s="252"/>
      <c r="K36" s="103"/>
      <c r="L36" s="104"/>
      <c r="M36" s="203"/>
      <c r="N36" s="212"/>
    </row>
    <row r="37" spans="1:14" ht="18" customHeight="1" thickBot="1" x14ac:dyDescent="0.35">
      <c r="A37" s="207"/>
      <c r="B37" s="74" t="s">
        <v>31</v>
      </c>
      <c r="C37" s="74" t="s">
        <v>24</v>
      </c>
      <c r="D37" s="78" t="s">
        <v>140</v>
      </c>
      <c r="E37" s="76">
        <v>4</v>
      </c>
      <c r="F37" s="77">
        <v>4</v>
      </c>
      <c r="G37" s="109"/>
      <c r="H37" s="110"/>
      <c r="I37" s="236"/>
      <c r="J37" s="253"/>
      <c r="K37" s="109"/>
      <c r="L37" s="110"/>
      <c r="M37" s="254"/>
      <c r="N37" s="259"/>
    </row>
    <row r="38" spans="1:14" x14ac:dyDescent="0.3">
      <c r="A38" s="207"/>
      <c r="B38" s="238" t="s">
        <v>91</v>
      </c>
      <c r="C38" s="12" t="s">
        <v>13</v>
      </c>
      <c r="D38" s="91" t="s">
        <v>82</v>
      </c>
      <c r="E38" s="14">
        <v>4</v>
      </c>
      <c r="F38" s="39">
        <v>4</v>
      </c>
      <c r="G38" s="107"/>
      <c r="H38" s="108"/>
      <c r="I38" s="87"/>
      <c r="J38" s="92" t="s">
        <v>33</v>
      </c>
      <c r="K38" s="112"/>
      <c r="L38" s="113"/>
      <c r="M38" s="255">
        <v>24</v>
      </c>
      <c r="N38" s="283"/>
    </row>
    <row r="39" spans="1:14" ht="13.9" customHeight="1" x14ac:dyDescent="0.3">
      <c r="A39" s="207"/>
      <c r="B39" s="214"/>
      <c r="C39" s="4" t="s">
        <v>42</v>
      </c>
      <c r="D39" s="118" t="s">
        <v>86</v>
      </c>
      <c r="E39" s="6">
        <v>4</v>
      </c>
      <c r="F39" s="19">
        <v>4</v>
      </c>
      <c r="G39" s="103"/>
      <c r="H39" s="104"/>
      <c r="I39" s="87"/>
      <c r="J39" s="260" t="s">
        <v>81</v>
      </c>
      <c r="K39" s="103"/>
      <c r="L39" s="104"/>
      <c r="M39" s="256"/>
      <c r="N39" s="284"/>
    </row>
    <row r="40" spans="1:14" ht="16.5" x14ac:dyDescent="0.3">
      <c r="A40" s="207"/>
      <c r="B40" s="213" t="s">
        <v>92</v>
      </c>
      <c r="C40" s="4" t="s">
        <v>13</v>
      </c>
      <c r="D40" s="46" t="s">
        <v>200</v>
      </c>
      <c r="E40" s="6">
        <v>4</v>
      </c>
      <c r="F40" s="19">
        <v>4</v>
      </c>
      <c r="G40" s="103"/>
      <c r="H40" s="104"/>
      <c r="I40" s="87"/>
      <c r="J40" s="261"/>
      <c r="K40" s="103"/>
      <c r="L40" s="104"/>
      <c r="M40" s="256"/>
      <c r="N40" s="284"/>
    </row>
    <row r="41" spans="1:14" x14ac:dyDescent="0.3">
      <c r="A41" s="207"/>
      <c r="B41" s="214"/>
      <c r="C41" s="4" t="s">
        <v>42</v>
      </c>
      <c r="D41" s="46" t="s">
        <v>202</v>
      </c>
      <c r="E41" s="6">
        <v>4</v>
      </c>
      <c r="F41" s="19">
        <v>4</v>
      </c>
      <c r="G41" s="103"/>
      <c r="H41" s="104"/>
      <c r="I41" s="87"/>
      <c r="J41" s="261"/>
      <c r="K41" s="103"/>
      <c r="L41" s="104"/>
      <c r="M41" s="256"/>
      <c r="N41" s="284"/>
    </row>
    <row r="42" spans="1:14" x14ac:dyDescent="0.3">
      <c r="A42" s="207"/>
      <c r="B42" s="213" t="s">
        <v>89</v>
      </c>
      <c r="C42" s="4" t="s">
        <v>24</v>
      </c>
      <c r="D42" s="46" t="s">
        <v>129</v>
      </c>
      <c r="E42" s="6">
        <v>4</v>
      </c>
      <c r="F42" s="19">
        <v>4</v>
      </c>
      <c r="G42" s="103"/>
      <c r="H42" s="104"/>
      <c r="I42" s="87"/>
      <c r="J42" s="261"/>
      <c r="K42" s="103"/>
      <c r="L42" s="104"/>
      <c r="M42" s="256"/>
      <c r="N42" s="284"/>
    </row>
    <row r="43" spans="1:14" x14ac:dyDescent="0.3">
      <c r="A43" s="207"/>
      <c r="B43" s="214"/>
      <c r="C43" s="4" t="s">
        <v>58</v>
      </c>
      <c r="D43" s="46" t="s">
        <v>120</v>
      </c>
      <c r="E43" s="6">
        <v>4</v>
      </c>
      <c r="F43" s="19">
        <v>4</v>
      </c>
      <c r="G43" s="103"/>
      <c r="H43" s="104"/>
      <c r="I43" s="87"/>
      <c r="J43" s="261"/>
      <c r="K43" s="103"/>
      <c r="L43" s="104"/>
      <c r="M43" s="256"/>
      <c r="N43" s="284"/>
    </row>
    <row r="44" spans="1:14" x14ac:dyDescent="0.3">
      <c r="A44" s="207"/>
      <c r="B44" s="213" t="s">
        <v>90</v>
      </c>
      <c r="C44" s="4" t="s">
        <v>24</v>
      </c>
      <c r="D44" s="46" t="s">
        <v>155</v>
      </c>
      <c r="E44" s="6">
        <v>4</v>
      </c>
      <c r="F44" s="19">
        <v>4</v>
      </c>
      <c r="G44" s="103"/>
      <c r="H44" s="104"/>
      <c r="I44" s="87"/>
      <c r="J44" s="261"/>
      <c r="K44" s="103"/>
      <c r="L44" s="104"/>
      <c r="M44" s="256"/>
      <c r="N44" s="284"/>
    </row>
    <row r="45" spans="1:14" x14ac:dyDescent="0.3">
      <c r="A45" s="207"/>
      <c r="B45" s="214"/>
      <c r="C45" s="4" t="s">
        <v>22</v>
      </c>
      <c r="D45" s="46" t="s">
        <v>205</v>
      </c>
      <c r="E45" s="6">
        <v>4</v>
      </c>
      <c r="F45" s="72">
        <v>4</v>
      </c>
      <c r="G45" s="103"/>
      <c r="H45" s="104"/>
      <c r="I45" s="87"/>
      <c r="J45" s="261"/>
      <c r="K45" s="103"/>
      <c r="L45" s="104"/>
      <c r="M45" s="256"/>
      <c r="N45" s="284"/>
    </row>
    <row r="46" spans="1:14" ht="26.25" thickBot="1" x14ac:dyDescent="0.35">
      <c r="A46" s="207"/>
      <c r="B46" s="73" t="s">
        <v>95</v>
      </c>
      <c r="C46" s="74" t="s">
        <v>13</v>
      </c>
      <c r="D46" s="75" t="s">
        <v>142</v>
      </c>
      <c r="E46" s="76">
        <v>4</v>
      </c>
      <c r="F46" s="77">
        <v>4</v>
      </c>
      <c r="G46" s="109"/>
      <c r="H46" s="110"/>
      <c r="I46" s="90"/>
      <c r="J46" s="262"/>
      <c r="K46" s="109"/>
      <c r="L46" s="110"/>
      <c r="M46" s="257"/>
      <c r="N46" s="285"/>
    </row>
    <row r="47" spans="1:14" x14ac:dyDescent="0.3">
      <c r="A47" s="207"/>
      <c r="B47" s="305" t="s">
        <v>32</v>
      </c>
      <c r="C47" s="153" t="s">
        <v>13</v>
      </c>
      <c r="D47" s="154" t="s">
        <v>185</v>
      </c>
      <c r="E47" s="155">
        <v>4</v>
      </c>
      <c r="F47" s="156">
        <v>3</v>
      </c>
      <c r="G47" s="112"/>
      <c r="H47" s="113"/>
      <c r="I47" s="89" t="s">
        <v>34</v>
      </c>
      <c r="J47" s="329"/>
      <c r="K47" s="107"/>
      <c r="L47" s="108"/>
      <c r="M47" s="256">
        <v>6</v>
      </c>
      <c r="N47" s="95"/>
    </row>
    <row r="48" spans="1:14" ht="18" customHeight="1" thickBot="1" x14ac:dyDescent="0.35">
      <c r="A48" s="207"/>
      <c r="B48" s="238"/>
      <c r="C48" s="131" t="s">
        <v>13</v>
      </c>
      <c r="D48" s="160" t="s">
        <v>184</v>
      </c>
      <c r="E48" s="132">
        <v>4</v>
      </c>
      <c r="F48" s="161">
        <v>3</v>
      </c>
      <c r="G48" s="162"/>
      <c r="H48" s="163"/>
      <c r="I48" s="157">
        <v>3</v>
      </c>
      <c r="J48" s="330"/>
      <c r="K48" s="103"/>
      <c r="L48" s="104"/>
      <c r="M48" s="256"/>
      <c r="N48" s="95"/>
    </row>
    <row r="49" spans="1:14" x14ac:dyDescent="0.3">
      <c r="A49" s="207"/>
      <c r="B49" s="238"/>
      <c r="C49" s="131" t="s">
        <v>42</v>
      </c>
      <c r="D49" s="160" t="s">
        <v>186</v>
      </c>
      <c r="E49" s="132">
        <v>4</v>
      </c>
      <c r="F49" s="133">
        <v>3</v>
      </c>
      <c r="G49" s="107"/>
      <c r="H49" s="108"/>
      <c r="I49" s="326"/>
      <c r="J49" s="89" t="s">
        <v>34</v>
      </c>
      <c r="K49" s="103"/>
      <c r="L49" s="104"/>
      <c r="M49" s="256"/>
      <c r="N49" s="95"/>
    </row>
    <row r="50" spans="1:14" ht="17.45" customHeight="1" x14ac:dyDescent="0.3">
      <c r="A50" s="207"/>
      <c r="B50" s="306"/>
      <c r="C50" s="131" t="s">
        <v>22</v>
      </c>
      <c r="D50" s="160" t="s">
        <v>188</v>
      </c>
      <c r="E50" s="132">
        <v>4</v>
      </c>
      <c r="F50" s="161">
        <v>3</v>
      </c>
      <c r="G50" s="162"/>
      <c r="H50" s="163"/>
      <c r="I50" s="327"/>
      <c r="J50" s="323">
        <v>3</v>
      </c>
      <c r="K50" s="103"/>
      <c r="L50" s="104"/>
      <c r="M50" s="256"/>
      <c r="N50" s="95"/>
    </row>
    <row r="51" spans="1:14" ht="17.45" customHeight="1" x14ac:dyDescent="0.3">
      <c r="A51" s="207"/>
      <c r="B51" s="344" t="s">
        <v>138</v>
      </c>
      <c r="C51" s="167" t="s">
        <v>24</v>
      </c>
      <c r="D51" s="168" t="s">
        <v>189</v>
      </c>
      <c r="E51" s="169">
        <v>3</v>
      </c>
      <c r="F51" s="170">
        <v>3</v>
      </c>
      <c r="G51" s="171"/>
      <c r="H51" s="172"/>
      <c r="I51" s="327"/>
      <c r="J51" s="324"/>
      <c r="K51" s="103"/>
      <c r="L51" s="104"/>
      <c r="M51" s="256"/>
      <c r="N51" s="95"/>
    </row>
    <row r="52" spans="1:14" ht="17.45" customHeight="1" x14ac:dyDescent="0.3">
      <c r="A52" s="207"/>
      <c r="B52" s="331"/>
      <c r="C52" s="167" t="s">
        <v>22</v>
      </c>
      <c r="D52" s="168" t="s">
        <v>197</v>
      </c>
      <c r="E52" s="169">
        <v>3</v>
      </c>
      <c r="F52" s="174">
        <v>3</v>
      </c>
      <c r="G52" s="151"/>
      <c r="H52" s="152"/>
      <c r="I52" s="327"/>
      <c r="J52" s="324"/>
      <c r="K52" s="111"/>
      <c r="L52" s="173"/>
      <c r="M52" s="256"/>
      <c r="N52" s="95"/>
    </row>
    <row r="53" spans="1:14" ht="18" customHeight="1" thickBot="1" x14ac:dyDescent="0.35">
      <c r="A53" s="207"/>
      <c r="B53" s="332"/>
      <c r="C53" s="61" t="s">
        <v>58</v>
      </c>
      <c r="D53" s="69" t="s">
        <v>194</v>
      </c>
      <c r="E53" s="70">
        <v>3</v>
      </c>
      <c r="F53" s="71">
        <v>3</v>
      </c>
      <c r="G53" s="151"/>
      <c r="H53" s="152"/>
      <c r="I53" s="328"/>
      <c r="J53" s="325"/>
      <c r="K53" s="111"/>
      <c r="L53" s="110"/>
      <c r="M53" s="256"/>
      <c r="N53" s="95"/>
    </row>
    <row r="54" spans="1:14" x14ac:dyDescent="0.3">
      <c r="A54" s="207"/>
      <c r="B54" s="276" t="s">
        <v>91</v>
      </c>
      <c r="C54" s="15" t="s">
        <v>24</v>
      </c>
      <c r="D54" s="47" t="s">
        <v>61</v>
      </c>
      <c r="E54" s="16">
        <v>4</v>
      </c>
      <c r="F54" s="21">
        <v>3</v>
      </c>
      <c r="G54" s="24"/>
      <c r="H54" s="25"/>
      <c r="I54" s="24"/>
      <c r="J54" s="25"/>
      <c r="K54" s="32" t="s">
        <v>103</v>
      </c>
      <c r="L54" s="292"/>
      <c r="M54" s="255">
        <v>21</v>
      </c>
      <c r="N54" s="114"/>
    </row>
    <row r="55" spans="1:14" x14ac:dyDescent="0.3">
      <c r="A55" s="207"/>
      <c r="B55" s="241"/>
      <c r="C55" s="4" t="s">
        <v>42</v>
      </c>
      <c r="D55" s="48" t="s">
        <v>74</v>
      </c>
      <c r="E55" s="6">
        <v>4</v>
      </c>
      <c r="F55" s="19">
        <v>3</v>
      </c>
      <c r="G55" s="22"/>
      <c r="H55" s="23"/>
      <c r="I55" s="22"/>
      <c r="J55" s="23"/>
      <c r="K55" s="294" t="s">
        <v>104</v>
      </c>
      <c r="L55" s="292"/>
      <c r="M55" s="256"/>
      <c r="N55" s="95"/>
    </row>
    <row r="56" spans="1:14" ht="16.5" x14ac:dyDescent="0.3">
      <c r="A56" s="207"/>
      <c r="B56" s="4" t="s">
        <v>92</v>
      </c>
      <c r="C56" s="4" t="s">
        <v>22</v>
      </c>
      <c r="D56" s="49" t="s">
        <v>201</v>
      </c>
      <c r="E56" s="6">
        <v>4</v>
      </c>
      <c r="F56" s="19">
        <v>3</v>
      </c>
      <c r="G56" s="22"/>
      <c r="H56" s="23"/>
      <c r="I56" s="22"/>
      <c r="J56" s="23"/>
      <c r="K56" s="303"/>
      <c r="L56" s="292"/>
      <c r="M56" s="256"/>
      <c r="N56" s="95"/>
    </row>
    <row r="57" spans="1:14" x14ac:dyDescent="0.3">
      <c r="A57" s="207"/>
      <c r="B57" s="241" t="s">
        <v>89</v>
      </c>
      <c r="C57" s="4" t="s">
        <v>24</v>
      </c>
      <c r="D57" s="50" t="s">
        <v>195</v>
      </c>
      <c r="E57" s="6">
        <v>4</v>
      </c>
      <c r="F57" s="19">
        <v>3</v>
      </c>
      <c r="G57" s="22"/>
      <c r="H57" s="23"/>
      <c r="I57" s="22"/>
      <c r="J57" s="23"/>
      <c r="K57" s="303"/>
      <c r="L57" s="292"/>
      <c r="M57" s="256"/>
      <c r="N57" s="95"/>
    </row>
    <row r="58" spans="1:14" x14ac:dyDescent="0.3">
      <c r="A58" s="207"/>
      <c r="B58" s="241"/>
      <c r="C58" s="4" t="s">
        <v>22</v>
      </c>
      <c r="D58" s="50" t="s">
        <v>80</v>
      </c>
      <c r="E58" s="6">
        <v>4</v>
      </c>
      <c r="F58" s="19">
        <v>3</v>
      </c>
      <c r="G58" s="22"/>
      <c r="H58" s="23"/>
      <c r="I58" s="22"/>
      <c r="J58" s="23"/>
      <c r="K58" s="303"/>
      <c r="L58" s="292"/>
      <c r="M58" s="256"/>
      <c r="N58" s="95"/>
    </row>
    <row r="59" spans="1:14" x14ac:dyDescent="0.3">
      <c r="A59" s="207"/>
      <c r="B59" s="201" t="s">
        <v>90</v>
      </c>
      <c r="C59" s="4" t="s">
        <v>24</v>
      </c>
      <c r="D59" s="51" t="s">
        <v>166</v>
      </c>
      <c r="E59" s="6">
        <v>4</v>
      </c>
      <c r="F59" s="19">
        <v>3</v>
      </c>
      <c r="G59" s="22"/>
      <c r="H59" s="23"/>
      <c r="I59" s="22"/>
      <c r="J59" s="23"/>
      <c r="K59" s="303"/>
      <c r="L59" s="292"/>
      <c r="M59" s="256"/>
      <c r="N59" s="95"/>
    </row>
    <row r="60" spans="1:14" x14ac:dyDescent="0.3">
      <c r="A60" s="207"/>
      <c r="B60" s="230"/>
      <c r="C60" s="4" t="s">
        <v>22</v>
      </c>
      <c r="D60" s="51" t="s">
        <v>157</v>
      </c>
      <c r="E60" s="6">
        <v>4</v>
      </c>
      <c r="F60" s="19">
        <v>3</v>
      </c>
      <c r="G60" s="22"/>
      <c r="H60" s="23"/>
      <c r="I60" s="22"/>
      <c r="J60" s="23"/>
      <c r="K60" s="303"/>
      <c r="L60" s="292"/>
      <c r="M60" s="256"/>
      <c r="N60" s="95"/>
    </row>
    <row r="61" spans="1:14" ht="17.45" customHeight="1" x14ac:dyDescent="0.3">
      <c r="A61" s="207"/>
      <c r="B61" s="230"/>
      <c r="C61" s="4" t="s">
        <v>72</v>
      </c>
      <c r="D61" s="51" t="s">
        <v>196</v>
      </c>
      <c r="E61" s="6">
        <v>4</v>
      </c>
      <c r="F61" s="19">
        <v>3</v>
      </c>
      <c r="G61" s="22"/>
      <c r="H61" s="23"/>
      <c r="I61" s="22"/>
      <c r="J61" s="23"/>
      <c r="K61" s="303"/>
      <c r="L61" s="292"/>
      <c r="M61" s="256"/>
      <c r="N61" s="95"/>
    </row>
    <row r="62" spans="1:14" ht="25.5" x14ac:dyDescent="0.3">
      <c r="A62" s="207"/>
      <c r="B62" s="201" t="s">
        <v>31</v>
      </c>
      <c r="C62" s="10" t="s">
        <v>22</v>
      </c>
      <c r="D62" s="83" t="s">
        <v>144</v>
      </c>
      <c r="E62" s="13">
        <v>4</v>
      </c>
      <c r="F62" s="28">
        <v>3</v>
      </c>
      <c r="G62" s="79"/>
      <c r="H62" s="80"/>
      <c r="I62" s="79"/>
      <c r="J62" s="80"/>
      <c r="K62" s="303"/>
      <c r="L62" s="292"/>
      <c r="M62" s="256"/>
      <c r="N62" s="95"/>
    </row>
    <row r="63" spans="1:14" x14ac:dyDescent="0.3">
      <c r="A63" s="207"/>
      <c r="B63" s="202"/>
      <c r="C63" s="10" t="s">
        <v>58</v>
      </c>
      <c r="D63" s="83" t="s">
        <v>190</v>
      </c>
      <c r="E63" s="13">
        <v>4</v>
      </c>
      <c r="F63" s="28">
        <v>3</v>
      </c>
      <c r="G63" s="79"/>
      <c r="H63" s="80"/>
      <c r="I63" s="79"/>
      <c r="J63" s="80"/>
      <c r="K63" s="303"/>
      <c r="L63" s="292"/>
      <c r="M63" s="256"/>
      <c r="N63" s="95"/>
    </row>
    <row r="64" spans="1:14" ht="18" customHeight="1" thickBot="1" x14ac:dyDescent="0.35">
      <c r="A64" s="207"/>
      <c r="B64" s="17" t="s">
        <v>93</v>
      </c>
      <c r="C64" s="17" t="s">
        <v>22</v>
      </c>
      <c r="D64" s="52" t="s">
        <v>108</v>
      </c>
      <c r="E64" s="18">
        <v>4</v>
      </c>
      <c r="F64" s="20">
        <v>3</v>
      </c>
      <c r="G64" s="26"/>
      <c r="H64" s="27"/>
      <c r="I64" s="26"/>
      <c r="J64" s="27"/>
      <c r="K64" s="304"/>
      <c r="L64" s="293"/>
      <c r="M64" s="257"/>
      <c r="N64" s="96"/>
    </row>
    <row r="65" spans="1:14" x14ac:dyDescent="0.3">
      <c r="A65" s="207"/>
      <c r="B65" s="15" t="s">
        <v>91</v>
      </c>
      <c r="C65" s="15" t="s">
        <v>72</v>
      </c>
      <c r="D65" s="53" t="s">
        <v>79</v>
      </c>
      <c r="E65" s="16">
        <v>4</v>
      </c>
      <c r="F65" s="21">
        <v>3</v>
      </c>
      <c r="G65" s="24"/>
      <c r="H65" s="25"/>
      <c r="I65" s="24"/>
      <c r="J65" s="25"/>
      <c r="K65" s="286"/>
      <c r="L65" s="33" t="s">
        <v>103</v>
      </c>
      <c r="M65" s="255">
        <v>21</v>
      </c>
      <c r="N65" s="283"/>
    </row>
    <row r="66" spans="1:14" x14ac:dyDescent="0.3">
      <c r="A66" s="207"/>
      <c r="B66" s="201" t="s">
        <v>92</v>
      </c>
      <c r="C66" s="12" t="s">
        <v>42</v>
      </c>
      <c r="D66" s="149" t="s">
        <v>150</v>
      </c>
      <c r="E66" s="14">
        <v>4</v>
      </c>
      <c r="F66" s="39">
        <v>3</v>
      </c>
      <c r="G66" s="126"/>
      <c r="H66" s="150"/>
      <c r="I66" s="126"/>
      <c r="J66" s="150"/>
      <c r="K66" s="287"/>
      <c r="L66" s="290" t="s">
        <v>104</v>
      </c>
      <c r="M66" s="256"/>
      <c r="N66" s="284"/>
    </row>
    <row r="67" spans="1:14" ht="13.9" customHeight="1" x14ac:dyDescent="0.3">
      <c r="A67" s="207"/>
      <c r="B67" s="202"/>
      <c r="C67" s="4" t="s">
        <v>58</v>
      </c>
      <c r="D67" s="54" t="s">
        <v>145</v>
      </c>
      <c r="E67" s="6">
        <v>4</v>
      </c>
      <c r="F67" s="19">
        <v>3</v>
      </c>
      <c r="G67" s="22"/>
      <c r="H67" s="23"/>
      <c r="I67" s="22"/>
      <c r="J67" s="23"/>
      <c r="K67" s="287"/>
      <c r="L67" s="301"/>
      <c r="M67" s="256"/>
      <c r="N67" s="284"/>
    </row>
    <row r="68" spans="1:14" ht="17.45" customHeight="1" x14ac:dyDescent="0.3">
      <c r="A68" s="207"/>
      <c r="B68" s="201" t="s">
        <v>29</v>
      </c>
      <c r="C68" s="4" t="s">
        <v>22</v>
      </c>
      <c r="D68" s="54" t="s">
        <v>119</v>
      </c>
      <c r="E68" s="6">
        <v>4</v>
      </c>
      <c r="F68" s="19">
        <v>3</v>
      </c>
      <c r="G68" s="22"/>
      <c r="H68" s="23"/>
      <c r="I68" s="22"/>
      <c r="J68" s="23"/>
      <c r="K68" s="287"/>
      <c r="L68" s="301"/>
      <c r="M68" s="256"/>
      <c r="N68" s="284"/>
    </row>
    <row r="69" spans="1:14" ht="17.45" customHeight="1" x14ac:dyDescent="0.3">
      <c r="A69" s="207"/>
      <c r="B69" s="202"/>
      <c r="C69" s="4" t="s">
        <v>42</v>
      </c>
      <c r="D69" s="55" t="s">
        <v>130</v>
      </c>
      <c r="E69" s="6">
        <v>4</v>
      </c>
      <c r="F69" s="19">
        <v>3</v>
      </c>
      <c r="G69" s="22"/>
      <c r="H69" s="23"/>
      <c r="I69" s="22"/>
      <c r="J69" s="23"/>
      <c r="K69" s="287"/>
      <c r="L69" s="301"/>
      <c r="M69" s="256"/>
      <c r="N69" s="284"/>
    </row>
    <row r="70" spans="1:14" ht="17.45" customHeight="1" x14ac:dyDescent="0.3">
      <c r="A70" s="207"/>
      <c r="B70" s="201" t="s">
        <v>90</v>
      </c>
      <c r="C70" s="4" t="s">
        <v>22</v>
      </c>
      <c r="D70" s="55" t="s">
        <v>162</v>
      </c>
      <c r="E70" s="6">
        <v>4</v>
      </c>
      <c r="F70" s="19">
        <v>3</v>
      </c>
      <c r="G70" s="22"/>
      <c r="H70" s="23"/>
      <c r="I70" s="22"/>
      <c r="J70" s="23"/>
      <c r="K70" s="287"/>
      <c r="L70" s="301"/>
      <c r="M70" s="256"/>
      <c r="N70" s="284"/>
    </row>
    <row r="71" spans="1:14" x14ac:dyDescent="0.3">
      <c r="A71" s="207"/>
      <c r="B71" s="202"/>
      <c r="C71" s="4" t="s">
        <v>72</v>
      </c>
      <c r="D71" s="56" t="s">
        <v>164</v>
      </c>
      <c r="E71" s="6">
        <v>4</v>
      </c>
      <c r="F71" s="19">
        <v>3</v>
      </c>
      <c r="G71" s="22"/>
      <c r="H71" s="23"/>
      <c r="I71" s="22"/>
      <c r="J71" s="23"/>
      <c r="K71" s="287"/>
      <c r="L71" s="301"/>
      <c r="M71" s="256"/>
      <c r="N71" s="284"/>
    </row>
    <row r="72" spans="1:14" x14ac:dyDescent="0.3">
      <c r="A72" s="207"/>
      <c r="B72" s="10" t="s">
        <v>31</v>
      </c>
      <c r="C72" s="10" t="s">
        <v>72</v>
      </c>
      <c r="D72" s="85" t="s">
        <v>191</v>
      </c>
      <c r="E72" s="13">
        <v>4</v>
      </c>
      <c r="F72" s="28">
        <v>3</v>
      </c>
      <c r="G72" s="79"/>
      <c r="H72" s="80"/>
      <c r="I72" s="79"/>
      <c r="J72" s="80"/>
      <c r="K72" s="287"/>
      <c r="L72" s="301"/>
      <c r="M72" s="256"/>
      <c r="N72" s="284"/>
    </row>
    <row r="73" spans="1:14" ht="18" customHeight="1" thickBot="1" x14ac:dyDescent="0.35">
      <c r="A73" s="207"/>
      <c r="B73" s="17" t="s">
        <v>100</v>
      </c>
      <c r="C73" s="17" t="s">
        <v>58</v>
      </c>
      <c r="D73" s="57" t="s">
        <v>114</v>
      </c>
      <c r="E73" s="18">
        <v>4</v>
      </c>
      <c r="F73" s="20">
        <v>3</v>
      </c>
      <c r="G73" s="26"/>
      <c r="H73" s="27"/>
      <c r="I73" s="26"/>
      <c r="J73" s="27"/>
      <c r="K73" s="288"/>
      <c r="L73" s="302"/>
      <c r="M73" s="257"/>
      <c r="N73" s="285"/>
    </row>
    <row r="74" spans="1:14" x14ac:dyDescent="0.3">
      <c r="A74" s="207"/>
      <c r="B74" s="202" t="s">
        <v>96</v>
      </c>
      <c r="C74" s="15" t="s">
        <v>22</v>
      </c>
      <c r="D74" s="58" t="s">
        <v>65</v>
      </c>
      <c r="E74" s="16">
        <v>3</v>
      </c>
      <c r="F74" s="21">
        <v>3</v>
      </c>
      <c r="G74" s="24"/>
      <c r="H74" s="25"/>
      <c r="I74" s="24"/>
      <c r="J74" s="25"/>
      <c r="K74" s="34" t="s">
        <v>34</v>
      </c>
      <c r="L74" s="277"/>
      <c r="M74" s="278">
        <v>3</v>
      </c>
      <c r="N74" s="283"/>
    </row>
    <row r="75" spans="1:14" ht="15" thickBot="1" x14ac:dyDescent="0.35">
      <c r="A75" s="207"/>
      <c r="B75" s="241"/>
      <c r="C75" s="17" t="s">
        <v>22</v>
      </c>
      <c r="D75" s="59" t="s">
        <v>36</v>
      </c>
      <c r="E75" s="18">
        <v>3</v>
      </c>
      <c r="F75" s="20">
        <v>3</v>
      </c>
      <c r="G75" s="26"/>
      <c r="H75" s="27"/>
      <c r="I75" s="26"/>
      <c r="J75" s="27"/>
      <c r="K75" s="35">
        <v>3</v>
      </c>
      <c r="L75" s="277"/>
      <c r="M75" s="279"/>
      <c r="N75" s="285"/>
    </row>
    <row r="76" spans="1:14" x14ac:dyDescent="0.3">
      <c r="A76" s="207"/>
      <c r="B76" s="241"/>
      <c r="C76" s="15" t="s">
        <v>22</v>
      </c>
      <c r="D76" s="60" t="s">
        <v>73</v>
      </c>
      <c r="E76" s="16">
        <v>3</v>
      </c>
      <c r="F76" s="21">
        <v>3</v>
      </c>
      <c r="G76" s="24"/>
      <c r="H76" s="25"/>
      <c r="I76" s="24"/>
      <c r="J76" s="25"/>
      <c r="K76" s="280"/>
      <c r="L76" s="36" t="s">
        <v>34</v>
      </c>
      <c r="M76" s="282">
        <v>3</v>
      </c>
      <c r="N76" s="284"/>
    </row>
    <row r="77" spans="1:14" ht="15" thickBot="1" x14ac:dyDescent="0.35">
      <c r="A77" s="275"/>
      <c r="B77" s="274"/>
      <c r="C77" s="74" t="s">
        <v>22</v>
      </c>
      <c r="D77" s="119" t="s">
        <v>75</v>
      </c>
      <c r="E77" s="76">
        <v>3</v>
      </c>
      <c r="F77" s="100">
        <v>3</v>
      </c>
      <c r="G77" s="115"/>
      <c r="H77" s="120"/>
      <c r="I77" s="115"/>
      <c r="J77" s="120"/>
      <c r="K77" s="281"/>
      <c r="L77" s="121">
        <v>3</v>
      </c>
      <c r="M77" s="254"/>
      <c r="N77" s="285"/>
    </row>
    <row r="78" spans="1:14" x14ac:dyDescent="0.3">
      <c r="A78" s="263" t="s">
        <v>39</v>
      </c>
      <c r="B78" s="264"/>
      <c r="C78" s="264"/>
      <c r="D78" s="264"/>
      <c r="E78" s="264"/>
      <c r="F78" s="265"/>
      <c r="G78" s="122">
        <v>30</v>
      </c>
      <c r="H78" s="8">
        <v>30</v>
      </c>
      <c r="I78" s="8">
        <v>31</v>
      </c>
      <c r="J78" s="8">
        <v>31</v>
      </c>
      <c r="K78" s="8">
        <v>26</v>
      </c>
      <c r="L78" s="8">
        <v>26</v>
      </c>
      <c r="M78" s="116">
        <f>SUM(G78:L78)</f>
        <v>174</v>
      </c>
      <c r="N78" s="117">
        <f>SUM(N5:N30)</f>
        <v>84</v>
      </c>
    </row>
    <row r="79" spans="1:14" x14ac:dyDescent="0.3">
      <c r="A79" s="266" t="s">
        <v>23</v>
      </c>
      <c r="B79" s="210"/>
      <c r="C79" s="210"/>
      <c r="D79" s="210"/>
      <c r="E79" s="210"/>
      <c r="F79" s="267"/>
      <c r="G79" s="123">
        <v>3</v>
      </c>
      <c r="H79" s="7">
        <v>3</v>
      </c>
      <c r="I79" s="7">
        <v>3</v>
      </c>
      <c r="J79" s="7">
        <v>3</v>
      </c>
      <c r="K79" s="7">
        <v>3</v>
      </c>
      <c r="L79" s="7">
        <v>3</v>
      </c>
      <c r="M79" s="9">
        <f>SUM(G79:L79)</f>
        <v>18</v>
      </c>
      <c r="N79" s="97">
        <v>18</v>
      </c>
    </row>
    <row r="80" spans="1:14" ht="15" thickBot="1" x14ac:dyDescent="0.35">
      <c r="A80" s="268" t="s">
        <v>40</v>
      </c>
      <c r="B80" s="269"/>
      <c r="C80" s="269"/>
      <c r="D80" s="269"/>
      <c r="E80" s="269"/>
      <c r="F80" s="270"/>
      <c r="G80" s="124">
        <f t="shared" ref="G80:L80" si="0">G78+G79</f>
        <v>33</v>
      </c>
      <c r="H80" s="82">
        <f t="shared" si="0"/>
        <v>33</v>
      </c>
      <c r="I80" s="82">
        <f t="shared" si="0"/>
        <v>34</v>
      </c>
      <c r="J80" s="82">
        <f t="shared" si="0"/>
        <v>34</v>
      </c>
      <c r="K80" s="82">
        <f t="shared" si="0"/>
        <v>29</v>
      </c>
      <c r="L80" s="82">
        <f t="shared" si="0"/>
        <v>29</v>
      </c>
      <c r="M80" s="98">
        <f>SUM(G80:L80)</f>
        <v>192</v>
      </c>
      <c r="N80" s="99"/>
    </row>
    <row r="81" spans="1:1" x14ac:dyDescent="0.3">
      <c r="A81" s="3" t="s">
        <v>207</v>
      </c>
    </row>
  </sheetData>
  <mergeCells count="86">
    <mergeCell ref="A78:F78"/>
    <mergeCell ref="A79:F79"/>
    <mergeCell ref="A80:F80"/>
    <mergeCell ref="B40:B41"/>
    <mergeCell ref="B74:B77"/>
    <mergeCell ref="B54:B55"/>
    <mergeCell ref="B59:B61"/>
    <mergeCell ref="B62:B63"/>
    <mergeCell ref="L74:L75"/>
    <mergeCell ref="M74:M75"/>
    <mergeCell ref="N74:N75"/>
    <mergeCell ref="K76:K77"/>
    <mergeCell ref="M76:M77"/>
    <mergeCell ref="N76:N77"/>
    <mergeCell ref="K65:K73"/>
    <mergeCell ref="M65:M73"/>
    <mergeCell ref="N65:N73"/>
    <mergeCell ref="B66:B67"/>
    <mergeCell ref="L66:L73"/>
    <mergeCell ref="B68:B69"/>
    <mergeCell ref="B70:B71"/>
    <mergeCell ref="M47:M53"/>
    <mergeCell ref="I49:I53"/>
    <mergeCell ref="J50:J53"/>
    <mergeCell ref="B51:B53"/>
    <mergeCell ref="A31:A77"/>
    <mergeCell ref="J31:J37"/>
    <mergeCell ref="M31:M37"/>
    <mergeCell ref="J39:J46"/>
    <mergeCell ref="B42:B43"/>
    <mergeCell ref="B44:B45"/>
    <mergeCell ref="B47:B50"/>
    <mergeCell ref="J47:J48"/>
    <mergeCell ref="L54:L64"/>
    <mergeCell ref="M54:M64"/>
    <mergeCell ref="K55:K64"/>
    <mergeCell ref="B57:B58"/>
    <mergeCell ref="N31:N37"/>
    <mergeCell ref="I32:I37"/>
    <mergeCell ref="B33:B34"/>
    <mergeCell ref="B35:B36"/>
    <mergeCell ref="B38:B39"/>
    <mergeCell ref="M38:M46"/>
    <mergeCell ref="N38:N46"/>
    <mergeCell ref="B27:B29"/>
    <mergeCell ref="M27:M29"/>
    <mergeCell ref="N27:N30"/>
    <mergeCell ref="B15:B18"/>
    <mergeCell ref="M15:M18"/>
    <mergeCell ref="N15:N18"/>
    <mergeCell ref="B19:B24"/>
    <mergeCell ref="M19:M24"/>
    <mergeCell ref="N19:N24"/>
    <mergeCell ref="B25:B26"/>
    <mergeCell ref="G25:G26"/>
    <mergeCell ref="H25:H26"/>
    <mergeCell ref="M25:M26"/>
    <mergeCell ref="N25:N26"/>
    <mergeCell ref="A5:A30"/>
    <mergeCell ref="B5:B6"/>
    <mergeCell ref="M5:M6"/>
    <mergeCell ref="N5:N6"/>
    <mergeCell ref="B7:B8"/>
    <mergeCell ref="M7:M8"/>
    <mergeCell ref="N7:N8"/>
    <mergeCell ref="B9:B10"/>
    <mergeCell ref="B13:B14"/>
    <mergeCell ref="M13:M14"/>
    <mergeCell ref="N13:N14"/>
    <mergeCell ref="M9:M10"/>
    <mergeCell ref="N9:N10"/>
    <mergeCell ref="B11:B12"/>
    <mergeCell ref="M11:M12"/>
    <mergeCell ref="N11:N12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rintOptions horizontalCentered="1"/>
  <pageMargins left="0.25" right="0.25" top="0.75" bottom="0.75" header="0.3" footer="0.3"/>
  <pageSetup paperSize="12" scale="7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2025학년도 신입생 3개년 편제표(안)</vt:lpstr>
      <vt:lpstr>2025학년도 신입생 3개년 편제표(_1안)</vt:lpstr>
      <vt:lpstr>2025학년도 신입생 3개년 편제표(3안)</vt:lpstr>
      <vt:lpstr>2025학년도 신입생 3개년 편제표(5안)</vt:lpstr>
      <vt:lpstr>2025학년도 신입생 3개년 편제표(4안)</vt:lpstr>
      <vt:lpstr>2026학년도 신입생 3개년 편제표</vt:lpstr>
      <vt:lpstr>2025학년도 신입생 3개년 편제표(2안)</vt:lpstr>
      <vt:lpstr>'2025학년도 신입생 3개년 편제표(_1안)'!Print_Area</vt:lpstr>
      <vt:lpstr>'2025학년도 신입생 3개년 편제표(2안)'!Print_Area</vt:lpstr>
      <vt:lpstr>'2025학년도 신입생 3개년 편제표(3안)'!Print_Area</vt:lpstr>
      <vt:lpstr>'2025학년도 신입생 3개년 편제표(4안)'!Print_Area</vt:lpstr>
      <vt:lpstr>'2025학년도 신입생 3개년 편제표(5안)'!Print_Area</vt:lpstr>
      <vt:lpstr>'2025학년도 신입생 3개년 편제표(안)'!Print_Area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병기 김</cp:lastModifiedBy>
  <cp:lastPrinted>2025-12-24T02:04:02Z</cp:lastPrinted>
  <dcterms:created xsi:type="dcterms:W3CDTF">2022-04-18T03:36:49Z</dcterms:created>
  <dcterms:modified xsi:type="dcterms:W3CDTF">2025-12-29T02:13:27Z</dcterms:modified>
</cp:coreProperties>
</file>