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\Desktop\"/>
    </mc:Choice>
  </mc:AlternateContent>
  <xr:revisionPtr revIDLastSave="0" documentId="13_ncr:1_{0DC90318-E175-413E-B6F2-0E3EF50772D5}" xr6:coauthVersionLast="47" xr6:coauthVersionMax="47" xr10:uidLastSave="{00000000-0000-0000-0000-000000000000}"/>
  <bookViews>
    <workbookView xWindow="-108" yWindow="-108" windowWidth="23256" windowHeight="12456" firstSheet="1" activeTab="1" xr2:uid="{A88B8D5F-916D-4935-8699-6AF91FFB87F9}"/>
  </bookViews>
  <sheets>
    <sheet name="2025학년도 신입생 3개년 편제표(3.12안건용)" sheetId="7" state="hidden" r:id="rId1"/>
    <sheet name="2026학년도 신입생 3개년 편제표(안) 수정 후" sheetId="11" r:id="rId2"/>
  </sheets>
  <definedNames>
    <definedName name="_xlnm.Print_Area" localSheetId="0">'2025학년도 신입생 3개년 편제표(3.12안건용)'!$A$1:$N$98</definedName>
    <definedName name="_xlnm.Print_Area" localSheetId="1">'2026학년도 신입생 3개년 편제표(안) 수정 후'!$A$1:$N$95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7" i="11" l="1"/>
  <c r="K87" i="11"/>
  <c r="M87" i="11" s="1"/>
  <c r="J87" i="11"/>
  <c r="I87" i="11"/>
  <c r="H87" i="11"/>
  <c r="G87" i="11"/>
  <c r="M86" i="11"/>
  <c r="M85" i="11"/>
  <c r="L90" i="7" l="1"/>
  <c r="K90" i="7"/>
  <c r="J90" i="7"/>
  <c r="I90" i="7"/>
  <c r="H90" i="7"/>
  <c r="G90" i="7"/>
  <c r="M90" i="7" s="1"/>
  <c r="M89" i="7"/>
  <c r="M8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</author>
  </authors>
  <commentList>
    <comment ref="I35" authorId="0" shapeId="0" xr:uid="{90F00CDC-AA83-496F-BE4C-423416E0E2F3}">
      <text>
        <r>
          <rPr>
            <b/>
            <sz val="9"/>
            <color indexed="10"/>
            <rFont val="맑은 고딕"/>
            <family val="3"/>
            <charset val="129"/>
          </rPr>
          <t xml:space="preserve">학생선택과정 중 기초는 최대 14개를 넘길 수 없다.
(81학점 초과 불가)
1학년 24학점 선택과정 56학점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</author>
  </authors>
  <commentList>
    <comment ref="I34" authorId="0" shapeId="0" xr:uid="{F76DC076-7362-4F6B-B0FE-BFC6E007EACD}">
      <text>
        <r>
          <rPr>
            <b/>
            <sz val="9"/>
            <color indexed="10"/>
            <rFont val="맑은 고딕"/>
            <family val="3"/>
            <charset val="129"/>
          </rPr>
          <t xml:space="preserve">학생선택과정 중 기초는 최대 14개를 넘길 수 없다.
(81학점 초과 불가)
1학년 24학점 선택과정 56학점 </t>
        </r>
      </text>
    </comment>
  </commentList>
</comments>
</file>

<file path=xl/sharedStrings.xml><?xml version="1.0" encoding="utf-8"?>
<sst xmlns="http://schemas.openxmlformats.org/spreadsheetml/2006/main" count="509" uniqueCount="147">
  <si>
    <t>언양고등학교</t>
    <phoneticPr fontId="4" type="noConversion"/>
  </si>
  <si>
    <t>구분</t>
    <phoneticPr fontId="4" type="noConversion"/>
  </si>
  <si>
    <t>교과
(군)</t>
    <phoneticPr fontId="4" type="noConversion"/>
  </si>
  <si>
    <t>세부과목</t>
  </si>
  <si>
    <t>기본
학점</t>
    <phoneticPr fontId="4" type="noConversion"/>
  </si>
  <si>
    <t>운영학점</t>
    <phoneticPr fontId="4" type="noConversion"/>
  </si>
  <si>
    <t>1학년</t>
    <phoneticPr fontId="4" type="noConversion"/>
  </si>
  <si>
    <t>2학년</t>
  </si>
  <si>
    <t>3학년</t>
  </si>
  <si>
    <t>이수 
학점</t>
    <phoneticPr fontId="4" type="noConversion"/>
  </si>
  <si>
    <t>필수
이수
학점</t>
    <phoneticPr fontId="4" type="noConversion"/>
  </si>
  <si>
    <t>1학기</t>
  </si>
  <si>
    <t>2학기</t>
  </si>
  <si>
    <t>학
교
지
정
교
육
과
정</t>
    <phoneticPr fontId="4" type="noConversion"/>
  </si>
  <si>
    <t>국어</t>
  </si>
  <si>
    <t>공통</t>
    <phoneticPr fontId="4" type="noConversion"/>
  </si>
  <si>
    <t>공통국어1</t>
  </si>
  <si>
    <t>수학</t>
  </si>
  <si>
    <t>공통수학1</t>
  </si>
  <si>
    <t>영어</t>
  </si>
  <si>
    <t>공통영어1</t>
  </si>
  <si>
    <t>공통영어2</t>
  </si>
  <si>
    <t>사회</t>
  </si>
  <si>
    <t>통합사회1</t>
  </si>
  <si>
    <t>통합사회2</t>
  </si>
  <si>
    <t>한국사1</t>
  </si>
  <si>
    <t>한국사2</t>
  </si>
  <si>
    <t>과학</t>
    <phoneticPr fontId="4" type="noConversion"/>
  </si>
  <si>
    <t>통합과학1</t>
  </si>
  <si>
    <t>통합과학2</t>
  </si>
  <si>
    <t>과학탐구실험1</t>
  </si>
  <si>
    <t>과학탐구실험2</t>
  </si>
  <si>
    <t>체육</t>
  </si>
  <si>
    <t>일반</t>
  </si>
  <si>
    <t>체육1</t>
  </si>
  <si>
    <t>체육2</t>
  </si>
  <si>
    <t>진로</t>
  </si>
  <si>
    <t>스포츠 문화</t>
  </si>
  <si>
    <t>융합</t>
  </si>
  <si>
    <t>스포츠 생활1</t>
  </si>
  <si>
    <t>운동과 건강</t>
  </si>
  <si>
    <t>스포츠 과학</t>
  </si>
  <si>
    <t>예술</t>
    <phoneticPr fontId="4" type="noConversion"/>
  </si>
  <si>
    <t>일반</t>
    <phoneticPr fontId="4" type="noConversion"/>
  </si>
  <si>
    <t>음악</t>
  </si>
  <si>
    <t>2
교차집중(↔)</t>
    <phoneticPr fontId="4" type="noConversion"/>
  </si>
  <si>
    <t>미술</t>
  </si>
  <si>
    <t>진로</t>
    <phoneticPr fontId="4" type="noConversion"/>
  </si>
  <si>
    <t>음악 연주와 창작</t>
  </si>
  <si>
    <t>미술 창작</t>
  </si>
  <si>
    <t>교양</t>
    <phoneticPr fontId="4" type="noConversion"/>
  </si>
  <si>
    <t xml:space="preserve">진로와 직업  </t>
  </si>
  <si>
    <t>디지털과 직업생활 ★ ■</t>
  </si>
  <si>
    <t>생태와 환경</t>
  </si>
  <si>
    <t xml:space="preserve">성공적인 직업 생활★ </t>
    <phoneticPr fontId="4" type="noConversion"/>
  </si>
  <si>
    <t>학
생
선
택
교
육
과
정</t>
    <phoneticPr fontId="4" type="noConversion"/>
  </si>
  <si>
    <t>국어</t>
    <phoneticPr fontId="4" type="noConversion"/>
  </si>
  <si>
    <t>문학</t>
  </si>
  <si>
    <t>택6</t>
    <phoneticPr fontId="4" type="noConversion"/>
  </si>
  <si>
    <t>수학</t>
    <phoneticPr fontId="4" type="noConversion"/>
  </si>
  <si>
    <t>대수</t>
  </si>
  <si>
    <t>4
4
4
4
4
4</t>
    <phoneticPr fontId="4" type="noConversion"/>
  </si>
  <si>
    <t>영어</t>
    <phoneticPr fontId="4" type="noConversion"/>
  </si>
  <si>
    <t>영어Ⅰ</t>
  </si>
  <si>
    <t>사회</t>
    <phoneticPr fontId="4" type="noConversion"/>
  </si>
  <si>
    <t>세계사, 사회와 문화</t>
  </si>
  <si>
    <t>윤리와 사상, 정치</t>
  </si>
  <si>
    <t>물리학, 화학, 생명과학, 지구과학</t>
  </si>
  <si>
    <t>언어생활 탐구</t>
  </si>
  <si>
    <t>인공지능 수학 ■</t>
  </si>
  <si>
    <t>영어 발표와 토론</t>
  </si>
  <si>
    <t>제2외국어/한문</t>
  </si>
  <si>
    <t>일본어,  중국어</t>
  </si>
  <si>
    <t>택1</t>
    <phoneticPr fontId="4" type="noConversion"/>
  </si>
  <si>
    <t>기술·가정/정보</t>
    <phoneticPr fontId="4" type="noConversion"/>
  </si>
  <si>
    <t>독서와 작문</t>
  </si>
  <si>
    <t>택5</t>
    <phoneticPr fontId="4" type="noConversion"/>
  </si>
  <si>
    <t>미적분Ⅰ</t>
  </si>
  <si>
    <t>4
4
4
4
4</t>
    <phoneticPr fontId="4" type="noConversion"/>
  </si>
  <si>
    <t>영어Ⅱ</t>
  </si>
  <si>
    <t>세계시민과 지리, 현대사회와 윤리</t>
  </si>
  <si>
    <t>한국지리 탐구, 동아시아 역사 기행</t>
  </si>
  <si>
    <t>역학과 에너지, 물질과 에너지, 세포와 물질대사, 지구시스템과학</t>
  </si>
  <si>
    <t>융합</t>
    <phoneticPr fontId="4" type="noConversion"/>
  </si>
  <si>
    <t>독서 토론과 글쓰기</t>
  </si>
  <si>
    <t>기하, 경제 수학</t>
  </si>
  <si>
    <t xml:space="preserve">일본어 회화,  중국어 회화 </t>
  </si>
  <si>
    <t>화법과 언어</t>
  </si>
  <si>
    <t>문학과 영상</t>
  </si>
  <si>
    <t xml:space="preserve">확률과 통계                                                                                                                                                                                                                                         </t>
  </si>
  <si>
    <t>미적분Ⅱ</t>
  </si>
  <si>
    <t>심화 영어</t>
  </si>
  <si>
    <t>세계 문화와 영어</t>
  </si>
  <si>
    <t>법과 사회, 인문학과 윤리</t>
  </si>
  <si>
    <t>사회문제 탐구, 여행지리, 역사로 탐구하는 현대 세계</t>
  </si>
  <si>
    <t xml:space="preserve">전자기와 양자, 화학 반응의 세계, 생물의 유전, 행성우주과학  </t>
  </si>
  <si>
    <t>미술 감상과 비평</t>
  </si>
  <si>
    <t>제2외국어/한문</t>
    <phoneticPr fontId="4" type="noConversion"/>
  </si>
  <si>
    <t>주제 탐구 독서</t>
  </si>
  <si>
    <t>매체 의사소통</t>
  </si>
  <si>
    <t>수학과제 탐구, 실용 통계</t>
  </si>
  <si>
    <t>심화 영어 독해와 작문</t>
  </si>
  <si>
    <t>미디어 영어</t>
  </si>
  <si>
    <t>도시의 미래 탐구</t>
  </si>
  <si>
    <t>기후변화와 지속가능한 세계, 금융과 경제생활, 윤리문제 탐구</t>
  </si>
  <si>
    <t>과학의 역사와 문화 ■, 융합과학 탐구 ■, 기후변화와 환경생태 ■</t>
  </si>
  <si>
    <t>응용프로그래밍 개발★ ■</t>
  </si>
  <si>
    <t>심화 일본어,  심화 중국어</t>
  </si>
  <si>
    <t>소인수, 공동교육과정</t>
    <phoneticPr fontId="4" type="noConversion"/>
  </si>
  <si>
    <t>경제</t>
  </si>
  <si>
    <t>이수학점 소계</t>
  </si>
  <si>
    <t>창의적 체험활동</t>
  </si>
  <si>
    <t>학기별 총 이수 학점</t>
    <phoneticPr fontId="4" type="noConversion"/>
  </si>
  <si>
    <t>정보과학 *■, 프로그래밍 ★■</t>
    <phoneticPr fontId="4" type="noConversion"/>
  </si>
  <si>
    <t>정보과학 *■,  프로그래밍★ ■</t>
    <phoneticPr fontId="4" type="noConversion"/>
  </si>
  <si>
    <t>영어 독해와 작문</t>
    <phoneticPr fontId="4" type="noConversion"/>
  </si>
  <si>
    <t>3
3
3
3
3</t>
    <phoneticPr fontId="4" type="noConversion"/>
  </si>
  <si>
    <t>스포츠 과학</t>
    <phoneticPr fontId="4" type="noConversion"/>
  </si>
  <si>
    <t>화법과 언어</t>
    <phoneticPr fontId="4" type="noConversion"/>
  </si>
  <si>
    <t>인공지능 기초 ■</t>
    <phoneticPr fontId="4" type="noConversion"/>
  </si>
  <si>
    <t>소프트웨어와 생활■</t>
    <phoneticPr fontId="4" type="noConversion"/>
  </si>
  <si>
    <t xml:space="preserve">일본 문화, 중국 문화 </t>
    <phoneticPr fontId="4" type="noConversion"/>
  </si>
  <si>
    <t>융합과학 탐구 ■</t>
    <phoneticPr fontId="4" type="noConversion"/>
  </si>
  <si>
    <r>
      <t xml:space="preserve">2025학년도 신입생 3개년 교육과정 편제표(안) </t>
    </r>
    <r>
      <rPr>
        <b/>
        <sz val="12"/>
        <color rgb="FF0070C0"/>
        <rFont val="맑은 고딕"/>
        <family val="3"/>
        <charset val="129"/>
        <scheme val="major"/>
      </rPr>
      <t xml:space="preserve">             </t>
    </r>
    <phoneticPr fontId="4" type="noConversion"/>
  </si>
  <si>
    <t>교양필수이수학점</t>
    <phoneticPr fontId="4" type="noConversion"/>
  </si>
  <si>
    <t>2학년 선택</t>
  </si>
  <si>
    <t xml:space="preserve">학교지정 </t>
    <phoneticPr fontId="4" type="noConversion"/>
  </si>
  <si>
    <t xml:space="preserve">3학년 2학기 </t>
    <phoneticPr fontId="4" type="noConversion"/>
  </si>
  <si>
    <r>
      <t xml:space="preserve">인간과 철학, </t>
    </r>
    <r>
      <rPr>
        <b/>
        <sz val="10"/>
        <color rgb="FFFF0000"/>
        <rFont val="맑은 고딕"/>
        <family val="3"/>
        <charset val="129"/>
        <scheme val="minor"/>
      </rPr>
      <t>인간과 심리</t>
    </r>
    <r>
      <rPr>
        <b/>
        <sz val="10"/>
        <rFont val="맑은 고딕"/>
        <family val="3"/>
        <charset val="129"/>
        <scheme val="minor"/>
      </rPr>
      <t>, 사물 인터넷 서비스 기획★■</t>
    </r>
    <phoneticPr fontId="4" type="noConversion"/>
  </si>
  <si>
    <t>화법과 언어</t>
    <phoneticPr fontId="4" type="noConversion"/>
  </si>
  <si>
    <t>음악 감상과 비평</t>
    <phoneticPr fontId="4" type="noConversion"/>
  </si>
  <si>
    <t>교육의 이해, 논리와 사고</t>
    <phoneticPr fontId="4" type="noConversion"/>
  </si>
  <si>
    <t>논술, 인간과 경제활동</t>
    <phoneticPr fontId="4" type="noConversion"/>
  </si>
  <si>
    <t>고급 물리학*■</t>
    <phoneticPr fontId="4" type="noConversion"/>
  </si>
  <si>
    <t>물리학 실험*■, 생명과학 실험*■</t>
    <phoneticPr fontId="4" type="noConversion"/>
  </si>
  <si>
    <r>
      <rPr>
        <sz val="10"/>
        <color theme="1"/>
        <rFont val="Segoe UI Symbol"/>
        <family val="3"/>
      </rPr>
      <t>☞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표기방법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안내</t>
    </r>
    <r>
      <rPr>
        <sz val="10"/>
        <color theme="1"/>
        <rFont val="Calibri"/>
        <family val="3"/>
      </rPr>
      <t xml:space="preserve">
 </t>
    </r>
    <r>
      <rPr>
        <sz val="10"/>
        <color theme="1"/>
        <rFont val="Segoe UI Symbol"/>
        <family val="3"/>
      </rPr>
      <t>◦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특목고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과목</t>
    </r>
    <r>
      <rPr>
        <sz val="10"/>
        <color theme="1"/>
        <rFont val="Calibri"/>
        <family val="3"/>
      </rPr>
      <t>(</t>
    </r>
    <r>
      <rPr>
        <sz val="10"/>
        <color theme="1"/>
        <rFont val="맑은 고딕"/>
        <family val="3"/>
        <charset val="129"/>
      </rPr>
      <t>보통교과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표</t>
    </r>
    <r>
      <rPr>
        <sz val="10"/>
        <color theme="1"/>
        <rFont val="Calibri"/>
        <family val="3"/>
      </rPr>
      <t>6)</t>
    </r>
    <r>
      <rPr>
        <sz val="10"/>
        <color theme="1"/>
        <rFont val="맑은 고딕"/>
        <family val="3"/>
        <charset val="129"/>
      </rPr>
      <t>을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진로선택과목으로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가져올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때</t>
    </r>
    <r>
      <rPr>
        <sz val="10"/>
        <color theme="1"/>
        <rFont val="Calibri"/>
        <family val="3"/>
      </rPr>
      <t xml:space="preserve"> * </t>
    </r>
    <r>
      <rPr>
        <sz val="10"/>
        <color theme="1"/>
        <rFont val="맑은 고딕"/>
        <family val="3"/>
        <charset val="129"/>
      </rPr>
      <t>표기</t>
    </r>
    <r>
      <rPr>
        <sz val="10"/>
        <color theme="1"/>
        <rFont val="Calibri"/>
        <family val="3"/>
      </rPr>
      <t xml:space="preserve">
</t>
    </r>
    <r>
      <rPr>
        <sz val="10"/>
        <color theme="1"/>
        <rFont val="Segoe UI Symbol"/>
        <family val="3"/>
      </rPr>
      <t xml:space="preserve"> ◦</t>
    </r>
    <r>
      <rPr>
        <sz val="10"/>
        <color theme="1"/>
        <rFont val="맑은 고딕"/>
        <family val="3"/>
        <charset val="129"/>
      </rPr>
      <t>전문교과를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진로선택과목으로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가져올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때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Segoe UI Symbol"/>
        <family val="3"/>
      </rPr>
      <t>★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표기</t>
    </r>
    <r>
      <rPr>
        <sz val="10"/>
        <color theme="1"/>
        <rFont val="Calibri"/>
        <family val="3"/>
      </rPr>
      <t xml:space="preserve">
 </t>
    </r>
    <r>
      <rPr>
        <sz val="10"/>
        <color theme="1"/>
        <rFont val="Segoe UI Symbol"/>
        <family val="3"/>
      </rPr>
      <t>◦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고시외과목은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Segoe UI Symbol"/>
        <family val="3"/>
      </rPr>
      <t>☆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표기</t>
    </r>
    <r>
      <rPr>
        <sz val="10"/>
        <color theme="1"/>
        <rFont val="Calibri"/>
        <family val="3"/>
      </rPr>
      <t xml:space="preserve">
 </t>
    </r>
    <r>
      <rPr>
        <sz val="10"/>
        <color theme="1"/>
        <rFont val="Segoe UI Symbol"/>
        <family val="3"/>
      </rPr>
      <t>◦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교과특성화학교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관련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과목은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Segoe UI Symbol"/>
        <family val="3"/>
      </rPr>
      <t>■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표기</t>
    </r>
    <r>
      <rPr>
        <sz val="10"/>
        <color theme="1"/>
        <rFont val="Calibri"/>
        <family val="3"/>
      </rPr>
      <t xml:space="preserve">
</t>
    </r>
    <r>
      <rPr>
        <sz val="10"/>
        <color theme="1"/>
        <rFont val="Segoe UI Symbol"/>
        <family val="3"/>
      </rPr>
      <t>☞</t>
    </r>
    <r>
      <rPr>
        <sz val="10"/>
        <color theme="1"/>
        <rFont val="Calibri"/>
        <family val="3"/>
      </rPr>
      <t xml:space="preserve"> </t>
    </r>
    <r>
      <rPr>
        <sz val="10"/>
        <color theme="1"/>
        <rFont val="맑은 고딕"/>
        <family val="3"/>
        <charset val="129"/>
      </rPr>
      <t>교차집중표기법</t>
    </r>
    <r>
      <rPr>
        <sz val="10"/>
        <color theme="1"/>
        <rFont val="Calibri"/>
        <family val="3"/>
      </rPr>
      <t xml:space="preserve">: </t>
    </r>
    <r>
      <rPr>
        <sz val="10"/>
        <color theme="1"/>
        <rFont val="맑은 고딕"/>
        <family val="3"/>
        <charset val="129"/>
      </rPr>
      <t>교차집중</t>
    </r>
    <r>
      <rPr>
        <sz val="10"/>
        <color theme="1"/>
        <rFont val="Calibri"/>
        <family val="3"/>
      </rPr>
      <t>(</t>
    </r>
    <r>
      <rPr>
        <sz val="10"/>
        <color theme="1"/>
        <rFont val="나눔고딕"/>
        <family val="3"/>
        <charset val="129"/>
      </rPr>
      <t>↔</t>
    </r>
    <r>
      <rPr>
        <sz val="10"/>
        <color theme="1"/>
        <rFont val="Calibri"/>
        <family val="3"/>
      </rPr>
      <t>)</t>
    </r>
    <phoneticPr fontId="4" type="noConversion"/>
  </si>
  <si>
    <t xml:space="preserve">스포츠 생활1 </t>
    <phoneticPr fontId="4" type="noConversion"/>
  </si>
  <si>
    <t>공통국어2</t>
    <phoneticPr fontId="4" type="noConversion"/>
  </si>
  <si>
    <t>공통수학2</t>
    <phoneticPr fontId="4" type="noConversion"/>
  </si>
  <si>
    <t>논리와 사고</t>
    <phoneticPr fontId="4" type="noConversion"/>
  </si>
  <si>
    <t xml:space="preserve">고급 물리학*■, 고급 생명과학*■, </t>
    <phoneticPr fontId="4" type="noConversion"/>
  </si>
  <si>
    <t>공통국어2</t>
    <phoneticPr fontId="4" type="noConversion"/>
  </si>
  <si>
    <t>공통수학2</t>
    <phoneticPr fontId="4" type="noConversion"/>
  </si>
  <si>
    <t>융합</t>
    <phoneticPr fontId="4" type="noConversion"/>
  </si>
  <si>
    <t>비판적 질문과 창의적 해결☆</t>
    <phoneticPr fontId="4" type="noConversion"/>
  </si>
  <si>
    <t>인간과 철학, 인간과 심리, 보건, 사물 인터넷 서비스 기획★■</t>
    <phoneticPr fontId="4" type="noConversion"/>
  </si>
  <si>
    <r>
      <rPr>
        <b/>
        <sz val="16"/>
        <rFont val="맑은 고딕"/>
        <family val="3"/>
        <charset val="129"/>
        <scheme val="major"/>
      </rPr>
      <t>2026</t>
    </r>
    <r>
      <rPr>
        <b/>
        <sz val="16"/>
        <color rgb="FF000000"/>
        <rFont val="맑은 고딕"/>
        <family val="3"/>
        <charset val="129"/>
        <scheme val="major"/>
      </rPr>
      <t>학년도 신입생 3개년 교육과정 편제표</t>
    </r>
    <r>
      <rPr>
        <b/>
        <sz val="16"/>
        <color rgb="FFFF0000"/>
        <rFont val="맑은 고딕"/>
        <family val="3"/>
        <charset val="129"/>
        <scheme val="major"/>
      </rPr>
      <t xml:space="preserve"> </t>
    </r>
    <r>
      <rPr>
        <b/>
        <sz val="12"/>
        <color rgb="FF0070C0"/>
        <rFont val="맑은 고딕"/>
        <family val="3"/>
        <charset val="129"/>
        <scheme val="major"/>
      </rPr>
      <t xml:space="preserve">             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</si>
</sst>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ajor"/>
    </font>
    <font>
      <b/>
      <sz val="12"/>
      <color rgb="FF0070C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000000"/>
      <name val="나눔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i/>
      <sz val="10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9.5"/>
      <name val="맑은 고딕"/>
      <family val="3"/>
      <charset val="129"/>
      <scheme val="minor"/>
    </font>
    <font>
      <i/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theme="1"/>
      <name val="나눔고딕"/>
      <family val="3"/>
      <charset val="129"/>
    </font>
    <font>
      <sz val="10"/>
      <name val="나눔고딕"/>
      <family val="3"/>
      <charset val="129"/>
    </font>
    <font>
      <sz val="10"/>
      <color rgb="FF00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theme="1"/>
      <name val="Segoe UI Symbol"/>
      <family val="3"/>
    </font>
    <font>
      <sz val="10"/>
      <color theme="1"/>
      <name val="Calibri"/>
      <family val="3"/>
    </font>
    <font>
      <sz val="10"/>
      <color theme="1"/>
      <name val="맑은 고딕"/>
      <family val="3"/>
      <charset val="129"/>
    </font>
    <font>
      <b/>
      <sz val="9"/>
      <color indexed="10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trike/>
      <sz val="10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rgb="FFFF0000"/>
      </left>
      <right style="thin">
        <color indexed="64"/>
      </right>
      <top style="thick">
        <color rgb="FFFF0000"/>
      </top>
      <bottom/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/>
      <top style="thick">
        <color rgb="FFFF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rgb="FFFF0000"/>
      </top>
      <bottom style="thin">
        <color indexed="64"/>
      </bottom>
      <diagonal/>
    </border>
    <border>
      <left style="medium">
        <color indexed="64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rgb="FFFF0000"/>
      </right>
      <top style="thin">
        <color indexed="64"/>
      </top>
      <bottom/>
      <diagonal/>
    </border>
    <border>
      <left style="thick">
        <color rgb="FFFF0000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rgb="FFFF0000"/>
      </right>
      <top/>
      <bottom/>
      <diagonal/>
    </border>
    <border>
      <left style="thick">
        <color rgb="FFFF0000"/>
      </left>
      <right style="thin">
        <color indexed="64"/>
      </right>
      <top/>
      <bottom/>
      <diagonal/>
    </border>
    <border>
      <left style="medium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rgb="FF0000FF"/>
      </left>
      <right style="thin">
        <color indexed="64"/>
      </right>
      <top style="thick">
        <color rgb="FF0000FF"/>
      </top>
      <bottom/>
      <diagonal/>
    </border>
    <border>
      <left style="thin">
        <color indexed="64"/>
      </left>
      <right style="thin">
        <color indexed="64"/>
      </right>
      <top style="thick">
        <color rgb="FF0000FF"/>
      </top>
      <bottom style="thin">
        <color indexed="64"/>
      </bottom>
      <diagonal/>
    </border>
    <border>
      <left style="thin">
        <color indexed="64"/>
      </left>
      <right/>
      <top style="thick">
        <color rgb="FF0000FF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rgb="FF0000FF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rgb="FF0000FF"/>
      </top>
      <bottom style="thin">
        <color indexed="64"/>
      </bottom>
      <diagonal/>
    </border>
    <border>
      <left style="thin">
        <color indexed="64"/>
      </left>
      <right style="thick">
        <color rgb="FF0000FF"/>
      </right>
      <top style="thick">
        <color rgb="FF0000FF"/>
      </top>
      <bottom/>
      <diagonal/>
    </border>
    <border>
      <left style="thick">
        <color rgb="FF0000FF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0000FF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ck">
        <color rgb="FF0000FF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0000FF"/>
      </right>
      <top/>
      <bottom/>
      <diagonal/>
    </border>
    <border>
      <left style="thick">
        <color rgb="FF0000FF"/>
      </left>
      <right style="thin">
        <color indexed="64"/>
      </right>
      <top/>
      <bottom/>
      <diagonal/>
    </border>
    <border>
      <left style="thick">
        <color rgb="FF0000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0000FF"/>
      </left>
      <right style="thin">
        <color indexed="64"/>
      </right>
      <top style="thin">
        <color indexed="64"/>
      </top>
      <bottom style="thick">
        <color rgb="FF0000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00FF"/>
      </bottom>
      <diagonal/>
    </border>
    <border>
      <left style="thin">
        <color indexed="64"/>
      </left>
      <right/>
      <top style="thin">
        <color indexed="64"/>
      </top>
      <bottom style="thick">
        <color rgb="FF0000FF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rgb="FF0000F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rgb="FF0000FF"/>
      </bottom>
      <diagonal/>
    </border>
    <border>
      <left style="thin">
        <color indexed="64"/>
      </left>
      <right style="thick">
        <color rgb="FF0000FF"/>
      </right>
      <top/>
      <bottom style="thick">
        <color rgb="FF0000FF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421">
    <xf numFmtId="0" fontId="0" fillId="0" borderId="0" xfId="0">
      <alignment vertical="center"/>
    </xf>
    <xf numFmtId="0" fontId="5" fillId="0" borderId="0" xfId="0" applyFont="1">
      <alignment vertical="center"/>
    </xf>
    <xf numFmtId="176" fontId="10" fillId="2" borderId="7" xfId="0" applyNumberFormat="1" applyFont="1" applyFill="1" applyBorder="1" applyAlignment="1">
      <alignment horizontal="center" vertical="center" shrinkToFit="1"/>
    </xf>
    <xf numFmtId="176" fontId="10" fillId="2" borderId="10" xfId="0" applyNumberFormat="1" applyFont="1" applyFill="1" applyBorder="1" applyAlignment="1">
      <alignment horizontal="center" vertical="center" shrinkToFit="1"/>
    </xf>
    <xf numFmtId="176" fontId="11" fillId="0" borderId="3" xfId="0" applyNumberFormat="1" applyFont="1" applyBorder="1" applyAlignment="1">
      <alignment horizontal="center" vertical="center" wrapText="1"/>
    </xf>
    <xf numFmtId="176" fontId="12" fillId="4" borderId="3" xfId="0" applyNumberFormat="1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176" fontId="11" fillId="0" borderId="2" xfId="0" applyNumberFormat="1" applyFont="1" applyBorder="1" applyAlignment="1">
      <alignment horizontal="center" vertical="center" wrapText="1"/>
    </xf>
    <xf numFmtId="176" fontId="11" fillId="0" borderId="5" xfId="0" applyNumberFormat="1" applyFont="1" applyBorder="1" applyAlignment="1">
      <alignment horizontal="center" vertical="center" wrapText="1"/>
    </xf>
    <xf numFmtId="176" fontId="13" fillId="0" borderId="2" xfId="0" applyNumberFormat="1" applyFont="1" applyBorder="1" applyAlignment="1">
      <alignment horizontal="center" vertical="center" wrapText="1"/>
    </xf>
    <xf numFmtId="176" fontId="13" fillId="0" borderId="5" xfId="0" applyNumberFormat="1" applyFont="1" applyBorder="1" applyAlignment="1">
      <alignment horizontal="center" vertical="center" wrapText="1"/>
    </xf>
    <xf numFmtId="176" fontId="11" fillId="0" borderId="16" xfId="0" applyNumberFormat="1" applyFont="1" applyBorder="1" applyAlignment="1">
      <alignment horizontal="center" vertical="center" wrapText="1"/>
    </xf>
    <xf numFmtId="176" fontId="12" fillId="4" borderId="16" xfId="0" applyNumberFormat="1" applyFont="1" applyFill="1" applyBorder="1" applyAlignment="1">
      <alignment horizontal="left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76" fontId="11" fillId="0" borderId="19" xfId="0" applyNumberFormat="1" applyFont="1" applyBorder="1" applyAlignment="1">
      <alignment horizontal="center" vertical="center" wrapText="1"/>
    </xf>
    <xf numFmtId="176" fontId="13" fillId="0" borderId="18" xfId="0" applyNumberFormat="1" applyFont="1" applyBorder="1" applyAlignment="1">
      <alignment horizontal="center" vertical="center" wrapText="1"/>
    </xf>
    <xf numFmtId="176" fontId="13" fillId="0" borderId="19" xfId="0" applyNumberFormat="1" applyFont="1" applyBorder="1" applyAlignment="1">
      <alignment horizontal="center" vertical="center" wrapText="1"/>
    </xf>
    <xf numFmtId="176" fontId="11" fillId="0" borderId="22" xfId="0" applyNumberFormat="1" applyFont="1" applyBorder="1" applyAlignment="1">
      <alignment horizontal="center" vertical="center" wrapText="1"/>
    </xf>
    <xf numFmtId="176" fontId="13" fillId="0" borderId="21" xfId="0" applyNumberFormat="1" applyFont="1" applyBorder="1" applyAlignment="1">
      <alignment horizontal="center" vertical="center" wrapText="1"/>
    </xf>
    <xf numFmtId="176" fontId="13" fillId="0" borderId="22" xfId="0" applyNumberFormat="1" applyFont="1" applyBorder="1" applyAlignment="1">
      <alignment horizontal="center" vertical="center" wrapText="1"/>
    </xf>
    <xf numFmtId="176" fontId="11" fillId="0" borderId="8" xfId="0" applyNumberFormat="1" applyFont="1" applyBorder="1" applyAlignment="1">
      <alignment horizontal="center" vertical="center" wrapText="1"/>
    </xf>
    <xf numFmtId="176" fontId="12" fillId="4" borderId="8" xfId="0" applyNumberFormat="1" applyFont="1" applyFill="1" applyBorder="1" applyAlignment="1">
      <alignment horizontal="left" vertical="center" wrapText="1"/>
    </xf>
    <xf numFmtId="0" fontId="11" fillId="4" borderId="8" xfId="0" applyFont="1" applyFill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center" vertical="center" wrapText="1"/>
    </xf>
    <xf numFmtId="0" fontId="11" fillId="4" borderId="22" xfId="0" applyFont="1" applyFill="1" applyBorder="1" applyAlignment="1">
      <alignment horizontal="center" vertical="center" wrapText="1"/>
    </xf>
    <xf numFmtId="176" fontId="11" fillId="0" borderId="24" xfId="0" applyNumberFormat="1" applyFont="1" applyBorder="1" applyAlignment="1">
      <alignment horizontal="center" vertical="center" wrapText="1"/>
    </xf>
    <xf numFmtId="176" fontId="13" fillId="3" borderId="21" xfId="0" applyNumberFormat="1" applyFont="1" applyFill="1" applyBorder="1" applyAlignment="1">
      <alignment horizontal="center" vertical="center" wrapText="1"/>
    </xf>
    <xf numFmtId="176" fontId="13" fillId="3" borderId="22" xfId="0" applyNumberFormat="1" applyFont="1" applyFill="1" applyBorder="1" applyAlignment="1">
      <alignment horizontal="center" vertical="center" wrapText="1"/>
    </xf>
    <xf numFmtId="176" fontId="12" fillId="0" borderId="16" xfId="0" applyNumberFormat="1" applyFont="1" applyBorder="1" applyAlignment="1">
      <alignment horizontal="left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 wrapText="1"/>
    </xf>
    <xf numFmtId="176" fontId="11" fillId="0" borderId="15" xfId="0" applyNumberFormat="1" applyFont="1" applyBorder="1" applyAlignment="1">
      <alignment horizontal="center" vertical="center" wrapText="1"/>
    </xf>
    <xf numFmtId="176" fontId="12" fillId="5" borderId="15" xfId="0" applyNumberFormat="1" applyFont="1" applyFill="1" applyBorder="1" applyAlignment="1">
      <alignment horizontal="left" vertical="center" shrinkToFi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26" xfId="0" applyFont="1" applyFill="1" applyBorder="1" applyAlignment="1">
      <alignment horizontal="center" vertical="center" wrapText="1"/>
    </xf>
    <xf numFmtId="176" fontId="12" fillId="5" borderId="16" xfId="0" applyNumberFormat="1" applyFont="1" applyFill="1" applyBorder="1" applyAlignment="1">
      <alignment horizontal="left" vertical="center" shrinkToFit="1"/>
    </xf>
    <xf numFmtId="0" fontId="11" fillId="5" borderId="16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76" fontId="12" fillId="0" borderId="16" xfId="0" applyNumberFormat="1" applyFont="1" applyBorder="1" applyAlignment="1">
      <alignment horizontal="left" vertical="center" shrinkToFit="1"/>
    </xf>
    <xf numFmtId="0" fontId="11" fillId="3" borderId="17" xfId="0" applyFont="1" applyFill="1" applyBorder="1" applyAlignment="1">
      <alignment horizontal="center" vertical="center" wrapText="1"/>
    </xf>
    <xf numFmtId="176" fontId="11" fillId="3" borderId="21" xfId="0" applyNumberFormat="1" applyFont="1" applyFill="1" applyBorder="1" applyAlignment="1">
      <alignment horizontal="center" vertical="center" wrapText="1"/>
    </xf>
    <xf numFmtId="176" fontId="11" fillId="3" borderId="22" xfId="0" applyNumberFormat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176" fontId="11" fillId="0" borderId="16" xfId="0" applyNumberFormat="1" applyFont="1" applyBorder="1" applyAlignment="1">
      <alignment horizontal="left" vertical="center" shrinkToFit="1"/>
    </xf>
    <xf numFmtId="176" fontId="10" fillId="3" borderId="21" xfId="0" applyNumberFormat="1" applyFont="1" applyFill="1" applyBorder="1" applyAlignment="1">
      <alignment horizontal="center" vertical="center" wrapText="1"/>
    </xf>
    <xf numFmtId="176" fontId="10" fillId="3" borderId="22" xfId="0" applyNumberFormat="1" applyFont="1" applyFill="1" applyBorder="1" applyAlignment="1">
      <alignment horizontal="center" vertical="center" wrapText="1"/>
    </xf>
    <xf numFmtId="176" fontId="14" fillId="3" borderId="21" xfId="0" applyNumberFormat="1" applyFont="1" applyFill="1" applyBorder="1" applyAlignment="1">
      <alignment horizontal="center" vertical="center" wrapText="1"/>
    </xf>
    <xf numFmtId="176" fontId="14" fillId="3" borderId="22" xfId="0" applyNumberFormat="1" applyFont="1" applyFill="1" applyBorder="1" applyAlignment="1">
      <alignment horizontal="center" vertical="center" wrapText="1"/>
    </xf>
    <xf numFmtId="176" fontId="10" fillId="3" borderId="21" xfId="0" applyNumberFormat="1" applyFont="1" applyFill="1" applyBorder="1" applyAlignment="1">
      <alignment horizontal="center" vertical="center" shrinkToFit="1"/>
    </xf>
    <xf numFmtId="176" fontId="10" fillId="3" borderId="22" xfId="0" applyNumberFormat="1" applyFont="1" applyFill="1" applyBorder="1" applyAlignment="1">
      <alignment horizontal="center" vertical="center" shrinkToFit="1"/>
    </xf>
    <xf numFmtId="176" fontId="5" fillId="0" borderId="0" xfId="0" applyNumberFormat="1" applyFont="1">
      <alignment vertical="center"/>
    </xf>
    <xf numFmtId="176" fontId="11" fillId="3" borderId="7" xfId="0" applyNumberFormat="1" applyFont="1" applyFill="1" applyBorder="1" applyAlignment="1">
      <alignment horizontal="center" vertical="center" shrinkToFit="1"/>
    </xf>
    <xf numFmtId="176" fontId="11" fillId="3" borderId="10" xfId="0" applyNumberFormat="1" applyFont="1" applyFill="1" applyBorder="1" applyAlignment="1">
      <alignment horizontal="center" vertical="center" shrinkToFit="1"/>
    </xf>
    <xf numFmtId="176" fontId="14" fillId="3" borderId="21" xfId="0" applyNumberFormat="1" applyFont="1" applyFill="1" applyBorder="1" applyAlignment="1">
      <alignment horizontal="center" vertical="center" shrinkToFit="1"/>
    </xf>
    <xf numFmtId="176" fontId="14" fillId="3" borderId="22" xfId="0" applyNumberFormat="1" applyFont="1" applyFill="1" applyBorder="1" applyAlignment="1">
      <alignment horizontal="center" vertical="center" shrinkToFit="1"/>
    </xf>
    <xf numFmtId="176" fontId="11" fillId="3" borderId="18" xfId="0" applyNumberFormat="1" applyFont="1" applyFill="1" applyBorder="1" applyAlignment="1">
      <alignment horizontal="center" vertical="center" wrapText="1"/>
    </xf>
    <xf numFmtId="0" fontId="12" fillId="0" borderId="0" xfId="1" applyFont="1">
      <alignment vertical="center"/>
    </xf>
    <xf numFmtId="176" fontId="12" fillId="0" borderId="8" xfId="0" applyNumberFormat="1" applyFont="1" applyBorder="1" applyAlignment="1">
      <alignment horizontal="left" vertical="center" shrinkToFit="1"/>
    </xf>
    <xf numFmtId="176" fontId="14" fillId="3" borderId="7" xfId="0" applyNumberFormat="1" applyFont="1" applyFill="1" applyBorder="1" applyAlignment="1">
      <alignment horizontal="center" vertical="center" shrinkToFit="1"/>
    </xf>
    <xf numFmtId="176" fontId="14" fillId="3" borderId="10" xfId="0" applyNumberFormat="1" applyFont="1" applyFill="1" applyBorder="1" applyAlignment="1">
      <alignment horizontal="center" vertical="center" shrinkToFit="1"/>
    </xf>
    <xf numFmtId="176" fontId="11" fillId="3" borderId="14" xfId="0" applyNumberFormat="1" applyFont="1" applyFill="1" applyBorder="1" applyAlignment="1">
      <alignment horizontal="center" vertical="center" wrapText="1"/>
    </xf>
    <xf numFmtId="176" fontId="11" fillId="3" borderId="10" xfId="0" applyNumberFormat="1" applyFont="1" applyFill="1" applyBorder="1" applyAlignment="1">
      <alignment horizontal="center" vertical="center" wrapText="1"/>
    </xf>
    <xf numFmtId="176" fontId="11" fillId="0" borderId="29" xfId="0" applyNumberFormat="1" applyFont="1" applyBorder="1" applyAlignment="1">
      <alignment horizontal="center" vertical="center" wrapText="1"/>
    </xf>
    <xf numFmtId="0" fontId="11" fillId="3" borderId="29" xfId="0" applyFont="1" applyFill="1" applyBorder="1" applyAlignment="1">
      <alignment horizontal="center" vertical="center" wrapText="1"/>
    </xf>
    <xf numFmtId="0" fontId="11" fillId="3" borderId="30" xfId="0" applyFont="1" applyFill="1" applyBorder="1" applyAlignment="1">
      <alignment horizontal="center" vertical="center" wrapText="1"/>
    </xf>
    <xf numFmtId="176" fontId="11" fillId="3" borderId="31" xfId="0" applyNumberFormat="1" applyFont="1" applyFill="1" applyBorder="1" applyAlignment="1">
      <alignment horizontal="center" vertical="center" wrapText="1"/>
    </xf>
    <xf numFmtId="176" fontId="11" fillId="3" borderId="32" xfId="0" applyNumberFormat="1" applyFont="1" applyFill="1" applyBorder="1" applyAlignment="1">
      <alignment horizontal="center" vertical="center" wrapText="1"/>
    </xf>
    <xf numFmtId="176" fontId="14" fillId="3" borderId="31" xfId="0" applyNumberFormat="1" applyFont="1" applyFill="1" applyBorder="1" applyAlignment="1">
      <alignment horizontal="center" vertical="center" wrapText="1"/>
    </xf>
    <xf numFmtId="176" fontId="14" fillId="3" borderId="32" xfId="0" applyNumberFormat="1" applyFont="1" applyFill="1" applyBorder="1" applyAlignment="1">
      <alignment horizontal="center" vertical="center" wrapText="1"/>
    </xf>
    <xf numFmtId="176" fontId="12" fillId="4" borderId="15" xfId="0" applyNumberFormat="1" applyFont="1" applyFill="1" applyBorder="1" applyAlignment="1">
      <alignment horizontal="left" vertical="center" wrapText="1" shrinkToFit="1"/>
    </xf>
    <xf numFmtId="0" fontId="11" fillId="3" borderId="15" xfId="0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176" fontId="14" fillId="0" borderId="18" xfId="0" applyNumberFormat="1" applyFont="1" applyBorder="1" applyAlignment="1">
      <alignment horizontal="center" vertical="center" wrapText="1"/>
    </xf>
    <xf numFmtId="176" fontId="14" fillId="0" borderId="19" xfId="0" applyNumberFormat="1" applyFont="1" applyBorder="1" applyAlignment="1">
      <alignment horizontal="center" vertical="center" wrapText="1"/>
    </xf>
    <xf numFmtId="0" fontId="15" fillId="0" borderId="0" xfId="0" applyFont="1">
      <alignment vertical="center"/>
    </xf>
    <xf numFmtId="176" fontId="11" fillId="0" borderId="25" xfId="0" applyNumberFormat="1" applyFont="1" applyBorder="1" applyAlignment="1">
      <alignment horizontal="center" vertical="center" wrapText="1"/>
    </xf>
    <xf numFmtId="176" fontId="12" fillId="4" borderId="25" xfId="0" applyNumberFormat="1" applyFont="1" applyFill="1" applyBorder="1" applyAlignment="1">
      <alignment horizontal="left" vertical="center" wrapText="1" shrinkToFit="1"/>
    </xf>
    <xf numFmtId="0" fontId="11" fillId="3" borderId="25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 wrapText="1"/>
    </xf>
    <xf numFmtId="176" fontId="12" fillId="0" borderId="16" xfId="0" applyNumberFormat="1" applyFont="1" applyBorder="1" applyAlignment="1">
      <alignment horizontal="left" vertical="center" wrapText="1" shrinkToFit="1"/>
    </xf>
    <xf numFmtId="176" fontId="14" fillId="0" borderId="27" xfId="0" applyNumberFormat="1" applyFont="1" applyBorder="1" applyAlignment="1">
      <alignment horizontal="center" vertical="center" wrapText="1"/>
    </xf>
    <xf numFmtId="176" fontId="12" fillId="0" borderId="15" xfId="0" applyNumberFormat="1" applyFont="1" applyBorder="1" applyAlignment="1">
      <alignment horizontal="left" vertical="center" wrapText="1" shrinkToFit="1"/>
    </xf>
    <xf numFmtId="0" fontId="11" fillId="3" borderId="19" xfId="0" applyFont="1" applyFill="1" applyBorder="1" applyAlignment="1">
      <alignment horizontal="center" vertical="center" wrapText="1"/>
    </xf>
    <xf numFmtId="176" fontId="12" fillId="0" borderId="15" xfId="0" applyNumberFormat="1" applyFont="1" applyBorder="1" applyAlignment="1">
      <alignment horizontal="left" vertical="center" wrapText="1"/>
    </xf>
    <xf numFmtId="176" fontId="14" fillId="0" borderId="21" xfId="0" applyNumberFormat="1" applyFont="1" applyBorder="1" applyAlignment="1">
      <alignment horizontal="center" vertical="center" wrapText="1"/>
    </xf>
    <xf numFmtId="176" fontId="14" fillId="0" borderId="22" xfId="0" applyNumberFormat="1" applyFont="1" applyBorder="1" applyAlignment="1">
      <alignment horizontal="center" vertical="center" wrapText="1"/>
    </xf>
    <xf numFmtId="176" fontId="11" fillId="6" borderId="21" xfId="0" applyNumberFormat="1" applyFont="1" applyFill="1" applyBorder="1" applyAlignment="1">
      <alignment horizontal="center" vertical="center" wrapText="1"/>
    </xf>
    <xf numFmtId="176" fontId="11" fillId="7" borderId="22" xfId="0" applyNumberFormat="1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horizontal="center" vertical="center" wrapText="1"/>
    </xf>
    <xf numFmtId="176" fontId="14" fillId="0" borderId="24" xfId="0" applyNumberFormat="1" applyFont="1" applyBorder="1" applyAlignment="1">
      <alignment horizontal="center" vertical="center" wrapText="1"/>
    </xf>
    <xf numFmtId="176" fontId="16" fillId="0" borderId="15" xfId="0" applyNumberFormat="1" applyFont="1" applyBorder="1" applyAlignment="1">
      <alignment horizontal="left" vertical="center" wrapText="1"/>
    </xf>
    <xf numFmtId="176" fontId="12" fillId="9" borderId="16" xfId="0" applyNumberFormat="1" applyFont="1" applyFill="1" applyBorder="1" applyAlignment="1">
      <alignment horizontal="left" vertical="center" wrapText="1"/>
    </xf>
    <xf numFmtId="176" fontId="12" fillId="0" borderId="8" xfId="0" applyNumberFormat="1" applyFont="1" applyBorder="1" applyAlignment="1">
      <alignment horizontal="left" vertical="center" wrapText="1"/>
    </xf>
    <xf numFmtId="0" fontId="12" fillId="0" borderId="16" xfId="0" applyFont="1" applyBorder="1" applyAlignment="1">
      <alignment horizontal="left" vertical="center" wrapText="1" shrinkToFit="1"/>
    </xf>
    <xf numFmtId="0" fontId="17" fillId="0" borderId="21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176" fontId="11" fillId="0" borderId="15" xfId="0" applyNumberFormat="1" applyFont="1" applyBorder="1" applyAlignment="1">
      <alignment horizontal="left" vertical="center" wrapText="1" shrinkToFit="1"/>
    </xf>
    <xf numFmtId="176" fontId="11" fillId="10" borderId="16" xfId="0" applyNumberFormat="1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176" fontId="18" fillId="0" borderId="15" xfId="0" applyNumberFormat="1" applyFont="1" applyBorder="1" applyAlignment="1">
      <alignment horizontal="left" vertical="center" wrapText="1"/>
    </xf>
    <xf numFmtId="176" fontId="14" fillId="0" borderId="7" xfId="0" applyNumberFormat="1" applyFont="1" applyBorder="1" applyAlignment="1">
      <alignment horizontal="center" vertical="center" wrapText="1"/>
    </xf>
    <xf numFmtId="176" fontId="14" fillId="0" borderId="10" xfId="0" applyNumberFormat="1" applyFont="1" applyBorder="1" applyAlignment="1">
      <alignment horizontal="center" vertical="center" wrapText="1"/>
    </xf>
    <xf numFmtId="176" fontId="9" fillId="0" borderId="12" xfId="0" applyNumberFormat="1" applyFont="1" applyBorder="1" applyAlignment="1">
      <alignment horizontal="center" vertical="center" wrapText="1"/>
    </xf>
    <xf numFmtId="176" fontId="12" fillId="0" borderId="5" xfId="0" applyNumberFormat="1" applyFont="1" applyBorder="1" applyAlignment="1">
      <alignment horizontal="center" vertical="center" wrapText="1"/>
    </xf>
    <xf numFmtId="176" fontId="9" fillId="0" borderId="14" xfId="0" applyNumberFormat="1" applyFont="1" applyBorder="1" applyAlignment="1">
      <alignment horizontal="center" vertical="center" wrapText="1"/>
    </xf>
    <xf numFmtId="176" fontId="8" fillId="0" borderId="8" xfId="0" applyNumberFormat="1" applyFont="1" applyBorder="1" applyAlignment="1">
      <alignment horizontal="center" vertical="center" wrapText="1"/>
    </xf>
    <xf numFmtId="176" fontId="11" fillId="0" borderId="29" xfId="0" applyNumberFormat="1" applyFont="1" applyBorder="1" applyAlignment="1">
      <alignment vertical="center" wrapText="1" shrinkToFit="1"/>
    </xf>
    <xf numFmtId="0" fontId="11" fillId="3" borderId="32" xfId="0" applyFont="1" applyFill="1" applyBorder="1" applyAlignment="1">
      <alignment horizontal="center" vertical="center" wrapText="1"/>
    </xf>
    <xf numFmtId="176" fontId="9" fillId="0" borderId="27" xfId="0" applyNumberFormat="1" applyFont="1" applyBorder="1" applyAlignment="1">
      <alignment horizontal="center" vertical="center" wrapText="1"/>
    </xf>
    <xf numFmtId="176" fontId="9" fillId="0" borderId="3" xfId="0" applyNumberFormat="1" applyFont="1" applyBorder="1" applyAlignment="1">
      <alignment horizontal="center" vertical="center" wrapText="1"/>
    </xf>
    <xf numFmtId="176" fontId="9" fillId="0" borderId="4" xfId="0" applyNumberFormat="1" applyFont="1" applyBorder="1" applyAlignment="1">
      <alignment horizontal="center" vertical="center" wrapText="1"/>
    </xf>
    <xf numFmtId="176" fontId="8" fillId="0" borderId="2" xfId="0" applyNumberFormat="1" applyFont="1" applyBorder="1" applyAlignment="1">
      <alignment horizontal="center" vertical="center" wrapText="1"/>
    </xf>
    <xf numFmtId="176" fontId="8" fillId="0" borderId="5" xfId="0" applyNumberFormat="1" applyFont="1" applyBorder="1" applyAlignment="1">
      <alignment horizontal="center" vertical="center" wrapText="1"/>
    </xf>
    <xf numFmtId="176" fontId="8" fillId="0" borderId="6" xfId="0" applyNumberFormat="1" applyFont="1" applyBorder="1" applyAlignment="1">
      <alignment horizontal="center" vertical="center" wrapText="1"/>
    </xf>
    <xf numFmtId="176" fontId="10" fillId="0" borderId="6" xfId="0" applyNumberFormat="1" applyFont="1" applyBorder="1" applyAlignment="1">
      <alignment horizontal="center" vertical="center" wrapText="1"/>
    </xf>
    <xf numFmtId="176" fontId="10" fillId="0" borderId="5" xfId="0" applyNumberFormat="1" applyFont="1" applyBorder="1" applyAlignment="1">
      <alignment horizontal="center" vertical="center" wrapText="1"/>
    </xf>
    <xf numFmtId="176" fontId="9" fillId="0" borderId="24" xfId="0" applyNumberFormat="1" applyFont="1" applyBorder="1" applyAlignment="1">
      <alignment horizontal="center" vertical="center" wrapText="1"/>
    </xf>
    <xf numFmtId="176" fontId="9" fillId="0" borderId="16" xfId="0" applyNumberFormat="1" applyFont="1" applyBorder="1" applyAlignment="1">
      <alignment horizontal="center" vertical="center" wrapText="1"/>
    </xf>
    <xf numFmtId="176" fontId="9" fillId="0" borderId="17" xfId="0" applyNumberFormat="1" applyFont="1" applyBorder="1" applyAlignment="1">
      <alignment horizontal="center" vertical="center" wrapText="1"/>
    </xf>
    <xf numFmtId="176" fontId="8" fillId="0" borderId="21" xfId="0" applyNumberFormat="1" applyFont="1" applyBorder="1" applyAlignment="1">
      <alignment horizontal="center" vertical="center" wrapText="1"/>
    </xf>
    <xf numFmtId="176" fontId="8" fillId="0" borderId="22" xfId="0" applyNumberFormat="1" applyFont="1" applyBorder="1" applyAlignment="1">
      <alignment horizontal="center" vertical="center" wrapText="1"/>
    </xf>
    <xf numFmtId="176" fontId="8" fillId="0" borderId="24" xfId="0" applyNumberFormat="1" applyFont="1" applyBorder="1" applyAlignment="1">
      <alignment horizontal="center" vertical="center" wrapText="1"/>
    </xf>
    <xf numFmtId="176" fontId="9" fillId="0" borderId="48" xfId="0" applyNumberFormat="1" applyFont="1" applyBorder="1" applyAlignment="1">
      <alignment horizontal="center" vertical="center" wrapText="1"/>
    </xf>
    <xf numFmtId="176" fontId="9" fillId="0" borderId="29" xfId="0" applyNumberFormat="1" applyFont="1" applyBorder="1" applyAlignment="1">
      <alignment horizontal="center" vertical="center" wrapText="1"/>
    </xf>
    <xf numFmtId="176" fontId="9" fillId="0" borderId="30" xfId="0" applyNumberFormat="1" applyFont="1" applyBorder="1" applyAlignment="1">
      <alignment horizontal="center" vertical="center" wrapText="1"/>
    </xf>
    <xf numFmtId="176" fontId="8" fillId="0" borderId="31" xfId="0" applyNumberFormat="1" applyFont="1" applyBorder="1" applyAlignment="1">
      <alignment horizontal="center" vertical="center" wrapText="1"/>
    </xf>
    <xf numFmtId="176" fontId="8" fillId="0" borderId="32" xfId="0" applyNumberFormat="1" applyFont="1" applyBorder="1" applyAlignment="1">
      <alignment horizontal="center" vertical="center" wrapText="1"/>
    </xf>
    <xf numFmtId="176" fontId="8" fillId="0" borderId="48" xfId="0" applyNumberFormat="1" applyFont="1" applyBorder="1" applyAlignment="1">
      <alignment horizontal="center" vertical="center" wrapText="1"/>
    </xf>
    <xf numFmtId="0" fontId="19" fillId="0" borderId="0" xfId="0" applyFont="1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7" fillId="3" borderId="17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176" fontId="29" fillId="4" borderId="16" xfId="0" applyNumberFormat="1" applyFont="1" applyFill="1" applyBorder="1" applyAlignment="1">
      <alignment horizontal="left" vertical="center" wrapText="1"/>
    </xf>
    <xf numFmtId="0" fontId="27" fillId="3" borderId="9" xfId="0" applyFont="1" applyFill="1" applyBorder="1" applyAlignment="1">
      <alignment horizontal="center" vertical="center" wrapText="1"/>
    </xf>
    <xf numFmtId="0" fontId="27" fillId="3" borderId="26" xfId="0" applyFont="1" applyFill="1" applyBorder="1" applyAlignment="1">
      <alignment horizontal="center" vertical="center" wrapText="1"/>
    </xf>
    <xf numFmtId="176" fontId="27" fillId="0" borderId="8" xfId="0" applyNumberFormat="1" applyFont="1" applyBorder="1" applyAlignment="1">
      <alignment horizontal="center" vertical="center" wrapText="1"/>
    </xf>
    <xf numFmtId="176" fontId="27" fillId="0" borderId="8" xfId="0" applyNumberFormat="1" applyFont="1" applyBorder="1" applyAlignment="1">
      <alignment horizontal="left" vertical="center" wrapText="1"/>
    </xf>
    <xf numFmtId="176" fontId="29" fillId="0" borderId="29" xfId="0" applyNumberFormat="1" applyFont="1" applyBorder="1" applyAlignment="1">
      <alignment horizontal="left" vertical="center" shrinkToFit="1"/>
    </xf>
    <xf numFmtId="0" fontId="15" fillId="0" borderId="0" xfId="0" applyFont="1" applyAlignment="1">
      <alignment vertical="center" wrapText="1"/>
    </xf>
    <xf numFmtId="176" fontId="11" fillId="0" borderId="18" xfId="0" applyNumberFormat="1" applyFont="1" applyBorder="1" applyAlignment="1">
      <alignment horizontal="center" vertical="center" wrapText="1"/>
    </xf>
    <xf numFmtId="176" fontId="8" fillId="3" borderId="8" xfId="0" applyNumberFormat="1" applyFont="1" applyFill="1" applyBorder="1" applyAlignment="1">
      <alignment horizontal="center" vertical="center" wrapText="1"/>
    </xf>
    <xf numFmtId="176" fontId="8" fillId="3" borderId="15" xfId="0" applyNumberFormat="1" applyFont="1" applyFill="1" applyBorder="1" applyAlignment="1">
      <alignment horizontal="center" vertical="center" wrapText="1"/>
    </xf>
    <xf numFmtId="176" fontId="8" fillId="3" borderId="25" xfId="0" applyNumberFormat="1" applyFont="1" applyFill="1" applyBorder="1" applyAlignment="1">
      <alignment horizontal="center" vertical="center" wrapText="1"/>
    </xf>
    <xf numFmtId="176" fontId="8" fillId="3" borderId="16" xfId="0" applyNumberFormat="1" applyFont="1" applyFill="1" applyBorder="1" applyAlignment="1">
      <alignment horizontal="center" vertical="center" wrapText="1"/>
    </xf>
    <xf numFmtId="176" fontId="12" fillId="0" borderId="10" xfId="0" applyNumberFormat="1" applyFont="1" applyBorder="1" applyAlignment="1">
      <alignment horizontal="center" vertical="center" wrapText="1"/>
    </xf>
    <xf numFmtId="176" fontId="12" fillId="0" borderId="20" xfId="0" applyNumberFormat="1" applyFont="1" applyBorder="1" applyAlignment="1">
      <alignment horizontal="center" vertical="center" wrapText="1"/>
    </xf>
    <xf numFmtId="176" fontId="8" fillId="0" borderId="20" xfId="0" applyNumberFormat="1" applyFont="1" applyBorder="1" applyAlignment="1">
      <alignment horizontal="center" vertical="center" wrapText="1"/>
    </xf>
    <xf numFmtId="176" fontId="11" fillId="6" borderId="14" xfId="0" applyNumberFormat="1" applyFont="1" applyFill="1" applyBorder="1" applyAlignment="1">
      <alignment horizontal="center" vertical="center" wrapText="1"/>
    </xf>
    <xf numFmtId="176" fontId="11" fillId="6" borderId="18" xfId="0" applyNumberFormat="1" applyFont="1" applyFill="1" applyBorder="1" applyAlignment="1">
      <alignment horizontal="center" vertical="center" wrapText="1"/>
    </xf>
    <xf numFmtId="176" fontId="11" fillId="8" borderId="20" xfId="0" applyNumberFormat="1" applyFont="1" applyFill="1" applyBorder="1" applyAlignment="1">
      <alignment horizontal="center" vertical="center" wrapText="1"/>
    </xf>
    <xf numFmtId="176" fontId="11" fillId="0" borderId="21" xfId="0" applyNumberFormat="1" applyFont="1" applyBorder="1" applyAlignment="1">
      <alignment horizontal="center" vertical="center" wrapText="1"/>
    </xf>
    <xf numFmtId="176" fontId="11" fillId="8" borderId="10" xfId="0" applyNumberFormat="1" applyFont="1" applyFill="1" applyBorder="1" applyAlignment="1">
      <alignment horizontal="center" vertical="center" wrapText="1"/>
    </xf>
    <xf numFmtId="176" fontId="8" fillId="3" borderId="35" xfId="0" applyNumberFormat="1" applyFont="1" applyFill="1" applyBorder="1" applyAlignment="1">
      <alignment horizontal="center" vertical="center" wrapText="1"/>
    </xf>
    <xf numFmtId="176" fontId="27" fillId="0" borderId="5" xfId="0" applyNumberFormat="1" applyFont="1" applyBorder="1" applyAlignment="1">
      <alignment horizontal="center" vertical="center" wrapText="1"/>
    </xf>
    <xf numFmtId="176" fontId="8" fillId="0" borderId="25" xfId="0" applyNumberFormat="1" applyFont="1" applyBorder="1" applyAlignment="1">
      <alignment horizontal="center" vertical="center" wrapText="1"/>
    </xf>
    <xf numFmtId="0" fontId="11" fillId="3" borderId="20" xfId="0" applyFont="1" applyFill="1" applyBorder="1" applyAlignment="1">
      <alignment horizontal="center" vertical="center" wrapText="1"/>
    </xf>
    <xf numFmtId="176" fontId="27" fillId="0" borderId="25" xfId="0" applyNumberFormat="1" applyFont="1" applyBorder="1" applyAlignment="1">
      <alignment vertical="center" wrapText="1" shrinkToFit="1"/>
    </xf>
    <xf numFmtId="176" fontId="11" fillId="0" borderId="51" xfId="0" applyNumberFormat="1" applyFont="1" applyBorder="1" applyAlignment="1">
      <alignment horizontal="center" vertical="center" wrapText="1"/>
    </xf>
    <xf numFmtId="176" fontId="29" fillId="4" borderId="51" xfId="0" applyNumberFormat="1" applyFont="1" applyFill="1" applyBorder="1" applyAlignment="1">
      <alignment horizontal="left" vertical="center" wrapText="1"/>
    </xf>
    <xf numFmtId="0" fontId="11" fillId="3" borderId="51" xfId="0" applyFont="1" applyFill="1" applyBorder="1" applyAlignment="1">
      <alignment horizontal="center" vertical="center" wrapText="1"/>
    </xf>
    <xf numFmtId="0" fontId="11" fillId="3" borderId="52" xfId="0" applyFont="1" applyFill="1" applyBorder="1" applyAlignment="1">
      <alignment horizontal="center" vertical="center" wrapText="1"/>
    </xf>
    <xf numFmtId="176" fontId="14" fillId="0" borderId="53" xfId="0" applyNumberFormat="1" applyFont="1" applyBorder="1" applyAlignment="1">
      <alignment horizontal="center" vertical="center" wrapText="1"/>
    </xf>
    <xf numFmtId="176" fontId="14" fillId="0" borderId="54" xfId="0" applyNumberFormat="1" applyFont="1" applyBorder="1" applyAlignment="1">
      <alignment horizontal="center" vertical="center" wrapText="1"/>
    </xf>
    <xf numFmtId="176" fontId="11" fillId="0" borderId="54" xfId="0" applyNumberFormat="1" applyFont="1" applyBorder="1" applyAlignment="1">
      <alignment horizontal="center" vertical="center" wrapText="1"/>
    </xf>
    <xf numFmtId="0" fontId="11" fillId="10" borderId="55" xfId="0" applyFont="1" applyFill="1" applyBorder="1" applyAlignment="1">
      <alignment horizontal="center" vertical="center" wrapText="1"/>
    </xf>
    <xf numFmtId="176" fontId="14" fillId="0" borderId="46" xfId="0" applyNumberFormat="1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176" fontId="8" fillId="3" borderId="56" xfId="0" applyNumberFormat="1" applyFont="1" applyFill="1" applyBorder="1" applyAlignment="1">
      <alignment vertical="center" wrapText="1"/>
    </xf>
    <xf numFmtId="176" fontId="11" fillId="10" borderId="62" xfId="0" applyNumberFormat="1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176" fontId="11" fillId="10" borderId="63" xfId="0" applyNumberFormat="1" applyFont="1" applyFill="1" applyBorder="1" applyAlignment="1">
      <alignment horizontal="center" vertical="center" wrapText="1"/>
    </xf>
    <xf numFmtId="176" fontId="14" fillId="0" borderId="64" xfId="0" applyNumberFormat="1" applyFont="1" applyBorder="1" applyAlignment="1">
      <alignment horizontal="center" vertical="center" wrapText="1"/>
    </xf>
    <xf numFmtId="176" fontId="11" fillId="0" borderId="66" xfId="0" applyNumberFormat="1" applyFont="1" applyBorder="1" applyAlignment="1">
      <alignment horizontal="center" vertical="center" wrapText="1"/>
    </xf>
    <xf numFmtId="176" fontId="12" fillId="0" borderId="66" xfId="0" applyNumberFormat="1" applyFont="1" applyBorder="1" applyAlignment="1">
      <alignment horizontal="left" vertical="center" shrinkToFit="1"/>
    </xf>
    <xf numFmtId="0" fontId="11" fillId="3" borderId="66" xfId="0" applyFont="1" applyFill="1" applyBorder="1" applyAlignment="1">
      <alignment horizontal="center" vertical="center" wrapText="1"/>
    </xf>
    <xf numFmtId="0" fontId="11" fillId="3" borderId="67" xfId="0" applyFont="1" applyFill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/>
    </xf>
    <xf numFmtId="0" fontId="17" fillId="0" borderId="69" xfId="0" applyFont="1" applyBorder="1" applyAlignment="1">
      <alignment horizontal="center" vertical="center"/>
    </xf>
    <xf numFmtId="0" fontId="11" fillId="3" borderId="68" xfId="0" applyFont="1" applyFill="1" applyBorder="1" applyAlignment="1">
      <alignment horizontal="center" vertical="center" wrapText="1"/>
    </xf>
    <xf numFmtId="176" fontId="11" fillId="11" borderId="70" xfId="0" applyNumberFormat="1" applyFont="1" applyFill="1" applyBorder="1" applyAlignment="1">
      <alignment horizontal="center" vertical="center" wrapText="1"/>
    </xf>
    <xf numFmtId="176" fontId="8" fillId="3" borderId="74" xfId="0" applyNumberFormat="1" applyFont="1" applyFill="1" applyBorder="1" applyAlignment="1">
      <alignment horizontal="center" vertical="center" shrinkToFit="1"/>
    </xf>
    <xf numFmtId="176" fontId="8" fillId="3" borderId="71" xfId="0" applyNumberFormat="1" applyFont="1" applyFill="1" applyBorder="1" applyAlignment="1">
      <alignment horizontal="center" vertical="center" wrapText="1"/>
    </xf>
    <xf numFmtId="176" fontId="8" fillId="3" borderId="77" xfId="0" applyNumberFormat="1" applyFont="1" applyFill="1" applyBorder="1" applyAlignment="1">
      <alignment horizontal="center" vertical="center" wrapText="1"/>
    </xf>
    <xf numFmtId="176" fontId="28" fillId="3" borderId="74" xfId="0" applyNumberFormat="1" applyFont="1" applyFill="1" applyBorder="1" applyAlignment="1">
      <alignment horizontal="center" vertical="center" wrapText="1"/>
    </xf>
    <xf numFmtId="176" fontId="8" fillId="3" borderId="78" xfId="0" applyNumberFormat="1" applyFont="1" applyFill="1" applyBorder="1" applyAlignment="1">
      <alignment horizontal="center" vertical="center" wrapText="1"/>
    </xf>
    <xf numFmtId="176" fontId="11" fillId="0" borderId="79" xfId="0" applyNumberFormat="1" applyFont="1" applyBorder="1" applyAlignment="1">
      <alignment horizontal="center" vertical="center" wrapText="1"/>
    </xf>
    <xf numFmtId="176" fontId="12" fillId="0" borderId="79" xfId="0" applyNumberFormat="1" applyFont="1" applyBorder="1" applyAlignment="1">
      <alignment horizontal="left" vertical="center" wrapText="1"/>
    </xf>
    <xf numFmtId="0" fontId="11" fillId="3" borderId="79" xfId="0" applyFont="1" applyFill="1" applyBorder="1" applyAlignment="1">
      <alignment horizontal="center" vertical="center" wrapText="1"/>
    </xf>
    <xf numFmtId="0" fontId="27" fillId="3" borderId="80" xfId="0" applyFont="1" applyFill="1" applyBorder="1" applyAlignment="1">
      <alignment horizontal="center" vertical="center" wrapText="1"/>
    </xf>
    <xf numFmtId="176" fontId="14" fillId="0" borderId="81" xfId="0" applyNumberFormat="1" applyFont="1" applyBorder="1" applyAlignment="1">
      <alignment horizontal="center" vertical="center" wrapText="1"/>
    </xf>
    <xf numFmtId="176" fontId="14" fillId="0" borderId="82" xfId="0" applyNumberFormat="1" applyFont="1" applyBorder="1" applyAlignment="1">
      <alignment horizontal="center" vertical="center" wrapText="1"/>
    </xf>
    <xf numFmtId="176" fontId="8" fillId="0" borderId="15" xfId="0" applyNumberFormat="1" applyFont="1" applyBorder="1" applyAlignment="1">
      <alignment horizontal="center" vertical="center" wrapText="1"/>
    </xf>
    <xf numFmtId="176" fontId="11" fillId="0" borderId="15" xfId="0" applyNumberFormat="1" applyFont="1" applyBorder="1" applyAlignment="1">
      <alignment vertical="center" wrapText="1" shrinkToFit="1"/>
    </xf>
    <xf numFmtId="176" fontId="8" fillId="0" borderId="16" xfId="0" applyNumberFormat="1" applyFont="1" applyBorder="1" applyAlignment="1">
      <alignment horizontal="center" vertical="center" wrapText="1"/>
    </xf>
    <xf numFmtId="176" fontId="27" fillId="0" borderId="16" xfId="0" applyNumberFormat="1" applyFont="1" applyBorder="1" applyAlignment="1">
      <alignment vertical="center" wrapText="1" shrinkToFit="1"/>
    </xf>
    <xf numFmtId="0" fontId="17" fillId="0" borderId="18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/>
    </xf>
    <xf numFmtId="176" fontId="10" fillId="0" borderId="27" xfId="0" applyNumberFormat="1" applyFont="1" applyBorder="1" applyAlignment="1">
      <alignment horizontal="center" vertical="center" wrapText="1"/>
    </xf>
    <xf numFmtId="176" fontId="11" fillId="0" borderId="10" xfId="0" applyNumberFormat="1" applyFont="1" applyBorder="1" applyAlignment="1">
      <alignment horizontal="center" vertical="center" wrapText="1"/>
    </xf>
    <xf numFmtId="176" fontId="13" fillId="3" borderId="7" xfId="0" applyNumberFormat="1" applyFont="1" applyFill="1" applyBorder="1" applyAlignment="1">
      <alignment horizontal="center" vertical="center" wrapText="1"/>
    </xf>
    <xf numFmtId="176" fontId="13" fillId="3" borderId="10" xfId="0" applyNumberFormat="1" applyFont="1" applyFill="1" applyBorder="1" applyAlignment="1">
      <alignment horizontal="center" vertical="center" wrapText="1"/>
    </xf>
    <xf numFmtId="176" fontId="10" fillId="3" borderId="18" xfId="0" applyNumberFormat="1" applyFont="1" applyFill="1" applyBorder="1" applyAlignment="1">
      <alignment horizontal="center" vertical="center" wrapText="1"/>
    </xf>
    <xf numFmtId="176" fontId="10" fillId="3" borderId="19" xfId="0" applyNumberFormat="1" applyFont="1" applyFill="1" applyBorder="1" applyAlignment="1">
      <alignment horizontal="center" vertical="center" wrapText="1"/>
    </xf>
    <xf numFmtId="176" fontId="14" fillId="3" borderId="18" xfId="0" applyNumberFormat="1" applyFont="1" applyFill="1" applyBorder="1" applyAlignment="1">
      <alignment horizontal="center" vertical="center" wrapText="1"/>
    </xf>
    <xf numFmtId="176" fontId="14" fillId="3" borderId="19" xfId="0" applyNumberFormat="1" applyFont="1" applyFill="1" applyBorder="1" applyAlignment="1">
      <alignment horizontal="center" vertical="center" wrapText="1"/>
    </xf>
    <xf numFmtId="176" fontId="10" fillId="3" borderId="7" xfId="0" applyNumberFormat="1" applyFont="1" applyFill="1" applyBorder="1" applyAlignment="1">
      <alignment horizontal="center" vertical="center" shrinkToFit="1"/>
    </xf>
    <xf numFmtId="176" fontId="10" fillId="3" borderId="10" xfId="0" applyNumberFormat="1" applyFont="1" applyFill="1" applyBorder="1" applyAlignment="1">
      <alignment horizontal="center" vertical="center" shrinkToFit="1"/>
    </xf>
    <xf numFmtId="176" fontId="14" fillId="3" borderId="7" xfId="0" applyNumberFormat="1" applyFont="1" applyFill="1" applyBorder="1" applyAlignment="1">
      <alignment horizontal="center" vertical="center" wrapText="1"/>
    </xf>
    <xf numFmtId="176" fontId="14" fillId="3" borderId="10" xfId="0" applyNumberFormat="1" applyFont="1" applyFill="1" applyBorder="1" applyAlignment="1">
      <alignment horizontal="center" vertical="center" wrapText="1"/>
    </xf>
    <xf numFmtId="176" fontId="14" fillId="0" borderId="84" xfId="0" applyNumberFormat="1" applyFont="1" applyBorder="1" applyAlignment="1">
      <alignment horizontal="center" vertical="center" wrapText="1"/>
    </xf>
    <xf numFmtId="176" fontId="11" fillId="0" borderId="7" xfId="0" applyNumberFormat="1" applyFont="1" applyBorder="1" applyAlignment="1">
      <alignment horizontal="center" vertical="center" wrapText="1"/>
    </xf>
    <xf numFmtId="176" fontId="11" fillId="0" borderId="18" xfId="0" applyNumberFormat="1" applyFont="1" applyBorder="1" applyAlignment="1">
      <alignment horizontal="center" vertical="center" wrapText="1"/>
    </xf>
    <xf numFmtId="176" fontId="11" fillId="0" borderId="21" xfId="0" applyNumberFormat="1" applyFont="1" applyBorder="1" applyAlignment="1">
      <alignment horizontal="center" vertical="center" wrapText="1"/>
    </xf>
    <xf numFmtId="176" fontId="11" fillId="3" borderId="21" xfId="0" applyNumberFormat="1" applyFont="1" applyFill="1" applyBorder="1" applyAlignment="1">
      <alignment horizontal="center" vertical="center" shrinkToFit="1"/>
    </xf>
    <xf numFmtId="176" fontId="11" fillId="3" borderId="22" xfId="0" applyNumberFormat="1" applyFont="1" applyFill="1" applyBorder="1" applyAlignment="1">
      <alignment horizontal="center" vertical="center" shrinkToFit="1"/>
    </xf>
    <xf numFmtId="176" fontId="11" fillId="6" borderId="7" xfId="0" applyNumberFormat="1" applyFont="1" applyFill="1" applyBorder="1" applyAlignment="1">
      <alignment horizontal="center" vertical="center" wrapText="1"/>
    </xf>
    <xf numFmtId="176" fontId="11" fillId="6" borderId="14" xfId="0" applyNumberFormat="1" applyFont="1" applyFill="1" applyBorder="1" applyAlignment="1">
      <alignment horizontal="center" vertical="center" wrapText="1"/>
    </xf>
    <xf numFmtId="176" fontId="11" fillId="6" borderId="18" xfId="0" applyNumberFormat="1" applyFont="1" applyFill="1" applyBorder="1" applyAlignment="1">
      <alignment horizontal="center" vertical="center" wrapText="1"/>
    </xf>
    <xf numFmtId="0" fontId="11" fillId="10" borderId="18" xfId="0" applyFont="1" applyFill="1" applyBorder="1" applyAlignment="1">
      <alignment horizontal="center" vertical="center" wrapText="1"/>
    </xf>
    <xf numFmtId="176" fontId="11" fillId="8" borderId="20" xfId="0" applyNumberFormat="1" applyFont="1" applyFill="1" applyBorder="1" applyAlignment="1">
      <alignment horizontal="center" vertical="center" wrapText="1"/>
    </xf>
    <xf numFmtId="176" fontId="11" fillId="8" borderId="22" xfId="0" applyNumberFormat="1" applyFont="1" applyFill="1" applyBorder="1" applyAlignment="1">
      <alignment horizontal="center" vertical="center" wrapText="1"/>
    </xf>
    <xf numFmtId="176" fontId="11" fillId="3" borderId="7" xfId="0" applyNumberFormat="1" applyFont="1" applyFill="1" applyBorder="1" applyAlignment="1">
      <alignment horizontal="center" vertical="center" shrinkToFit="1"/>
    </xf>
    <xf numFmtId="176" fontId="11" fillId="3" borderId="10" xfId="0" applyNumberFormat="1" applyFont="1" applyFill="1" applyBorder="1" applyAlignment="1">
      <alignment horizontal="center" vertical="center" shrinkToFit="1"/>
    </xf>
    <xf numFmtId="0" fontId="22" fillId="0" borderId="40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2" fillId="0" borderId="47" xfId="0" applyFont="1" applyBorder="1" applyAlignment="1">
      <alignment horizontal="center" vertical="center" shrinkToFit="1"/>
    </xf>
    <xf numFmtId="176" fontId="8" fillId="0" borderId="40" xfId="0" applyNumberFormat="1" applyFont="1" applyBorder="1" applyAlignment="1">
      <alignment horizontal="center" vertical="center" wrapText="1"/>
    </xf>
    <xf numFmtId="176" fontId="8" fillId="0" borderId="4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19" fillId="0" borderId="38" xfId="0" applyFont="1" applyBorder="1" applyAlignment="1">
      <alignment horizontal="left" vertical="center" wrapText="1"/>
    </xf>
    <xf numFmtId="176" fontId="19" fillId="0" borderId="20" xfId="0" applyNumberFormat="1" applyFont="1" applyBorder="1" applyAlignment="1">
      <alignment horizontal="center" vertical="center" wrapText="1"/>
    </xf>
    <xf numFmtId="176" fontId="10" fillId="12" borderId="40" xfId="0" applyNumberFormat="1" applyFont="1" applyFill="1" applyBorder="1" applyAlignment="1">
      <alignment horizontal="center" vertical="center" wrapText="1"/>
    </xf>
    <xf numFmtId="176" fontId="10" fillId="12" borderId="1" xfId="0" applyNumberFormat="1" applyFont="1" applyFill="1" applyBorder="1" applyAlignment="1">
      <alignment horizontal="center" vertical="center" wrapText="1"/>
    </xf>
    <xf numFmtId="176" fontId="10" fillId="12" borderId="41" xfId="0" applyNumberFormat="1" applyFont="1" applyFill="1" applyBorder="1" applyAlignment="1">
      <alignment horizontal="center" vertical="center" wrapText="1"/>
    </xf>
    <xf numFmtId="176" fontId="20" fillId="0" borderId="14" xfId="0" applyNumberFormat="1" applyFont="1" applyBorder="1" applyAlignment="1">
      <alignment horizontal="center" vertical="center" wrapText="1"/>
    </xf>
    <xf numFmtId="176" fontId="21" fillId="0" borderId="42" xfId="0" applyNumberFormat="1" applyFont="1" applyBorder="1" applyAlignment="1">
      <alignment horizontal="center" vertical="center" shrinkToFit="1"/>
    </xf>
    <xf numFmtId="176" fontId="21" fillId="0" borderId="43" xfId="0" applyNumberFormat="1" applyFont="1" applyBorder="1" applyAlignment="1">
      <alignment horizontal="center" vertical="center" shrinkToFit="1"/>
    </xf>
    <xf numFmtId="176" fontId="21" fillId="0" borderId="11" xfId="0" applyNumberFormat="1" applyFont="1" applyBorder="1" applyAlignment="1">
      <alignment horizontal="center" vertical="center" shrinkToFit="1"/>
    </xf>
    <xf numFmtId="176" fontId="10" fillId="0" borderId="37" xfId="0" applyNumberFormat="1" applyFont="1" applyBorder="1" applyAlignment="1">
      <alignment horizontal="center" vertical="center" wrapText="1"/>
    </xf>
    <xf numFmtId="176" fontId="10" fillId="0" borderId="39" xfId="0" applyNumberFormat="1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shrinkToFit="1"/>
    </xf>
    <xf numFmtId="0" fontId="22" fillId="0" borderId="45" xfId="0" applyFont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 shrinkToFit="1"/>
    </xf>
    <xf numFmtId="176" fontId="8" fillId="0" borderId="44" xfId="0" applyNumberFormat="1" applyFont="1" applyBorder="1" applyAlignment="1">
      <alignment horizontal="center" vertical="center" wrapText="1"/>
    </xf>
    <xf numFmtId="176" fontId="8" fillId="0" borderId="46" xfId="0" applyNumberFormat="1" applyFont="1" applyBorder="1" applyAlignment="1">
      <alignment horizontal="center" vertical="center" wrapText="1"/>
    </xf>
    <xf numFmtId="176" fontId="11" fillId="0" borderId="7" xfId="0" applyNumberFormat="1" applyFont="1" applyBorder="1" applyAlignment="1">
      <alignment horizontal="center" vertical="center" wrapText="1"/>
    </xf>
    <xf numFmtId="176" fontId="11" fillId="0" borderId="18" xfId="0" applyNumberFormat="1" applyFont="1" applyBorder="1" applyAlignment="1">
      <alignment horizontal="center" vertical="center" wrapText="1"/>
    </xf>
    <xf numFmtId="176" fontId="11" fillId="0" borderId="14" xfId="0" applyNumberFormat="1" applyFont="1" applyBorder="1" applyAlignment="1">
      <alignment horizontal="center" vertical="center" wrapText="1"/>
    </xf>
    <xf numFmtId="176" fontId="8" fillId="3" borderId="8" xfId="0" applyNumberFormat="1" applyFont="1" applyFill="1" applyBorder="1" applyAlignment="1">
      <alignment horizontal="center" vertical="center" wrapText="1"/>
    </xf>
    <xf numFmtId="176" fontId="8" fillId="3" borderId="15" xfId="0" applyNumberFormat="1" applyFont="1" applyFill="1" applyBorder="1" applyAlignment="1">
      <alignment horizontal="center" vertical="center" wrapText="1"/>
    </xf>
    <xf numFmtId="176" fontId="8" fillId="3" borderId="25" xfId="0" applyNumberFormat="1" applyFont="1" applyFill="1" applyBorder="1" applyAlignment="1">
      <alignment horizontal="center" vertical="center" wrapText="1"/>
    </xf>
    <xf numFmtId="176" fontId="8" fillId="3" borderId="16" xfId="0" applyNumberFormat="1" applyFont="1" applyFill="1" applyBorder="1" applyAlignment="1">
      <alignment horizontal="center" vertical="center" wrapText="1"/>
    </xf>
    <xf numFmtId="0" fontId="11" fillId="10" borderId="18" xfId="0" applyFont="1" applyFill="1" applyBorder="1" applyAlignment="1">
      <alignment horizontal="center" vertical="center" wrapText="1"/>
    </xf>
    <xf numFmtId="176" fontId="11" fillId="8" borderId="22" xfId="0" applyNumberFormat="1" applyFont="1" applyFill="1" applyBorder="1" applyAlignment="1">
      <alignment horizontal="center" vertical="center" wrapText="1"/>
    </xf>
    <xf numFmtId="176" fontId="8" fillId="3" borderId="28" xfId="0" applyNumberFormat="1" applyFont="1" applyFill="1" applyBorder="1" applyAlignment="1">
      <alignment horizontal="center" vertical="center" wrapText="1"/>
    </xf>
    <xf numFmtId="176" fontId="11" fillId="0" borderId="33" xfId="0" applyNumberFormat="1" applyFont="1" applyBorder="1" applyAlignment="1">
      <alignment horizontal="center" vertical="center" wrapText="1"/>
    </xf>
    <xf numFmtId="176" fontId="12" fillId="0" borderId="10" xfId="0" applyNumberFormat="1" applyFont="1" applyBorder="1" applyAlignment="1">
      <alignment horizontal="center" vertical="center" wrapText="1"/>
    </xf>
    <xf numFmtId="176" fontId="12" fillId="0" borderId="20" xfId="0" applyNumberFormat="1" applyFont="1" applyBorder="1" applyAlignment="1">
      <alignment horizontal="center" vertical="center" wrapText="1"/>
    </xf>
    <xf numFmtId="176" fontId="12" fillId="0" borderId="34" xfId="0" applyNumberFormat="1" applyFont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176" fontId="11" fillId="0" borderId="12" xfId="0" applyNumberFormat="1" applyFont="1" applyBorder="1" applyAlignment="1">
      <alignment horizontal="center" vertical="center" wrapText="1"/>
    </xf>
    <xf numFmtId="176" fontId="8" fillId="0" borderId="20" xfId="0" applyNumberFormat="1" applyFont="1" applyBorder="1" applyAlignment="1">
      <alignment horizontal="center" vertical="center" wrapText="1"/>
    </xf>
    <xf numFmtId="176" fontId="11" fillId="6" borderId="7" xfId="0" applyNumberFormat="1" applyFont="1" applyFill="1" applyBorder="1" applyAlignment="1">
      <alignment horizontal="center" vertical="center" wrapText="1"/>
    </xf>
    <xf numFmtId="176" fontId="11" fillId="6" borderId="14" xfId="0" applyNumberFormat="1" applyFont="1" applyFill="1" applyBorder="1" applyAlignment="1">
      <alignment horizontal="center" vertical="center" wrapText="1"/>
    </xf>
    <xf numFmtId="176" fontId="11" fillId="6" borderId="18" xfId="0" applyNumberFormat="1" applyFont="1" applyFill="1" applyBorder="1" applyAlignment="1">
      <alignment horizontal="center" vertical="center" wrapText="1"/>
    </xf>
    <xf numFmtId="0" fontId="11" fillId="10" borderId="14" xfId="0" applyFont="1" applyFill="1" applyBorder="1" applyAlignment="1">
      <alignment horizontal="center" vertical="center" wrapText="1"/>
    </xf>
    <xf numFmtId="176" fontId="11" fillId="8" borderId="20" xfId="0" applyNumberFormat="1" applyFont="1" applyFill="1" applyBorder="1" applyAlignment="1">
      <alignment horizontal="center" vertical="center" wrapText="1"/>
    </xf>
    <xf numFmtId="176" fontId="11" fillId="8" borderId="19" xfId="0" applyNumberFormat="1" applyFont="1" applyFill="1" applyBorder="1" applyAlignment="1">
      <alignment horizontal="center" vertical="center" wrapText="1"/>
    </xf>
    <xf numFmtId="176" fontId="11" fillId="3" borderId="21" xfId="0" applyNumberFormat="1" applyFont="1" applyFill="1" applyBorder="1" applyAlignment="1">
      <alignment horizontal="center" vertical="center" wrapText="1" shrinkToFit="1"/>
    </xf>
    <xf numFmtId="176" fontId="11" fillId="3" borderId="21" xfId="0" applyNumberFormat="1" applyFont="1" applyFill="1" applyBorder="1" applyAlignment="1">
      <alignment horizontal="center" vertical="center" shrinkToFit="1"/>
    </xf>
    <xf numFmtId="176" fontId="11" fillId="3" borderId="22" xfId="0" applyNumberFormat="1" applyFont="1" applyFill="1" applyBorder="1" applyAlignment="1">
      <alignment horizontal="center" vertical="center" wrapText="1" shrinkToFit="1"/>
    </xf>
    <xf numFmtId="176" fontId="11" fillId="3" borderId="22" xfId="0" applyNumberFormat="1" applyFont="1" applyFill="1" applyBorder="1" applyAlignment="1">
      <alignment horizontal="center" vertical="center" shrinkToFit="1"/>
    </xf>
    <xf numFmtId="176" fontId="11" fillId="0" borderId="11" xfId="0" applyNumberFormat="1" applyFont="1" applyBorder="1" applyAlignment="1">
      <alignment horizontal="center" vertical="center" wrapText="1"/>
    </xf>
    <xf numFmtId="176" fontId="11" fillId="0" borderId="27" xfId="0" applyNumberFormat="1" applyFont="1" applyBorder="1" applyAlignment="1">
      <alignment horizontal="center" vertical="center" wrapText="1"/>
    </xf>
    <xf numFmtId="176" fontId="12" fillId="0" borderId="19" xfId="0" applyNumberFormat="1" applyFont="1" applyBorder="1" applyAlignment="1">
      <alignment horizontal="center" vertical="center" wrapText="1"/>
    </xf>
    <xf numFmtId="176" fontId="11" fillId="0" borderId="21" xfId="0" applyNumberFormat="1" applyFont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176" fontId="8" fillId="3" borderId="3" xfId="0" applyNumberFormat="1" applyFont="1" applyFill="1" applyBorder="1" applyAlignment="1">
      <alignment horizontal="center" vertical="center" wrapText="1"/>
    </xf>
    <xf numFmtId="176" fontId="12" fillId="0" borderId="13" xfId="0" applyNumberFormat="1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8" fillId="2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176" fontId="9" fillId="2" borderId="3" xfId="0" applyNumberFormat="1" applyFont="1" applyFill="1" applyBorder="1" applyAlignment="1">
      <alignment horizontal="center" vertical="center" wrapText="1"/>
    </xf>
    <xf numFmtId="176" fontId="9" fillId="2" borderId="8" xfId="0" applyNumberFormat="1" applyFont="1" applyFill="1" applyBorder="1" applyAlignment="1">
      <alignment horizontal="center" vertical="center" wrapText="1"/>
    </xf>
    <xf numFmtId="176" fontId="10" fillId="2" borderId="3" xfId="0" applyNumberFormat="1" applyFont="1" applyFill="1" applyBorder="1" applyAlignment="1">
      <alignment horizontal="center" vertical="center" wrapText="1"/>
    </xf>
    <xf numFmtId="176" fontId="10" fillId="2" borderId="8" xfId="0" applyNumberFormat="1" applyFont="1" applyFill="1" applyBorder="1" applyAlignment="1">
      <alignment horizontal="center" vertical="center" wrapText="1"/>
    </xf>
    <xf numFmtId="176" fontId="10" fillId="2" borderId="4" xfId="0" applyNumberFormat="1" applyFont="1" applyFill="1" applyBorder="1" applyAlignment="1">
      <alignment horizontal="center" vertical="center" wrapText="1"/>
    </xf>
    <xf numFmtId="176" fontId="10" fillId="2" borderId="9" xfId="0" applyNumberFormat="1" applyFont="1" applyFill="1" applyBorder="1" applyAlignment="1">
      <alignment horizontal="center" vertical="center" wrapText="1"/>
    </xf>
    <xf numFmtId="176" fontId="10" fillId="2" borderId="2" xfId="0" applyNumberFormat="1" applyFont="1" applyFill="1" applyBorder="1" applyAlignment="1">
      <alignment horizontal="center" vertical="center" wrapText="1"/>
    </xf>
    <xf numFmtId="176" fontId="10" fillId="2" borderId="5" xfId="0" applyNumberFormat="1" applyFont="1" applyFill="1" applyBorder="1" applyAlignment="1">
      <alignment horizontal="center" vertical="center" wrapText="1"/>
    </xf>
    <xf numFmtId="176" fontId="10" fillId="2" borderId="6" xfId="0" applyNumberFormat="1" applyFont="1" applyFill="1" applyBorder="1" applyAlignment="1">
      <alignment horizontal="center" vertical="center" wrapText="1"/>
    </xf>
    <xf numFmtId="176" fontId="10" fillId="2" borderId="11" xfId="0" applyNumberFormat="1" applyFont="1" applyFill="1" applyBorder="1" applyAlignment="1">
      <alignment horizontal="center" vertical="center" wrapText="1"/>
    </xf>
    <xf numFmtId="176" fontId="9" fillId="2" borderId="5" xfId="0" applyNumberFormat="1" applyFont="1" applyFill="1" applyBorder="1" applyAlignment="1">
      <alignment horizontal="center" vertical="center" wrapText="1"/>
    </xf>
    <xf numFmtId="176" fontId="9" fillId="2" borderId="10" xfId="0" applyNumberFormat="1" applyFont="1" applyFill="1" applyBorder="1" applyAlignment="1">
      <alignment horizontal="center" vertical="center" wrapText="1"/>
    </xf>
    <xf numFmtId="176" fontId="10" fillId="12" borderId="23" xfId="0" applyNumberFormat="1" applyFont="1" applyFill="1" applyBorder="1" applyAlignment="1">
      <alignment horizontal="center" vertical="center" wrapText="1"/>
    </xf>
    <xf numFmtId="176" fontId="10" fillId="12" borderId="0" xfId="0" applyNumberFormat="1" applyFont="1" applyFill="1" applyBorder="1" applyAlignment="1">
      <alignment horizontal="center" vertical="center" wrapText="1"/>
    </xf>
    <xf numFmtId="176" fontId="11" fillId="0" borderId="73" xfId="0" applyNumberFormat="1" applyFont="1" applyBorder="1" applyAlignment="1">
      <alignment horizontal="center" vertical="center" wrapText="1"/>
    </xf>
    <xf numFmtId="176" fontId="8" fillId="3" borderId="58" xfId="0" applyNumberFormat="1" applyFont="1" applyFill="1" applyBorder="1" applyAlignment="1">
      <alignment horizontal="center" vertical="center" wrapText="1"/>
    </xf>
    <xf numFmtId="176" fontId="8" fillId="3" borderId="60" xfId="0" applyNumberFormat="1" applyFont="1" applyFill="1" applyBorder="1" applyAlignment="1">
      <alignment horizontal="center" vertical="center" wrapText="1"/>
    </xf>
    <xf numFmtId="176" fontId="8" fillId="3" borderId="56" xfId="0" applyNumberFormat="1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176" fontId="8" fillId="3" borderId="50" xfId="0" applyNumberFormat="1" applyFont="1" applyFill="1" applyBorder="1" applyAlignment="1">
      <alignment horizontal="center" vertical="center" wrapText="1"/>
    </xf>
    <xf numFmtId="0" fontId="11" fillId="10" borderId="57" xfId="0" applyFont="1" applyFill="1" applyBorder="1" applyAlignment="1">
      <alignment horizontal="center" vertical="center" wrapText="1"/>
    </xf>
    <xf numFmtId="0" fontId="11" fillId="10" borderId="59" xfId="0" applyFont="1" applyFill="1" applyBorder="1" applyAlignment="1">
      <alignment horizontal="center" vertical="center" wrapText="1"/>
    </xf>
    <xf numFmtId="0" fontId="11" fillId="10" borderId="61" xfId="0" applyFont="1" applyFill="1" applyBorder="1" applyAlignment="1">
      <alignment horizontal="center" vertical="center" wrapText="1"/>
    </xf>
    <xf numFmtId="176" fontId="8" fillId="3" borderId="65" xfId="0" applyNumberFormat="1" applyFont="1" applyFill="1" applyBorder="1" applyAlignment="1">
      <alignment horizontal="center" vertical="center" shrinkToFit="1"/>
    </xf>
    <xf numFmtId="176" fontId="8" fillId="3" borderId="71" xfId="0" applyNumberFormat="1" applyFont="1" applyFill="1" applyBorder="1" applyAlignment="1">
      <alignment horizontal="center" vertical="center" shrinkToFit="1"/>
    </xf>
    <xf numFmtId="176" fontId="11" fillId="11" borderId="72" xfId="0" applyNumberFormat="1" applyFont="1" applyFill="1" applyBorder="1" applyAlignment="1">
      <alignment horizontal="center" vertical="center" wrapText="1"/>
    </xf>
    <xf numFmtId="176" fontId="11" fillId="11" borderId="75" xfId="0" applyNumberFormat="1" applyFont="1" applyFill="1" applyBorder="1" applyAlignment="1">
      <alignment horizontal="center" vertical="center" wrapText="1"/>
    </xf>
    <xf numFmtId="176" fontId="11" fillId="11" borderId="83" xfId="0" applyNumberFormat="1" applyFont="1" applyFill="1" applyBorder="1" applyAlignment="1">
      <alignment horizontal="center" vertical="center" wrapText="1"/>
    </xf>
    <xf numFmtId="176" fontId="8" fillId="3" borderId="74" xfId="0" applyNumberFormat="1" applyFont="1" applyFill="1" applyBorder="1" applyAlignment="1">
      <alignment horizontal="center" vertical="center" shrinkToFit="1"/>
    </xf>
    <xf numFmtId="176" fontId="8" fillId="3" borderId="76" xfId="0" applyNumberFormat="1" applyFont="1" applyFill="1" applyBorder="1" applyAlignment="1">
      <alignment horizontal="center" vertical="center" shrinkToFit="1"/>
    </xf>
    <xf numFmtId="176" fontId="8" fillId="3" borderId="74" xfId="0" applyNumberFormat="1" applyFont="1" applyFill="1" applyBorder="1" applyAlignment="1">
      <alignment horizontal="center" vertical="center" wrapText="1"/>
    </xf>
    <xf numFmtId="176" fontId="8" fillId="3" borderId="71" xfId="0" applyNumberFormat="1" applyFont="1" applyFill="1" applyBorder="1" applyAlignment="1">
      <alignment horizontal="center" vertical="center" wrapText="1"/>
    </xf>
    <xf numFmtId="176" fontId="10" fillId="12" borderId="49" xfId="0" applyNumberFormat="1" applyFont="1" applyFill="1" applyBorder="1" applyAlignment="1">
      <alignment horizontal="center" vertical="center" wrapText="1"/>
    </xf>
    <xf numFmtId="176" fontId="11" fillId="8" borderId="10" xfId="0" applyNumberFormat="1" applyFont="1" applyFill="1" applyBorder="1" applyAlignment="1">
      <alignment horizontal="center" vertical="center" wrapText="1"/>
    </xf>
    <xf numFmtId="176" fontId="11" fillId="11" borderId="8" xfId="0" applyNumberFormat="1" applyFont="1" applyFill="1" applyBorder="1" applyAlignment="1">
      <alignment horizontal="center" vertical="center" wrapText="1"/>
    </xf>
    <xf numFmtId="176" fontId="11" fillId="11" borderId="25" xfId="0" applyNumberFormat="1" applyFont="1" applyFill="1" applyBorder="1" applyAlignment="1">
      <alignment horizontal="center" vertical="center" wrapText="1"/>
    </xf>
    <xf numFmtId="176" fontId="11" fillId="11" borderId="15" xfId="0" applyNumberFormat="1" applyFont="1" applyFill="1" applyBorder="1" applyAlignment="1">
      <alignment horizontal="center" vertical="center" wrapText="1"/>
    </xf>
    <xf numFmtId="176" fontId="11" fillId="3" borderId="18" xfId="0" applyNumberFormat="1" applyFont="1" applyFill="1" applyBorder="1" applyAlignment="1">
      <alignment horizontal="center" vertical="center" wrapText="1" shrinkToFit="1"/>
    </xf>
    <xf numFmtId="176" fontId="11" fillId="3" borderId="19" xfId="0" applyNumberFormat="1" applyFont="1" applyFill="1" applyBorder="1" applyAlignment="1">
      <alignment horizontal="center" vertical="center" wrapText="1" shrinkToFit="1"/>
    </xf>
    <xf numFmtId="176" fontId="11" fillId="3" borderId="7" xfId="0" applyNumberFormat="1" applyFont="1" applyFill="1" applyBorder="1" applyAlignment="1">
      <alignment horizontal="center" vertical="center" shrinkToFit="1"/>
    </xf>
    <xf numFmtId="176" fontId="11" fillId="3" borderId="10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wrapText="1"/>
    </xf>
    <xf numFmtId="176" fontId="10" fillId="3" borderId="3" xfId="0" applyNumberFormat="1" applyFont="1" applyFill="1" applyBorder="1" applyAlignment="1">
      <alignment horizontal="center" vertical="center" wrapText="1"/>
    </xf>
    <xf numFmtId="176" fontId="11" fillId="4" borderId="3" xfId="0" applyNumberFormat="1" applyFont="1" applyFill="1" applyBorder="1" applyAlignment="1">
      <alignment horizontal="left" vertical="center" wrapText="1"/>
    </xf>
    <xf numFmtId="176" fontId="11" fillId="0" borderId="13" xfId="0" applyNumberFormat="1" applyFont="1" applyBorder="1" applyAlignment="1">
      <alignment horizontal="center" vertical="center" wrapText="1"/>
    </xf>
    <xf numFmtId="0" fontId="10" fillId="3" borderId="14" xfId="0" applyFont="1" applyFill="1" applyBorder="1" applyAlignment="1">
      <alignment horizontal="center" vertical="center" wrapText="1"/>
    </xf>
    <xf numFmtId="176" fontId="10" fillId="3" borderId="15" xfId="0" applyNumberFormat="1" applyFont="1" applyFill="1" applyBorder="1" applyAlignment="1">
      <alignment horizontal="center" vertical="center" wrapText="1"/>
    </xf>
    <xf numFmtId="176" fontId="11" fillId="4" borderId="16" xfId="0" applyNumberFormat="1" applyFont="1" applyFill="1" applyBorder="1" applyAlignment="1">
      <alignment horizontal="left" vertical="center" wrapText="1"/>
    </xf>
    <xf numFmtId="176" fontId="11" fillId="0" borderId="20" xfId="0" applyNumberFormat="1" applyFont="1" applyBorder="1" applyAlignment="1">
      <alignment horizontal="center" vertical="center" wrapText="1"/>
    </xf>
    <xf numFmtId="176" fontId="10" fillId="3" borderId="16" xfId="0" applyNumberFormat="1" applyFont="1" applyFill="1" applyBorder="1" applyAlignment="1">
      <alignment horizontal="center" vertical="center" wrapText="1"/>
    </xf>
    <xf numFmtId="176" fontId="11" fillId="0" borderId="10" xfId="0" applyNumberFormat="1" applyFont="1" applyBorder="1" applyAlignment="1">
      <alignment horizontal="center" vertical="center" wrapText="1"/>
    </xf>
    <xf numFmtId="176" fontId="10" fillId="3" borderId="8" xfId="0" applyNumberFormat="1" applyFont="1" applyFill="1" applyBorder="1" applyAlignment="1">
      <alignment horizontal="center" vertical="center" wrapText="1"/>
    </xf>
    <xf numFmtId="176" fontId="11" fillId="4" borderId="8" xfId="0" applyNumberFormat="1" applyFont="1" applyFill="1" applyBorder="1" applyAlignment="1">
      <alignment horizontal="left" vertical="center" wrapText="1"/>
    </xf>
    <xf numFmtId="0" fontId="10" fillId="3" borderId="23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176" fontId="10" fillId="3" borderId="25" xfId="0" applyNumberFormat="1" applyFont="1" applyFill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76" fontId="11" fillId="0" borderId="16" xfId="0" applyNumberFormat="1" applyFont="1" applyBorder="1" applyAlignment="1">
      <alignment horizontal="left" vertical="center" wrapText="1"/>
    </xf>
    <xf numFmtId="176" fontId="11" fillId="5" borderId="15" xfId="0" applyNumberFormat="1" applyFont="1" applyFill="1" applyBorder="1" applyAlignment="1">
      <alignment horizontal="left" vertical="center" shrinkToFit="1"/>
    </xf>
    <xf numFmtId="176" fontId="11" fillId="5" borderId="16" xfId="0" applyNumberFormat="1" applyFont="1" applyFill="1" applyBorder="1" applyAlignment="1">
      <alignment horizontal="left" vertical="center" shrinkToFit="1"/>
    </xf>
    <xf numFmtId="176" fontId="11" fillId="0" borderId="8" xfId="0" applyNumberFormat="1" applyFont="1" applyBorder="1" applyAlignment="1">
      <alignment horizontal="left" vertical="center" shrinkToFit="1"/>
    </xf>
    <xf numFmtId="176" fontId="11" fillId="0" borderId="19" xfId="0" applyNumberFormat="1" applyFont="1" applyBorder="1" applyAlignment="1">
      <alignment horizontal="center" vertical="center" wrapText="1"/>
    </xf>
    <xf numFmtId="176" fontId="11" fillId="0" borderId="64" xfId="0" applyNumberFormat="1" applyFont="1" applyBorder="1" applyAlignment="1">
      <alignment horizontal="center" vertical="center" wrapText="1"/>
    </xf>
    <xf numFmtId="176" fontId="11" fillId="0" borderId="49" xfId="0" applyNumberFormat="1" applyFont="1" applyBorder="1" applyAlignment="1">
      <alignment horizontal="center" vertical="center" wrapText="1"/>
    </xf>
    <xf numFmtId="176" fontId="11" fillId="0" borderId="84" xfId="0" applyNumberFormat="1" applyFont="1" applyBorder="1" applyAlignment="1">
      <alignment horizontal="center" vertical="center" wrapText="1"/>
    </xf>
    <xf numFmtId="176" fontId="11" fillId="0" borderId="15" xfId="0" applyNumberFormat="1" applyFont="1" applyBorder="1" applyAlignment="1">
      <alignment horizontal="left" vertical="center" shrinkToFit="1"/>
    </xf>
    <xf numFmtId="0" fontId="11" fillId="0" borderId="0" xfId="1" applyFont="1" applyBorder="1">
      <alignment vertical="center"/>
    </xf>
    <xf numFmtId="176" fontId="10" fillId="3" borderId="25" xfId="0" applyNumberFormat="1" applyFont="1" applyFill="1" applyBorder="1" applyAlignment="1">
      <alignment horizontal="center" vertical="center" wrapText="1"/>
    </xf>
    <xf numFmtId="176" fontId="11" fillId="4" borderId="15" xfId="0" applyNumberFormat="1" applyFont="1" applyFill="1" applyBorder="1" applyAlignment="1">
      <alignment horizontal="left" vertical="center" wrapText="1" shrinkToFit="1"/>
    </xf>
    <xf numFmtId="176" fontId="10" fillId="0" borderId="20" xfId="0" applyNumberFormat="1" applyFont="1" applyBorder="1" applyAlignment="1">
      <alignment horizontal="center" vertical="center" wrapText="1"/>
    </xf>
    <xf numFmtId="176" fontId="10" fillId="3" borderId="8" xfId="0" applyNumberFormat="1" applyFont="1" applyFill="1" applyBorder="1" applyAlignment="1">
      <alignment horizontal="center" vertical="center" wrapText="1"/>
    </xf>
    <xf numFmtId="176" fontId="11" fillId="4" borderId="25" xfId="0" applyNumberFormat="1" applyFont="1" applyFill="1" applyBorder="1" applyAlignment="1">
      <alignment horizontal="left" vertical="center" wrapText="1" shrinkToFit="1"/>
    </xf>
    <xf numFmtId="176" fontId="11" fillId="0" borderId="16" xfId="0" applyNumberFormat="1" applyFont="1" applyBorder="1" applyAlignment="1">
      <alignment horizontal="left" vertical="center" wrapText="1" shrinkToFit="1"/>
    </xf>
    <xf numFmtId="176" fontId="10" fillId="3" borderId="15" xfId="0" applyNumberFormat="1" applyFont="1" applyFill="1" applyBorder="1" applyAlignment="1">
      <alignment horizontal="center" vertical="center" wrapText="1"/>
    </xf>
    <xf numFmtId="176" fontId="11" fillId="0" borderId="15" xfId="0" applyNumberFormat="1" applyFont="1" applyBorder="1" applyAlignment="1">
      <alignment horizontal="left" vertical="center" wrapText="1"/>
    </xf>
    <xf numFmtId="176" fontId="10" fillId="3" borderId="16" xfId="0" applyNumberFormat="1" applyFont="1" applyFill="1" applyBorder="1" applyAlignment="1">
      <alignment horizontal="center" vertical="center" wrapText="1"/>
    </xf>
    <xf numFmtId="176" fontId="11" fillId="0" borderId="8" xfId="0" applyNumberFormat="1" applyFont="1" applyBorder="1" applyAlignment="1">
      <alignment horizontal="left" vertical="center" wrapText="1"/>
    </xf>
    <xf numFmtId="176" fontId="10" fillId="0" borderId="49" xfId="0" applyNumberFormat="1" applyFont="1" applyBorder="1" applyAlignment="1">
      <alignment horizontal="center" vertical="center" wrapText="1"/>
    </xf>
    <xf numFmtId="176" fontId="11" fillId="9" borderId="16" xfId="0" applyNumberFormat="1" applyFont="1" applyFill="1" applyBorder="1" applyAlignment="1">
      <alignment horizontal="left" vertical="center" wrapText="1"/>
    </xf>
    <xf numFmtId="176" fontId="11" fillId="0" borderId="25" xfId="0" applyNumberFormat="1" applyFont="1" applyBorder="1" applyAlignment="1">
      <alignment horizontal="left" vertical="center" wrapText="1"/>
    </xf>
    <xf numFmtId="176" fontId="11" fillId="9" borderId="8" xfId="0" applyNumberFormat="1" applyFont="1" applyFill="1" applyBorder="1" applyAlignment="1">
      <alignment horizontal="left" vertical="center" wrapText="1"/>
    </xf>
    <xf numFmtId="0" fontId="11" fillId="0" borderId="16" xfId="0" applyFont="1" applyBorder="1" applyAlignment="1">
      <alignment horizontal="left" vertical="center" wrapText="1" shrinkToFit="1"/>
    </xf>
    <xf numFmtId="176" fontId="10" fillId="3" borderId="15" xfId="0" applyNumberFormat="1" applyFont="1" applyFill="1" applyBorder="1" applyAlignment="1">
      <alignment vertical="center" wrapText="1"/>
    </xf>
    <xf numFmtId="176" fontId="10" fillId="3" borderId="25" xfId="0" applyNumberFormat="1" applyFont="1" applyFill="1" applyBorder="1" applyAlignment="1">
      <alignment horizontal="center" vertical="center" shrinkToFit="1"/>
    </xf>
    <xf numFmtId="176" fontId="11" fillId="11" borderId="16" xfId="0" applyNumberFormat="1" applyFont="1" applyFill="1" applyBorder="1" applyAlignment="1">
      <alignment horizontal="center" vertical="center" wrapText="1"/>
    </xf>
    <xf numFmtId="176" fontId="10" fillId="3" borderId="15" xfId="0" applyNumberFormat="1" applyFont="1" applyFill="1" applyBorder="1" applyAlignment="1">
      <alignment horizontal="center" vertical="center" shrinkToFit="1"/>
    </xf>
    <xf numFmtId="176" fontId="10" fillId="3" borderId="8" xfId="0" applyNumberFormat="1" applyFont="1" applyFill="1" applyBorder="1" applyAlignment="1">
      <alignment horizontal="center" vertical="center" shrinkToFit="1"/>
    </xf>
    <xf numFmtId="176" fontId="10" fillId="3" borderId="8" xfId="0" applyNumberFormat="1" applyFont="1" applyFill="1" applyBorder="1" applyAlignment="1">
      <alignment horizontal="center" vertical="center" shrinkToFit="1"/>
    </xf>
    <xf numFmtId="176" fontId="10" fillId="0" borderId="20" xfId="0" applyNumberFormat="1" applyFont="1" applyBorder="1" applyAlignment="1">
      <alignment horizontal="center" vertical="center" wrapText="1"/>
    </xf>
    <xf numFmtId="176" fontId="20" fillId="0" borderId="20" xfId="0" applyNumberFormat="1" applyFont="1" applyBorder="1" applyAlignment="1">
      <alignment horizontal="center" vertical="center" wrapText="1"/>
    </xf>
    <xf numFmtId="0" fontId="10" fillId="3" borderId="40" xfId="0" applyFont="1" applyFill="1" applyBorder="1" applyAlignment="1">
      <alignment horizontal="center" vertical="center" wrapText="1"/>
    </xf>
    <xf numFmtId="176" fontId="10" fillId="3" borderId="29" xfId="0" applyNumberFormat="1" applyFont="1" applyFill="1" applyBorder="1" applyAlignment="1">
      <alignment horizontal="center" vertical="center" wrapText="1"/>
    </xf>
    <xf numFmtId="176" fontId="11" fillId="0" borderId="29" xfId="0" applyNumberFormat="1" applyFont="1" applyBorder="1" applyAlignment="1">
      <alignment horizontal="left" vertical="center" wrapText="1"/>
    </xf>
    <xf numFmtId="176" fontId="10" fillId="0" borderId="12" xfId="0" applyNumberFormat="1" applyFont="1" applyBorder="1" applyAlignment="1">
      <alignment horizontal="center" vertical="center" wrapText="1"/>
    </xf>
    <xf numFmtId="176" fontId="10" fillId="0" borderId="15" xfId="0" applyNumberFormat="1" applyFont="1" applyBorder="1" applyAlignment="1">
      <alignment horizontal="center" vertical="center" wrapText="1"/>
    </xf>
    <xf numFmtId="176" fontId="10" fillId="0" borderId="14" xfId="0" applyNumberFormat="1" applyFont="1" applyBorder="1" applyAlignment="1">
      <alignment horizontal="center" vertical="center" wrapText="1"/>
    </xf>
    <xf numFmtId="176" fontId="10" fillId="0" borderId="25" xfId="0" applyNumberFormat="1" applyFont="1" applyBorder="1" applyAlignment="1">
      <alignment horizontal="center" vertical="center" wrapText="1"/>
    </xf>
    <xf numFmtId="176" fontId="11" fillId="0" borderId="25" xfId="0" applyNumberFormat="1" applyFont="1" applyBorder="1" applyAlignment="1">
      <alignment vertical="center" wrapText="1" shrinkToFit="1"/>
    </xf>
    <xf numFmtId="176" fontId="11" fillId="0" borderId="20" xfId="0" applyNumberFormat="1" applyFont="1" applyBorder="1" applyAlignment="1">
      <alignment horizontal="center" vertical="center" wrapText="1"/>
    </xf>
    <xf numFmtId="176" fontId="10" fillId="0" borderId="16" xfId="0" applyNumberFormat="1" applyFont="1" applyBorder="1" applyAlignment="1">
      <alignment horizontal="center" vertical="center" wrapText="1"/>
    </xf>
    <xf numFmtId="176" fontId="11" fillId="0" borderId="16" xfId="0" applyNumberFormat="1" applyFont="1" applyBorder="1" applyAlignment="1">
      <alignment vertical="center" wrapText="1" shrinkToFit="1"/>
    </xf>
    <xf numFmtId="176" fontId="10" fillId="0" borderId="8" xfId="0" applyNumberFormat="1" applyFont="1" applyBorder="1" applyAlignment="1">
      <alignment horizontal="center" vertical="center" wrapText="1"/>
    </xf>
    <xf numFmtId="176" fontId="32" fillId="0" borderId="42" xfId="0" applyNumberFormat="1" applyFont="1" applyBorder="1" applyAlignment="1">
      <alignment horizontal="center" vertical="center" shrinkToFit="1"/>
    </xf>
    <xf numFmtId="176" fontId="32" fillId="0" borderId="43" xfId="0" applyNumberFormat="1" applyFont="1" applyBorder="1" applyAlignment="1">
      <alignment horizontal="center" vertical="center" shrinkToFit="1"/>
    </xf>
    <xf numFmtId="176" fontId="32" fillId="0" borderId="11" xfId="0" applyNumberFormat="1" applyFont="1" applyBorder="1" applyAlignment="1">
      <alignment horizontal="center" vertical="center" shrinkToFit="1"/>
    </xf>
    <xf numFmtId="176" fontId="10" fillId="0" borderId="3" xfId="0" applyNumberFormat="1" applyFont="1" applyBorder="1" applyAlignment="1">
      <alignment horizontal="center" vertical="center" wrapText="1"/>
    </xf>
    <xf numFmtId="176" fontId="10" fillId="0" borderId="4" xfId="0" applyNumberFormat="1" applyFont="1" applyBorder="1" applyAlignment="1">
      <alignment horizontal="center" vertical="center" wrapText="1"/>
    </xf>
    <xf numFmtId="176" fontId="10" fillId="0" borderId="2" xfId="0" applyNumberFormat="1" applyFont="1" applyBorder="1" applyAlignment="1">
      <alignment horizontal="center" vertical="center" wrapText="1"/>
    </xf>
    <xf numFmtId="176" fontId="11" fillId="0" borderId="6" xfId="0" applyNumberFormat="1" applyFont="1" applyBorder="1" applyAlignment="1">
      <alignment horizontal="center" vertical="center" wrapText="1"/>
    </xf>
    <xf numFmtId="0" fontId="32" fillId="0" borderId="44" xfId="0" applyFont="1" applyBorder="1" applyAlignment="1">
      <alignment horizontal="center" vertical="center" shrinkToFit="1"/>
    </xf>
    <xf numFmtId="0" fontId="32" fillId="0" borderId="45" xfId="0" applyFont="1" applyBorder="1" applyAlignment="1">
      <alignment horizontal="center" vertical="center" shrinkToFit="1"/>
    </xf>
    <xf numFmtId="0" fontId="32" fillId="0" borderId="24" xfId="0" applyFont="1" applyBorder="1" applyAlignment="1">
      <alignment horizontal="center" vertical="center" shrinkToFit="1"/>
    </xf>
    <xf numFmtId="176" fontId="10" fillId="0" borderId="24" xfId="0" applyNumberFormat="1" applyFont="1" applyBorder="1" applyAlignment="1">
      <alignment horizontal="center" vertical="center" wrapText="1"/>
    </xf>
    <xf numFmtId="176" fontId="10" fillId="0" borderId="17" xfId="0" applyNumberFormat="1" applyFont="1" applyBorder="1" applyAlignment="1">
      <alignment horizontal="center" vertical="center" wrapText="1"/>
    </xf>
    <xf numFmtId="176" fontId="10" fillId="0" borderId="21" xfId="0" applyNumberFormat="1" applyFont="1" applyBorder="1" applyAlignment="1">
      <alignment horizontal="center" vertical="center" wrapText="1"/>
    </xf>
    <xf numFmtId="176" fontId="10" fillId="0" borderId="22" xfId="0" applyNumberFormat="1" applyFont="1" applyBorder="1" applyAlignment="1">
      <alignment horizontal="center" vertical="center" wrapText="1"/>
    </xf>
    <xf numFmtId="176" fontId="10" fillId="0" borderId="44" xfId="0" applyNumberFormat="1" applyFont="1" applyBorder="1" applyAlignment="1">
      <alignment horizontal="center" vertical="center" wrapText="1"/>
    </xf>
    <xf numFmtId="176" fontId="10" fillId="0" borderId="46" xfId="0" applyNumberFormat="1" applyFont="1" applyBorder="1" applyAlignment="1">
      <alignment horizontal="center" vertical="center" wrapText="1"/>
    </xf>
    <xf numFmtId="0" fontId="32" fillId="0" borderId="40" xfId="0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 shrinkToFit="1"/>
    </xf>
    <xf numFmtId="0" fontId="32" fillId="0" borderId="47" xfId="0" applyFont="1" applyBorder="1" applyAlignment="1">
      <alignment horizontal="center" vertical="center" shrinkToFit="1"/>
    </xf>
    <xf numFmtId="176" fontId="10" fillId="0" borderId="48" xfId="0" applyNumberFormat="1" applyFont="1" applyBorder="1" applyAlignment="1">
      <alignment horizontal="center" vertical="center" wrapText="1"/>
    </xf>
    <xf numFmtId="176" fontId="10" fillId="0" borderId="29" xfId="0" applyNumberFormat="1" applyFont="1" applyBorder="1" applyAlignment="1">
      <alignment horizontal="center" vertical="center" wrapText="1"/>
    </xf>
    <xf numFmtId="176" fontId="10" fillId="0" borderId="30" xfId="0" applyNumberFormat="1" applyFont="1" applyBorder="1" applyAlignment="1">
      <alignment horizontal="center" vertical="center" wrapText="1"/>
    </xf>
    <xf numFmtId="176" fontId="10" fillId="0" borderId="31" xfId="0" applyNumberFormat="1" applyFont="1" applyBorder="1" applyAlignment="1">
      <alignment horizontal="center" vertical="center" wrapText="1"/>
    </xf>
    <xf numFmtId="176" fontId="10" fillId="0" borderId="32" xfId="0" applyNumberFormat="1" applyFont="1" applyBorder="1" applyAlignment="1">
      <alignment horizontal="center" vertical="center" wrapText="1"/>
    </xf>
    <xf numFmtId="176" fontId="10" fillId="0" borderId="40" xfId="0" applyNumberFormat="1" applyFont="1" applyBorder="1" applyAlignment="1">
      <alignment horizontal="center" vertical="center" wrapText="1"/>
    </xf>
    <xf numFmtId="176" fontId="10" fillId="0" borderId="41" xfId="0" applyNumberFormat="1" applyFont="1" applyBorder="1" applyAlignment="1">
      <alignment horizontal="center" vertical="center" wrapText="1"/>
    </xf>
  </cellXfs>
  <cellStyles count="2">
    <cellStyle name="표준" xfId="0" builtinId="0"/>
    <cellStyle name="표준 3 2 2" xfId="1" xr:uid="{9308242D-3B33-4438-B6FE-3D374471BD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68C2-2513-4BC8-9956-FE08510F1997}">
  <sheetPr>
    <tabColor rgb="FFFFC000"/>
    <pageSetUpPr fitToPage="1"/>
  </sheetPr>
  <dimension ref="A1:R99"/>
  <sheetViews>
    <sheetView zoomScaleNormal="100" zoomScaleSheetLayoutView="100" workbookViewId="0">
      <pane xSplit="1" ySplit="4" topLeftCell="B50" activePane="bottomRight" state="frozen"/>
      <selection activeCell="R81" sqref="R81"/>
      <selection pane="topRight" activeCell="R81" sqref="R81"/>
      <selection pane="bottomLeft" activeCell="R81" sqref="R81"/>
      <selection pane="bottomRight" activeCell="P73" sqref="P73"/>
    </sheetView>
  </sheetViews>
  <sheetFormatPr defaultColWidth="9" defaultRowHeight="13.8" x14ac:dyDescent="0.4"/>
  <cols>
    <col min="1" max="1" width="8.796875" style="132" customWidth="1"/>
    <col min="2" max="2" width="14.3984375" style="135" bestFit="1" customWidth="1"/>
    <col min="3" max="3" width="9.3984375" style="133" customWidth="1"/>
    <col min="4" max="4" width="49.09765625" style="135" customWidth="1"/>
    <col min="5" max="6" width="4.3984375" style="133" customWidth="1"/>
    <col min="7" max="8" width="5.19921875" style="133" customWidth="1"/>
    <col min="9" max="10" width="5.19921875" style="134" customWidth="1"/>
    <col min="11" max="12" width="5.19921875" style="133" customWidth="1"/>
    <col min="13" max="13" width="4.3984375" style="134" customWidth="1"/>
    <col min="14" max="14" width="5.5" style="135" customWidth="1"/>
    <col min="15" max="15" width="4.8984375" style="1" customWidth="1"/>
    <col min="16" max="16" width="15.19921875" style="1" customWidth="1"/>
    <col min="17" max="16384" width="9" style="1"/>
  </cols>
  <sheetData>
    <row r="1" spans="1:14" ht="31.95" customHeight="1" x14ac:dyDescent="0.4">
      <c r="A1" s="288" t="s">
        <v>123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</row>
    <row r="2" spans="1:14" ht="22.2" customHeight="1" thickBot="1" x14ac:dyDescent="0.45">
      <c r="A2" s="289" t="s">
        <v>0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</row>
    <row r="3" spans="1:14" ht="19.95" customHeight="1" x14ac:dyDescent="0.4">
      <c r="A3" s="291" t="s">
        <v>1</v>
      </c>
      <c r="B3" s="293" t="s">
        <v>2</v>
      </c>
      <c r="C3" s="293" t="s">
        <v>3</v>
      </c>
      <c r="D3" s="293"/>
      <c r="E3" s="295" t="s">
        <v>4</v>
      </c>
      <c r="F3" s="297" t="s">
        <v>5</v>
      </c>
      <c r="G3" s="299" t="s">
        <v>6</v>
      </c>
      <c r="H3" s="300"/>
      <c r="I3" s="299" t="s">
        <v>7</v>
      </c>
      <c r="J3" s="300"/>
      <c r="K3" s="299" t="s">
        <v>8</v>
      </c>
      <c r="L3" s="300"/>
      <c r="M3" s="301" t="s">
        <v>9</v>
      </c>
      <c r="N3" s="303" t="s">
        <v>10</v>
      </c>
    </row>
    <row r="4" spans="1:14" ht="19.95" customHeight="1" thickBot="1" x14ac:dyDescent="0.45">
      <c r="A4" s="292"/>
      <c r="B4" s="294"/>
      <c r="C4" s="294"/>
      <c r="D4" s="294"/>
      <c r="E4" s="296"/>
      <c r="F4" s="298"/>
      <c r="G4" s="2" t="s">
        <v>11</v>
      </c>
      <c r="H4" s="3" t="s">
        <v>12</v>
      </c>
      <c r="I4" s="2" t="s">
        <v>11</v>
      </c>
      <c r="J4" s="3" t="s">
        <v>12</v>
      </c>
      <c r="K4" s="2" t="s">
        <v>11</v>
      </c>
      <c r="L4" s="3" t="s">
        <v>12</v>
      </c>
      <c r="M4" s="302"/>
      <c r="N4" s="304"/>
    </row>
    <row r="5" spans="1:14" ht="19.8" customHeight="1" x14ac:dyDescent="0.4">
      <c r="A5" s="265" t="s">
        <v>13</v>
      </c>
      <c r="B5" s="284" t="s">
        <v>14</v>
      </c>
      <c r="C5" s="4" t="s">
        <v>15</v>
      </c>
      <c r="D5" s="5" t="s">
        <v>16</v>
      </c>
      <c r="E5" s="6">
        <v>4</v>
      </c>
      <c r="F5" s="7">
        <v>4</v>
      </c>
      <c r="G5" s="8">
        <v>4</v>
      </c>
      <c r="H5" s="9"/>
      <c r="I5" s="10"/>
      <c r="J5" s="11"/>
      <c r="K5" s="10"/>
      <c r="L5" s="11"/>
      <c r="M5" s="267">
        <v>12</v>
      </c>
      <c r="N5" s="285">
        <v>8</v>
      </c>
    </row>
    <row r="6" spans="1:14" ht="19.8" customHeight="1" x14ac:dyDescent="0.4">
      <c r="A6" s="266"/>
      <c r="B6" s="255"/>
      <c r="C6" s="12" t="s">
        <v>15</v>
      </c>
      <c r="D6" s="13" t="s">
        <v>137</v>
      </c>
      <c r="E6" s="14">
        <v>4</v>
      </c>
      <c r="F6" s="15">
        <v>4</v>
      </c>
      <c r="G6" s="145"/>
      <c r="H6" s="16">
        <v>4</v>
      </c>
      <c r="I6" s="17"/>
      <c r="J6" s="18"/>
      <c r="K6" s="17"/>
      <c r="L6" s="18"/>
      <c r="M6" s="253"/>
      <c r="N6" s="263"/>
    </row>
    <row r="7" spans="1:14" ht="19.8" customHeight="1" x14ac:dyDescent="0.4">
      <c r="A7" s="266"/>
      <c r="B7" s="255"/>
      <c r="C7" s="12" t="s">
        <v>33</v>
      </c>
      <c r="D7" s="13" t="s">
        <v>129</v>
      </c>
      <c r="E7" s="14">
        <v>4</v>
      </c>
      <c r="F7" s="15">
        <v>4</v>
      </c>
      <c r="G7" s="145"/>
      <c r="H7" s="16"/>
      <c r="I7" s="17"/>
      <c r="J7" s="18"/>
      <c r="K7" s="145">
        <v>4</v>
      </c>
      <c r="L7" s="18"/>
      <c r="M7" s="253"/>
      <c r="N7" s="263"/>
    </row>
    <row r="8" spans="1:14" ht="19.8" customHeight="1" x14ac:dyDescent="0.4">
      <c r="A8" s="266"/>
      <c r="B8" s="257" t="s">
        <v>17</v>
      </c>
      <c r="C8" s="12" t="s">
        <v>15</v>
      </c>
      <c r="D8" s="13" t="s">
        <v>18</v>
      </c>
      <c r="E8" s="14">
        <v>4</v>
      </c>
      <c r="F8" s="15">
        <v>4</v>
      </c>
      <c r="G8" s="156">
        <v>4</v>
      </c>
      <c r="H8" s="19"/>
      <c r="I8" s="20"/>
      <c r="J8" s="21"/>
      <c r="K8" s="20"/>
      <c r="L8" s="21"/>
      <c r="M8" s="251">
        <v>12</v>
      </c>
      <c r="N8" s="262">
        <v>8</v>
      </c>
    </row>
    <row r="9" spans="1:14" ht="19.8" customHeight="1" x14ac:dyDescent="0.4">
      <c r="A9" s="266"/>
      <c r="B9" s="257"/>
      <c r="C9" s="12" t="s">
        <v>15</v>
      </c>
      <c r="D9" s="13" t="s">
        <v>138</v>
      </c>
      <c r="E9" s="14">
        <v>4</v>
      </c>
      <c r="F9" s="15">
        <v>4</v>
      </c>
      <c r="G9" s="156"/>
      <c r="H9" s="19">
        <v>4</v>
      </c>
      <c r="I9" s="20"/>
      <c r="J9" s="21"/>
      <c r="K9" s="20"/>
      <c r="L9" s="21"/>
      <c r="M9" s="253"/>
      <c r="N9" s="263"/>
    </row>
    <row r="10" spans="1:14" ht="19.8" customHeight="1" x14ac:dyDescent="0.4">
      <c r="A10" s="266"/>
      <c r="B10" s="257"/>
      <c r="C10" s="12" t="s">
        <v>33</v>
      </c>
      <c r="D10" s="13" t="s">
        <v>89</v>
      </c>
      <c r="E10" s="14">
        <v>4</v>
      </c>
      <c r="F10" s="15">
        <v>4</v>
      </c>
      <c r="G10" s="156"/>
      <c r="H10" s="19"/>
      <c r="I10" s="20"/>
      <c r="J10" s="21"/>
      <c r="K10" s="156">
        <v>4</v>
      </c>
      <c r="L10" s="21"/>
      <c r="M10" s="253"/>
      <c r="N10" s="263"/>
    </row>
    <row r="11" spans="1:14" ht="19.8" customHeight="1" x14ac:dyDescent="0.4">
      <c r="A11" s="266"/>
      <c r="B11" s="257" t="s">
        <v>19</v>
      </c>
      <c r="C11" s="12" t="s">
        <v>15</v>
      </c>
      <c r="D11" s="13" t="s">
        <v>20</v>
      </c>
      <c r="E11" s="14">
        <v>4</v>
      </c>
      <c r="F11" s="15">
        <v>4</v>
      </c>
      <c r="G11" s="156">
        <v>4</v>
      </c>
      <c r="H11" s="19"/>
      <c r="I11" s="20"/>
      <c r="J11" s="21"/>
      <c r="K11" s="20"/>
      <c r="L11" s="21"/>
      <c r="M11" s="251">
        <v>8</v>
      </c>
      <c r="N11" s="262">
        <v>8</v>
      </c>
    </row>
    <row r="12" spans="1:14" ht="19.8" customHeight="1" x14ac:dyDescent="0.4">
      <c r="A12" s="266"/>
      <c r="B12" s="254"/>
      <c r="C12" s="22" t="s">
        <v>15</v>
      </c>
      <c r="D12" s="23" t="s">
        <v>21</v>
      </c>
      <c r="E12" s="24">
        <v>4</v>
      </c>
      <c r="F12" s="25">
        <v>4</v>
      </c>
      <c r="G12" s="156"/>
      <c r="H12" s="19">
        <v>4</v>
      </c>
      <c r="I12" s="20"/>
      <c r="J12" s="21"/>
      <c r="K12" s="20"/>
      <c r="L12" s="21"/>
      <c r="M12" s="253"/>
      <c r="N12" s="263"/>
    </row>
    <row r="13" spans="1:14" ht="19.8" customHeight="1" x14ac:dyDescent="0.4">
      <c r="A13" s="283"/>
      <c r="B13" s="254" t="s">
        <v>22</v>
      </c>
      <c r="C13" s="12" t="s">
        <v>15</v>
      </c>
      <c r="D13" s="13" t="s">
        <v>23</v>
      </c>
      <c r="E13" s="14">
        <v>4</v>
      </c>
      <c r="F13" s="26">
        <v>4</v>
      </c>
      <c r="G13" s="27">
        <v>4</v>
      </c>
      <c r="H13" s="19"/>
      <c r="I13" s="28"/>
      <c r="J13" s="29"/>
      <c r="K13" s="28"/>
      <c r="L13" s="29"/>
      <c r="M13" s="251">
        <v>8</v>
      </c>
      <c r="N13" s="286">
        <v>8</v>
      </c>
    </row>
    <row r="14" spans="1:14" ht="19.8" customHeight="1" x14ac:dyDescent="0.4">
      <c r="A14" s="283"/>
      <c r="B14" s="256"/>
      <c r="C14" s="12" t="s">
        <v>15</v>
      </c>
      <c r="D14" s="13" t="s">
        <v>24</v>
      </c>
      <c r="E14" s="14">
        <v>4</v>
      </c>
      <c r="F14" s="26">
        <v>4</v>
      </c>
      <c r="G14" s="27"/>
      <c r="H14" s="19">
        <v>4</v>
      </c>
      <c r="I14" s="28"/>
      <c r="J14" s="29"/>
      <c r="K14" s="28"/>
      <c r="L14" s="29"/>
      <c r="M14" s="252"/>
      <c r="N14" s="287"/>
    </row>
    <row r="15" spans="1:14" ht="19.8" customHeight="1" x14ac:dyDescent="0.4">
      <c r="A15" s="283"/>
      <c r="B15" s="256"/>
      <c r="C15" s="12" t="s">
        <v>15</v>
      </c>
      <c r="D15" s="30" t="s">
        <v>25</v>
      </c>
      <c r="E15" s="31">
        <v>3</v>
      </c>
      <c r="F15" s="32">
        <v>3</v>
      </c>
      <c r="G15" s="27">
        <v>3</v>
      </c>
      <c r="H15" s="19"/>
      <c r="I15" s="28"/>
      <c r="J15" s="29"/>
      <c r="K15" s="28"/>
      <c r="L15" s="29"/>
      <c r="M15" s="251">
        <v>6</v>
      </c>
      <c r="N15" s="286">
        <v>6</v>
      </c>
    </row>
    <row r="16" spans="1:14" ht="19.8" customHeight="1" x14ac:dyDescent="0.4">
      <c r="A16" s="283"/>
      <c r="B16" s="255"/>
      <c r="C16" s="12" t="s">
        <v>15</v>
      </c>
      <c r="D16" s="30" t="s">
        <v>26</v>
      </c>
      <c r="E16" s="31">
        <v>3</v>
      </c>
      <c r="F16" s="32">
        <v>3</v>
      </c>
      <c r="G16" s="27"/>
      <c r="H16" s="19">
        <v>3</v>
      </c>
      <c r="I16" s="28"/>
      <c r="J16" s="29"/>
      <c r="K16" s="28"/>
      <c r="L16" s="29"/>
      <c r="M16" s="252"/>
      <c r="N16" s="287"/>
    </row>
    <row r="17" spans="1:17" ht="19.8" customHeight="1" x14ac:dyDescent="0.4">
      <c r="A17" s="266"/>
      <c r="B17" s="256" t="s">
        <v>27</v>
      </c>
      <c r="C17" s="33" t="s">
        <v>15</v>
      </c>
      <c r="D17" s="34" t="s">
        <v>28</v>
      </c>
      <c r="E17" s="35">
        <v>4</v>
      </c>
      <c r="F17" s="36">
        <v>4</v>
      </c>
      <c r="G17" s="156">
        <v>4</v>
      </c>
      <c r="H17" s="19"/>
      <c r="I17" s="28"/>
      <c r="J17" s="29"/>
      <c r="K17" s="28"/>
      <c r="L17" s="29"/>
      <c r="M17" s="251">
        <v>10</v>
      </c>
      <c r="N17" s="262">
        <v>10</v>
      </c>
    </row>
    <row r="18" spans="1:17" ht="19.8" customHeight="1" x14ac:dyDescent="0.4">
      <c r="A18" s="266"/>
      <c r="B18" s="256"/>
      <c r="C18" s="12" t="s">
        <v>15</v>
      </c>
      <c r="D18" s="37" t="s">
        <v>29</v>
      </c>
      <c r="E18" s="38">
        <v>4</v>
      </c>
      <c r="F18" s="39">
        <v>4</v>
      </c>
      <c r="G18" s="156"/>
      <c r="H18" s="19">
        <v>4</v>
      </c>
      <c r="I18" s="28"/>
      <c r="J18" s="29"/>
      <c r="K18" s="28"/>
      <c r="L18" s="29"/>
      <c r="M18" s="253"/>
      <c r="N18" s="263"/>
    </row>
    <row r="19" spans="1:17" ht="19.8" customHeight="1" x14ac:dyDescent="0.4">
      <c r="A19" s="266"/>
      <c r="B19" s="256"/>
      <c r="C19" s="12" t="s">
        <v>15</v>
      </c>
      <c r="D19" s="40" t="s">
        <v>30</v>
      </c>
      <c r="E19" s="31">
        <v>1</v>
      </c>
      <c r="F19" s="41">
        <v>1</v>
      </c>
      <c r="G19" s="156">
        <v>1</v>
      </c>
      <c r="H19" s="19"/>
      <c r="I19" s="28"/>
      <c r="J19" s="29"/>
      <c r="K19" s="28"/>
      <c r="L19" s="29"/>
      <c r="M19" s="253"/>
      <c r="N19" s="263"/>
    </row>
    <row r="20" spans="1:17" ht="19.8" customHeight="1" x14ac:dyDescent="0.4">
      <c r="A20" s="266"/>
      <c r="B20" s="255"/>
      <c r="C20" s="12" t="s">
        <v>15</v>
      </c>
      <c r="D20" s="40" t="s">
        <v>31</v>
      </c>
      <c r="E20" s="31">
        <v>1</v>
      </c>
      <c r="F20" s="41">
        <v>1</v>
      </c>
      <c r="G20" s="156"/>
      <c r="H20" s="19">
        <v>1</v>
      </c>
      <c r="I20" s="28"/>
      <c r="J20" s="29"/>
      <c r="K20" s="28"/>
      <c r="L20" s="29"/>
      <c r="M20" s="252"/>
      <c r="N20" s="281"/>
      <c r="Q20" s="77"/>
    </row>
    <row r="21" spans="1:17" ht="19.8" customHeight="1" x14ac:dyDescent="0.4">
      <c r="A21" s="266"/>
      <c r="B21" s="254" t="s">
        <v>32</v>
      </c>
      <c r="C21" s="12" t="s">
        <v>33</v>
      </c>
      <c r="D21" s="40" t="s">
        <v>34</v>
      </c>
      <c r="E21" s="31">
        <v>3</v>
      </c>
      <c r="F21" s="41">
        <v>2</v>
      </c>
      <c r="G21" s="42">
        <v>2</v>
      </c>
      <c r="H21" s="43"/>
      <c r="I21" s="28"/>
      <c r="J21" s="29"/>
      <c r="K21" s="28"/>
      <c r="L21" s="29"/>
      <c r="M21" s="282">
        <v>4</v>
      </c>
      <c r="N21" s="262">
        <v>10</v>
      </c>
      <c r="Q21" s="77"/>
    </row>
    <row r="22" spans="1:17" ht="19.8" customHeight="1" x14ac:dyDescent="0.4">
      <c r="A22" s="266"/>
      <c r="B22" s="256"/>
      <c r="C22" s="12" t="s">
        <v>33</v>
      </c>
      <c r="D22" s="40" t="s">
        <v>35</v>
      </c>
      <c r="E22" s="44">
        <v>3</v>
      </c>
      <c r="F22" s="45">
        <v>2</v>
      </c>
      <c r="G22" s="156"/>
      <c r="H22" s="19">
        <v>2</v>
      </c>
      <c r="I22" s="20"/>
      <c r="J22" s="21"/>
      <c r="K22" s="20"/>
      <c r="L22" s="21"/>
      <c r="M22" s="282"/>
      <c r="N22" s="263"/>
      <c r="Q22" s="77"/>
    </row>
    <row r="23" spans="1:17" ht="19.8" customHeight="1" x14ac:dyDescent="0.4">
      <c r="A23" s="266"/>
      <c r="B23" s="256"/>
      <c r="C23" s="12" t="s">
        <v>36</v>
      </c>
      <c r="D23" s="46" t="s">
        <v>37</v>
      </c>
      <c r="E23" s="44">
        <v>2</v>
      </c>
      <c r="F23" s="45">
        <v>1</v>
      </c>
      <c r="G23" s="20"/>
      <c r="H23" s="21"/>
      <c r="I23" s="156">
        <v>1</v>
      </c>
      <c r="J23" s="19"/>
      <c r="K23" s="20"/>
      <c r="L23" s="21"/>
      <c r="M23" s="282">
        <v>3</v>
      </c>
      <c r="N23" s="263"/>
    </row>
    <row r="24" spans="1:17" ht="19.8" customHeight="1" x14ac:dyDescent="0.4">
      <c r="A24" s="266"/>
      <c r="B24" s="256"/>
      <c r="C24" s="12" t="s">
        <v>38</v>
      </c>
      <c r="D24" s="46" t="s">
        <v>39</v>
      </c>
      <c r="E24" s="44">
        <v>3</v>
      </c>
      <c r="F24" s="45">
        <v>2</v>
      </c>
      <c r="G24" s="20"/>
      <c r="H24" s="21"/>
      <c r="I24" s="156"/>
      <c r="J24" s="19">
        <v>2</v>
      </c>
      <c r="K24" s="20"/>
      <c r="L24" s="21"/>
      <c r="M24" s="282"/>
      <c r="N24" s="263"/>
    </row>
    <row r="25" spans="1:17" ht="19.8" customHeight="1" x14ac:dyDescent="0.4">
      <c r="A25" s="266"/>
      <c r="B25" s="256"/>
      <c r="C25" s="12" t="s">
        <v>36</v>
      </c>
      <c r="D25" s="46" t="s">
        <v>40</v>
      </c>
      <c r="E25" s="44">
        <v>3</v>
      </c>
      <c r="F25" s="45">
        <v>2</v>
      </c>
      <c r="G25" s="20"/>
      <c r="H25" s="21"/>
      <c r="I25" s="156"/>
      <c r="J25" s="19"/>
      <c r="K25" s="156">
        <v>2</v>
      </c>
      <c r="L25" s="19"/>
      <c r="M25" s="282">
        <v>3</v>
      </c>
      <c r="N25" s="263"/>
    </row>
    <row r="26" spans="1:17" ht="19.8" customHeight="1" x14ac:dyDescent="0.4">
      <c r="A26" s="266"/>
      <c r="B26" s="255"/>
      <c r="C26" s="12" t="s">
        <v>36</v>
      </c>
      <c r="D26" s="40" t="s">
        <v>41</v>
      </c>
      <c r="E26" s="44">
        <v>2</v>
      </c>
      <c r="F26" s="45">
        <v>1</v>
      </c>
      <c r="G26" s="20"/>
      <c r="H26" s="21"/>
      <c r="I26" s="20"/>
      <c r="J26" s="21"/>
      <c r="K26" s="156"/>
      <c r="L26" s="19">
        <v>1</v>
      </c>
      <c r="M26" s="282"/>
      <c r="N26" s="281"/>
    </row>
    <row r="27" spans="1:17" ht="19.8" customHeight="1" x14ac:dyDescent="0.4">
      <c r="A27" s="266"/>
      <c r="B27" s="254" t="s">
        <v>42</v>
      </c>
      <c r="C27" s="12" t="s">
        <v>43</v>
      </c>
      <c r="D27" s="40" t="s">
        <v>44</v>
      </c>
      <c r="E27" s="31">
        <v>3</v>
      </c>
      <c r="F27" s="41">
        <v>2</v>
      </c>
      <c r="G27" s="275" t="s">
        <v>45</v>
      </c>
      <c r="H27" s="277" t="s">
        <v>45</v>
      </c>
      <c r="I27" s="47"/>
      <c r="J27" s="48"/>
      <c r="K27" s="49"/>
      <c r="L27" s="50"/>
      <c r="M27" s="279">
        <v>4</v>
      </c>
      <c r="N27" s="262">
        <v>10</v>
      </c>
    </row>
    <row r="28" spans="1:17" ht="19.8" customHeight="1" x14ac:dyDescent="0.4">
      <c r="A28" s="266"/>
      <c r="B28" s="256"/>
      <c r="C28" s="12" t="s">
        <v>43</v>
      </c>
      <c r="D28" s="40" t="s">
        <v>46</v>
      </c>
      <c r="E28" s="31">
        <v>3</v>
      </c>
      <c r="F28" s="41">
        <v>2</v>
      </c>
      <c r="G28" s="276"/>
      <c r="H28" s="278"/>
      <c r="I28" s="47"/>
      <c r="J28" s="48"/>
      <c r="K28" s="49"/>
      <c r="L28" s="50"/>
      <c r="M28" s="280"/>
      <c r="N28" s="263"/>
    </row>
    <row r="29" spans="1:17" ht="19.8" customHeight="1" x14ac:dyDescent="0.4">
      <c r="A29" s="266"/>
      <c r="B29" s="256"/>
      <c r="C29" s="12" t="s">
        <v>47</v>
      </c>
      <c r="D29" s="40" t="s">
        <v>48</v>
      </c>
      <c r="E29" s="31">
        <v>3</v>
      </c>
      <c r="F29" s="41">
        <v>2</v>
      </c>
      <c r="G29" s="51"/>
      <c r="H29" s="52"/>
      <c r="I29" s="275" t="s">
        <v>45</v>
      </c>
      <c r="J29" s="277" t="s">
        <v>45</v>
      </c>
      <c r="K29" s="49"/>
      <c r="L29" s="50"/>
      <c r="M29" s="279">
        <v>4</v>
      </c>
      <c r="N29" s="263"/>
    </row>
    <row r="30" spans="1:17" ht="19.8" customHeight="1" x14ac:dyDescent="0.4">
      <c r="A30" s="266"/>
      <c r="B30" s="256"/>
      <c r="C30" s="12" t="s">
        <v>47</v>
      </c>
      <c r="D30" s="40" t="s">
        <v>49</v>
      </c>
      <c r="E30" s="31">
        <v>3</v>
      </c>
      <c r="F30" s="41">
        <v>2</v>
      </c>
      <c r="G30" s="51"/>
      <c r="H30" s="52"/>
      <c r="I30" s="276"/>
      <c r="J30" s="278"/>
      <c r="K30" s="49"/>
      <c r="L30" s="50"/>
      <c r="M30" s="280"/>
      <c r="N30" s="263"/>
      <c r="P30" s="53"/>
    </row>
    <row r="31" spans="1:17" ht="19.8" customHeight="1" x14ac:dyDescent="0.4">
      <c r="A31" s="266"/>
      <c r="B31" s="254" t="s">
        <v>50</v>
      </c>
      <c r="C31" s="12" t="s">
        <v>33</v>
      </c>
      <c r="D31" s="40" t="s">
        <v>51</v>
      </c>
      <c r="E31" s="31">
        <v>3</v>
      </c>
      <c r="F31" s="41">
        <v>2</v>
      </c>
      <c r="G31" s="54">
        <v>2</v>
      </c>
      <c r="H31" s="55"/>
      <c r="I31" s="56"/>
      <c r="J31" s="57"/>
      <c r="K31" s="58"/>
      <c r="L31" s="50"/>
      <c r="M31" s="251">
        <v>6</v>
      </c>
      <c r="N31" s="262">
        <v>16</v>
      </c>
      <c r="P31" s="53"/>
    </row>
    <row r="32" spans="1:17" ht="19.8" customHeight="1" x14ac:dyDescent="0.4">
      <c r="A32" s="266"/>
      <c r="B32" s="256"/>
      <c r="C32" s="12" t="s">
        <v>36</v>
      </c>
      <c r="D32" s="59" t="s">
        <v>52</v>
      </c>
      <c r="E32" s="31">
        <v>3</v>
      </c>
      <c r="F32" s="41">
        <v>2</v>
      </c>
      <c r="G32" s="54"/>
      <c r="H32" s="55">
        <v>2</v>
      </c>
      <c r="I32" s="56"/>
      <c r="J32" s="57"/>
      <c r="K32" s="58"/>
      <c r="L32" s="50"/>
      <c r="M32" s="253"/>
      <c r="N32" s="263"/>
      <c r="P32" s="53"/>
    </row>
    <row r="33" spans="1:16" ht="19.8" customHeight="1" x14ac:dyDescent="0.4">
      <c r="A33" s="266"/>
      <c r="B33" s="256"/>
      <c r="C33" s="22" t="s">
        <v>33</v>
      </c>
      <c r="D33" s="60" t="s">
        <v>53</v>
      </c>
      <c r="E33" s="31">
        <v>3</v>
      </c>
      <c r="F33" s="41">
        <v>2</v>
      </c>
      <c r="G33" s="54"/>
      <c r="H33" s="55"/>
      <c r="I33" s="61"/>
      <c r="J33" s="62"/>
      <c r="K33" s="63">
        <v>2</v>
      </c>
      <c r="L33" s="64"/>
      <c r="M33" s="253"/>
      <c r="N33" s="263"/>
      <c r="P33" s="53"/>
    </row>
    <row r="34" spans="1:16" ht="19.8" customHeight="1" thickBot="1" x14ac:dyDescent="0.45">
      <c r="A34" s="266"/>
      <c r="B34" s="260"/>
      <c r="C34" s="65" t="s">
        <v>47</v>
      </c>
      <c r="D34" s="143" t="s">
        <v>54</v>
      </c>
      <c r="E34" s="66">
        <v>3</v>
      </c>
      <c r="F34" s="67">
        <v>2</v>
      </c>
      <c r="G34" s="68"/>
      <c r="H34" s="69"/>
      <c r="I34" s="70"/>
      <c r="J34" s="71"/>
      <c r="K34" s="68"/>
      <c r="L34" s="69"/>
      <c r="M34" s="261"/>
      <c r="N34" s="264"/>
    </row>
    <row r="35" spans="1:16" ht="20.399999999999999" customHeight="1" x14ac:dyDescent="0.4">
      <c r="A35" s="265" t="s">
        <v>55</v>
      </c>
      <c r="B35" s="158" t="s">
        <v>56</v>
      </c>
      <c r="C35" s="33" t="s">
        <v>33</v>
      </c>
      <c r="D35" s="72" t="s">
        <v>57</v>
      </c>
      <c r="E35" s="73">
        <v>4</v>
      </c>
      <c r="F35" s="74">
        <v>4</v>
      </c>
      <c r="G35" s="75"/>
      <c r="H35" s="76"/>
      <c r="I35" s="154" t="s">
        <v>58</v>
      </c>
      <c r="J35" s="76"/>
      <c r="K35" s="75"/>
      <c r="L35" s="76"/>
      <c r="M35" s="267">
        <v>24</v>
      </c>
      <c r="N35" s="268"/>
      <c r="P35" s="77"/>
    </row>
    <row r="36" spans="1:16" ht="20.399999999999999" customHeight="1" x14ac:dyDescent="0.4">
      <c r="A36" s="266"/>
      <c r="B36" s="146" t="s">
        <v>59</v>
      </c>
      <c r="C36" s="33" t="s">
        <v>43</v>
      </c>
      <c r="D36" s="72" t="s">
        <v>60</v>
      </c>
      <c r="E36" s="73">
        <v>4</v>
      </c>
      <c r="F36" s="74">
        <v>4</v>
      </c>
      <c r="G36" s="75"/>
      <c r="H36" s="76"/>
      <c r="I36" s="269" t="s">
        <v>61</v>
      </c>
      <c r="J36" s="76"/>
      <c r="K36" s="75"/>
      <c r="L36" s="76"/>
      <c r="M36" s="253"/>
      <c r="N36" s="268"/>
      <c r="P36" s="77"/>
    </row>
    <row r="37" spans="1:16" ht="20.399999999999999" customHeight="1" x14ac:dyDescent="0.4">
      <c r="A37" s="266"/>
      <c r="B37" s="146" t="s">
        <v>62</v>
      </c>
      <c r="C37" s="78" t="s">
        <v>43</v>
      </c>
      <c r="D37" s="79" t="s">
        <v>63</v>
      </c>
      <c r="E37" s="80">
        <v>4</v>
      </c>
      <c r="F37" s="81">
        <v>4</v>
      </c>
      <c r="G37" s="75"/>
      <c r="H37" s="76"/>
      <c r="I37" s="270"/>
      <c r="J37" s="76"/>
      <c r="K37" s="75"/>
      <c r="L37" s="76"/>
      <c r="M37" s="253"/>
      <c r="N37" s="268"/>
      <c r="P37" s="77"/>
    </row>
    <row r="38" spans="1:16" ht="20.399999999999999" customHeight="1" x14ac:dyDescent="0.4">
      <c r="A38" s="266"/>
      <c r="B38" s="254" t="s">
        <v>64</v>
      </c>
      <c r="C38" s="12" t="s">
        <v>43</v>
      </c>
      <c r="D38" s="82" t="s">
        <v>65</v>
      </c>
      <c r="E38" s="31">
        <v>4</v>
      </c>
      <c r="F38" s="32">
        <v>4</v>
      </c>
      <c r="G38" s="83"/>
      <c r="H38" s="76"/>
      <c r="I38" s="270"/>
      <c r="J38" s="76"/>
      <c r="K38" s="75"/>
      <c r="L38" s="76"/>
      <c r="M38" s="253"/>
      <c r="N38" s="268"/>
      <c r="P38" s="77"/>
    </row>
    <row r="39" spans="1:16" ht="20.399999999999999" customHeight="1" x14ac:dyDescent="0.4">
      <c r="A39" s="266"/>
      <c r="B39" s="255"/>
      <c r="C39" s="33" t="s">
        <v>47</v>
      </c>
      <c r="D39" s="84" t="s">
        <v>66</v>
      </c>
      <c r="E39" s="73">
        <v>4</v>
      </c>
      <c r="F39" s="85">
        <v>4</v>
      </c>
      <c r="G39" s="83"/>
      <c r="H39" s="76"/>
      <c r="I39" s="270"/>
      <c r="J39" s="76"/>
      <c r="K39" s="75"/>
      <c r="L39" s="76"/>
      <c r="M39" s="253"/>
      <c r="N39" s="268"/>
    </row>
    <row r="40" spans="1:16" ht="20.399999999999999" customHeight="1" x14ac:dyDescent="0.4">
      <c r="A40" s="266"/>
      <c r="B40" s="147" t="s">
        <v>27</v>
      </c>
      <c r="C40" s="33" t="s">
        <v>33</v>
      </c>
      <c r="D40" s="86" t="s">
        <v>67</v>
      </c>
      <c r="E40" s="73">
        <v>4</v>
      </c>
      <c r="F40" s="74">
        <v>4</v>
      </c>
      <c r="G40" s="87"/>
      <c r="H40" s="88"/>
      <c r="I40" s="270"/>
      <c r="J40" s="88"/>
      <c r="K40" s="87"/>
      <c r="L40" s="88"/>
      <c r="M40" s="253"/>
      <c r="N40" s="268"/>
    </row>
    <row r="41" spans="1:16" ht="20.399999999999999" customHeight="1" x14ac:dyDescent="0.4">
      <c r="A41" s="266"/>
      <c r="B41" s="147" t="s">
        <v>14</v>
      </c>
      <c r="C41" s="12" t="s">
        <v>38</v>
      </c>
      <c r="D41" s="30" t="s">
        <v>68</v>
      </c>
      <c r="E41" s="31">
        <v>4</v>
      </c>
      <c r="F41" s="41">
        <v>4</v>
      </c>
      <c r="G41" s="87"/>
      <c r="H41" s="88"/>
      <c r="I41" s="270"/>
      <c r="J41" s="88"/>
      <c r="K41" s="87"/>
      <c r="L41" s="88"/>
      <c r="M41" s="253"/>
      <c r="N41" s="268"/>
    </row>
    <row r="42" spans="1:16" ht="20.399999999999999" customHeight="1" x14ac:dyDescent="0.4">
      <c r="A42" s="266"/>
      <c r="B42" s="147" t="s">
        <v>17</v>
      </c>
      <c r="C42" s="12" t="s">
        <v>36</v>
      </c>
      <c r="D42" s="30" t="s">
        <v>69</v>
      </c>
      <c r="E42" s="31">
        <v>4</v>
      </c>
      <c r="F42" s="41">
        <v>4</v>
      </c>
      <c r="G42" s="87"/>
      <c r="H42" s="88"/>
      <c r="I42" s="270"/>
      <c r="J42" s="88"/>
      <c r="K42" s="87"/>
      <c r="L42" s="88"/>
      <c r="M42" s="253"/>
      <c r="N42" s="268"/>
    </row>
    <row r="43" spans="1:16" ht="20.399999999999999" customHeight="1" x14ac:dyDescent="0.4">
      <c r="A43" s="266"/>
      <c r="B43" s="147" t="s">
        <v>19</v>
      </c>
      <c r="C43" s="12" t="s">
        <v>36</v>
      </c>
      <c r="D43" s="30" t="s">
        <v>70</v>
      </c>
      <c r="E43" s="31">
        <v>4</v>
      </c>
      <c r="F43" s="41">
        <v>4</v>
      </c>
      <c r="G43" s="87"/>
      <c r="H43" s="88"/>
      <c r="I43" s="271"/>
      <c r="J43" s="88"/>
      <c r="K43" s="87"/>
      <c r="L43" s="88"/>
      <c r="M43" s="252"/>
      <c r="N43" s="268"/>
    </row>
    <row r="44" spans="1:16" ht="20.399999999999999" customHeight="1" x14ac:dyDescent="0.4">
      <c r="A44" s="266"/>
      <c r="B44" s="149" t="s">
        <v>71</v>
      </c>
      <c r="C44" s="12" t="s">
        <v>33</v>
      </c>
      <c r="D44" s="30" t="s">
        <v>72</v>
      </c>
      <c r="E44" s="31">
        <v>4</v>
      </c>
      <c r="F44" s="41">
        <v>3</v>
      </c>
      <c r="G44" s="87"/>
      <c r="H44" s="88"/>
      <c r="I44" s="153" t="s">
        <v>73</v>
      </c>
      <c r="J44" s="88"/>
      <c r="K44" s="87"/>
      <c r="L44" s="88"/>
      <c r="M44" s="251">
        <v>3</v>
      </c>
      <c r="N44" s="268"/>
    </row>
    <row r="45" spans="1:16" ht="19.8" customHeight="1" x14ac:dyDescent="0.4">
      <c r="A45" s="266"/>
      <c r="B45" s="146" t="s">
        <v>74</v>
      </c>
      <c r="C45" s="12" t="s">
        <v>47</v>
      </c>
      <c r="D45" s="30" t="s">
        <v>113</v>
      </c>
      <c r="E45" s="31">
        <v>4</v>
      </c>
      <c r="F45" s="41">
        <v>3</v>
      </c>
      <c r="G45" s="87"/>
      <c r="H45" s="88"/>
      <c r="I45" s="89">
        <v>3</v>
      </c>
      <c r="J45" s="88"/>
      <c r="K45" s="87"/>
      <c r="L45" s="88"/>
      <c r="M45" s="253"/>
      <c r="N45" s="268"/>
    </row>
    <row r="46" spans="1:16" ht="19.8" customHeight="1" x14ac:dyDescent="0.4">
      <c r="A46" s="266"/>
      <c r="B46" s="146" t="s">
        <v>56</v>
      </c>
      <c r="C46" s="12" t="s">
        <v>33</v>
      </c>
      <c r="D46" s="13" t="s">
        <v>75</v>
      </c>
      <c r="E46" s="31">
        <v>4</v>
      </c>
      <c r="F46" s="41">
        <v>4</v>
      </c>
      <c r="G46" s="87"/>
      <c r="H46" s="88"/>
      <c r="I46" s="42"/>
      <c r="J46" s="90" t="s">
        <v>76</v>
      </c>
      <c r="K46" s="87"/>
      <c r="L46" s="88"/>
      <c r="M46" s="251">
        <v>20</v>
      </c>
      <c r="N46" s="268"/>
    </row>
    <row r="47" spans="1:16" ht="19.8" customHeight="1" x14ac:dyDescent="0.4">
      <c r="A47" s="266"/>
      <c r="B47" s="146" t="s">
        <v>59</v>
      </c>
      <c r="C47" s="12" t="s">
        <v>33</v>
      </c>
      <c r="D47" s="13" t="s">
        <v>77</v>
      </c>
      <c r="E47" s="31">
        <v>4</v>
      </c>
      <c r="F47" s="41">
        <v>4</v>
      </c>
      <c r="G47" s="87"/>
      <c r="H47" s="88"/>
      <c r="I47" s="42"/>
      <c r="J47" s="273" t="s">
        <v>78</v>
      </c>
      <c r="K47" s="87"/>
      <c r="L47" s="88"/>
      <c r="M47" s="253"/>
      <c r="N47" s="268"/>
    </row>
    <row r="48" spans="1:16" ht="19.8" customHeight="1" x14ac:dyDescent="0.4">
      <c r="A48" s="266"/>
      <c r="B48" s="146" t="s">
        <v>62</v>
      </c>
      <c r="C48" s="22" t="s">
        <v>33</v>
      </c>
      <c r="D48" s="23" t="s">
        <v>79</v>
      </c>
      <c r="E48" s="91">
        <v>4</v>
      </c>
      <c r="F48" s="92">
        <v>4</v>
      </c>
      <c r="G48" s="87"/>
      <c r="H48" s="88"/>
      <c r="I48" s="42"/>
      <c r="J48" s="273"/>
      <c r="K48" s="87"/>
      <c r="L48" s="88"/>
      <c r="M48" s="253"/>
      <c r="N48" s="268"/>
    </row>
    <row r="49" spans="1:18" ht="19.8" customHeight="1" x14ac:dyDescent="0.4">
      <c r="A49" s="266"/>
      <c r="B49" s="254" t="s">
        <v>64</v>
      </c>
      <c r="C49" s="12" t="s">
        <v>43</v>
      </c>
      <c r="D49" s="82" t="s">
        <v>80</v>
      </c>
      <c r="E49" s="31">
        <v>4</v>
      </c>
      <c r="F49" s="32">
        <v>4</v>
      </c>
      <c r="G49" s="93"/>
      <c r="H49" s="88"/>
      <c r="I49" s="87"/>
      <c r="J49" s="273"/>
      <c r="K49" s="87"/>
      <c r="L49" s="88"/>
      <c r="M49" s="253"/>
      <c r="N49" s="268"/>
    </row>
    <row r="50" spans="1:18" ht="19.8" customHeight="1" x14ac:dyDescent="0.4">
      <c r="A50" s="266"/>
      <c r="B50" s="255"/>
      <c r="C50" s="12" t="s">
        <v>47</v>
      </c>
      <c r="D50" s="82" t="s">
        <v>81</v>
      </c>
      <c r="E50" s="31">
        <v>4</v>
      </c>
      <c r="F50" s="32">
        <v>4</v>
      </c>
      <c r="G50" s="93"/>
      <c r="H50" s="88"/>
      <c r="I50" s="87"/>
      <c r="J50" s="273"/>
      <c r="K50" s="87"/>
      <c r="L50" s="88"/>
      <c r="M50" s="253"/>
      <c r="N50" s="268"/>
    </row>
    <row r="51" spans="1:18" ht="23.4" customHeight="1" x14ac:dyDescent="0.4">
      <c r="A51" s="266"/>
      <c r="B51" s="147" t="s">
        <v>27</v>
      </c>
      <c r="C51" s="33" t="s">
        <v>47</v>
      </c>
      <c r="D51" s="94" t="s">
        <v>82</v>
      </c>
      <c r="E51" s="73">
        <v>4</v>
      </c>
      <c r="F51" s="74">
        <v>4</v>
      </c>
      <c r="G51" s="87"/>
      <c r="H51" s="88"/>
      <c r="I51" s="87"/>
      <c r="J51" s="274"/>
      <c r="K51" s="87"/>
      <c r="L51" s="88"/>
      <c r="M51" s="252"/>
      <c r="N51" s="268"/>
    </row>
    <row r="52" spans="1:18" ht="21" customHeight="1" x14ac:dyDescent="0.4">
      <c r="A52" s="266"/>
      <c r="B52" s="148" t="s">
        <v>14</v>
      </c>
      <c r="C52" s="12" t="s">
        <v>83</v>
      </c>
      <c r="D52" s="30" t="s">
        <v>84</v>
      </c>
      <c r="E52" s="31">
        <v>4</v>
      </c>
      <c r="F52" s="41">
        <v>3</v>
      </c>
      <c r="G52" s="87"/>
      <c r="H52" s="88"/>
      <c r="I52" s="87"/>
      <c r="J52" s="155" t="s">
        <v>73</v>
      </c>
      <c r="K52" s="87"/>
      <c r="L52" s="88"/>
      <c r="M52" s="251">
        <v>3</v>
      </c>
      <c r="N52" s="268"/>
    </row>
    <row r="53" spans="1:18" ht="19.8" customHeight="1" x14ac:dyDescent="0.4">
      <c r="A53" s="266"/>
      <c r="B53" s="149" t="s">
        <v>17</v>
      </c>
      <c r="C53" s="12" t="s">
        <v>36</v>
      </c>
      <c r="D53" s="95" t="s">
        <v>85</v>
      </c>
      <c r="E53" s="31">
        <v>4</v>
      </c>
      <c r="F53" s="41">
        <v>3</v>
      </c>
      <c r="G53" s="87"/>
      <c r="H53" s="88"/>
      <c r="I53" s="87"/>
      <c r="J53" s="259">
        <v>3</v>
      </c>
      <c r="K53" s="93"/>
      <c r="L53" s="88"/>
      <c r="M53" s="253"/>
      <c r="N53" s="268"/>
    </row>
    <row r="54" spans="1:18" ht="19.8" customHeight="1" x14ac:dyDescent="0.4">
      <c r="A54" s="266"/>
      <c r="B54" s="148" t="s">
        <v>19</v>
      </c>
      <c r="C54" s="12" t="s">
        <v>33</v>
      </c>
      <c r="D54" s="30" t="s">
        <v>115</v>
      </c>
      <c r="E54" s="31">
        <v>4</v>
      </c>
      <c r="F54" s="41">
        <v>3</v>
      </c>
      <c r="G54" s="87"/>
      <c r="H54" s="88"/>
      <c r="I54" s="87"/>
      <c r="J54" s="259"/>
      <c r="K54" s="93"/>
      <c r="L54" s="88"/>
      <c r="M54" s="252"/>
      <c r="N54" s="268"/>
    </row>
    <row r="55" spans="1:18" ht="19.8" customHeight="1" x14ac:dyDescent="0.4">
      <c r="A55" s="266"/>
      <c r="B55" s="146" t="s">
        <v>71</v>
      </c>
      <c r="C55" s="12" t="s">
        <v>47</v>
      </c>
      <c r="D55" s="30" t="s">
        <v>86</v>
      </c>
      <c r="E55" s="31">
        <v>4</v>
      </c>
      <c r="F55" s="41">
        <v>3</v>
      </c>
      <c r="G55" s="87"/>
      <c r="H55" s="88"/>
      <c r="I55" s="87"/>
      <c r="J55" s="155" t="s">
        <v>73</v>
      </c>
      <c r="K55" s="87"/>
      <c r="L55" s="88"/>
      <c r="M55" s="251">
        <v>3</v>
      </c>
      <c r="N55" s="268"/>
    </row>
    <row r="56" spans="1:18" ht="19.8" customHeight="1" thickBot="1" x14ac:dyDescent="0.45">
      <c r="A56" s="266"/>
      <c r="B56" s="146" t="s">
        <v>74</v>
      </c>
      <c r="C56" s="22" t="s">
        <v>47</v>
      </c>
      <c r="D56" s="96" t="s">
        <v>114</v>
      </c>
      <c r="E56" s="91">
        <v>4</v>
      </c>
      <c r="F56" s="92">
        <v>3</v>
      </c>
      <c r="G56" s="104"/>
      <c r="H56" s="105"/>
      <c r="I56" s="104"/>
      <c r="J56" s="157">
        <v>3</v>
      </c>
      <c r="K56" s="104"/>
      <c r="L56" s="88"/>
      <c r="M56" s="252"/>
      <c r="N56" s="268"/>
      <c r="Q56" s="77" t="s">
        <v>124</v>
      </c>
    </row>
    <row r="57" spans="1:18" ht="19.8" customHeight="1" thickTop="1" x14ac:dyDescent="0.4">
      <c r="A57" s="283"/>
      <c r="B57" s="312" t="s">
        <v>56</v>
      </c>
      <c r="C57" s="163" t="s">
        <v>33</v>
      </c>
      <c r="D57" s="164" t="s">
        <v>87</v>
      </c>
      <c r="E57" s="165">
        <v>4</v>
      </c>
      <c r="F57" s="166">
        <v>4</v>
      </c>
      <c r="G57" s="167"/>
      <c r="H57" s="168"/>
      <c r="I57" s="167"/>
      <c r="J57" s="169"/>
      <c r="K57" s="170" t="s">
        <v>76</v>
      </c>
      <c r="L57" s="171"/>
      <c r="M57" s="251">
        <v>15</v>
      </c>
      <c r="N57" s="268"/>
      <c r="Q57" s="144" t="s">
        <v>126</v>
      </c>
      <c r="R57" s="1">
        <v>6</v>
      </c>
    </row>
    <row r="58" spans="1:18" ht="19.8" customHeight="1" x14ac:dyDescent="0.4">
      <c r="A58" s="283"/>
      <c r="B58" s="310"/>
      <c r="C58" s="12" t="s">
        <v>36</v>
      </c>
      <c r="D58" s="30" t="s">
        <v>88</v>
      </c>
      <c r="E58" s="31">
        <v>4</v>
      </c>
      <c r="F58" s="41">
        <v>4</v>
      </c>
      <c r="G58" s="87"/>
      <c r="H58" s="88"/>
      <c r="I58" s="87"/>
      <c r="J58" s="19"/>
      <c r="K58" s="313" t="s">
        <v>116</v>
      </c>
      <c r="L58" s="171"/>
      <c r="M58" s="253"/>
      <c r="N58" s="268"/>
      <c r="Q58" s="1" t="s">
        <v>125</v>
      </c>
      <c r="R58" s="1">
        <v>6</v>
      </c>
    </row>
    <row r="59" spans="1:18" ht="19.8" customHeight="1" x14ac:dyDescent="0.4">
      <c r="A59" s="283"/>
      <c r="B59" s="308" t="s">
        <v>59</v>
      </c>
      <c r="C59" s="12" t="s">
        <v>33</v>
      </c>
      <c r="D59" s="138" t="s">
        <v>89</v>
      </c>
      <c r="E59" s="31">
        <v>4</v>
      </c>
      <c r="F59" s="41">
        <v>4</v>
      </c>
      <c r="G59" s="87"/>
      <c r="H59" s="88"/>
      <c r="I59" s="87"/>
      <c r="J59" s="19"/>
      <c r="K59" s="314"/>
      <c r="L59" s="171"/>
      <c r="M59" s="253"/>
      <c r="N59" s="268"/>
      <c r="Q59" s="1" t="s">
        <v>127</v>
      </c>
      <c r="R59" s="1">
        <v>4</v>
      </c>
    </row>
    <row r="60" spans="1:18" ht="19.8" customHeight="1" x14ac:dyDescent="0.4">
      <c r="A60" s="283"/>
      <c r="B60" s="310"/>
      <c r="C60" s="12" t="s">
        <v>36</v>
      </c>
      <c r="D60" s="95" t="s">
        <v>90</v>
      </c>
      <c r="E60" s="31">
        <v>4</v>
      </c>
      <c r="F60" s="136">
        <v>3</v>
      </c>
      <c r="G60" s="87"/>
      <c r="H60" s="88"/>
      <c r="I60" s="87"/>
      <c r="J60" s="19"/>
      <c r="K60" s="314"/>
      <c r="L60" s="171"/>
      <c r="M60" s="253"/>
      <c r="N60" s="268"/>
      <c r="R60" s="1">
        <v>16</v>
      </c>
    </row>
    <row r="61" spans="1:18" ht="19.8" customHeight="1" x14ac:dyDescent="0.4">
      <c r="A61" s="283"/>
      <c r="B61" s="308" t="s">
        <v>62</v>
      </c>
      <c r="C61" s="12" t="s">
        <v>36</v>
      </c>
      <c r="D61" s="30" t="s">
        <v>91</v>
      </c>
      <c r="E61" s="31">
        <v>4</v>
      </c>
      <c r="F61" s="136">
        <v>3</v>
      </c>
      <c r="G61" s="87"/>
      <c r="H61" s="88"/>
      <c r="I61" s="87"/>
      <c r="J61" s="19"/>
      <c r="K61" s="314"/>
      <c r="L61" s="171"/>
      <c r="M61" s="253"/>
      <c r="N61" s="268"/>
    </row>
    <row r="62" spans="1:18" ht="19.8" customHeight="1" x14ac:dyDescent="0.4">
      <c r="A62" s="283"/>
      <c r="B62" s="309"/>
      <c r="C62" s="22" t="s">
        <v>38</v>
      </c>
      <c r="D62" s="96" t="s">
        <v>92</v>
      </c>
      <c r="E62" s="91">
        <v>4</v>
      </c>
      <c r="F62" s="139">
        <v>3</v>
      </c>
      <c r="G62" s="87"/>
      <c r="H62" s="88"/>
      <c r="I62" s="87"/>
      <c r="J62" s="19"/>
      <c r="K62" s="314"/>
      <c r="L62" s="171"/>
      <c r="M62" s="253"/>
      <c r="N62" s="268"/>
    </row>
    <row r="63" spans="1:18" ht="19.8" customHeight="1" x14ac:dyDescent="0.4">
      <c r="A63" s="283"/>
      <c r="B63" s="308" t="s">
        <v>64</v>
      </c>
      <c r="C63" s="12" t="s">
        <v>47</v>
      </c>
      <c r="D63" s="97" t="s">
        <v>93</v>
      </c>
      <c r="E63" s="31">
        <v>4</v>
      </c>
      <c r="F63" s="136">
        <v>3</v>
      </c>
      <c r="G63" s="87"/>
      <c r="H63" s="88"/>
      <c r="I63" s="87"/>
      <c r="J63" s="88"/>
      <c r="K63" s="314"/>
      <c r="L63" s="172"/>
      <c r="M63" s="253"/>
      <c r="N63" s="268"/>
    </row>
    <row r="64" spans="1:18" ht="19.8" customHeight="1" x14ac:dyDescent="0.4">
      <c r="A64" s="283"/>
      <c r="B64" s="310"/>
      <c r="C64" s="12" t="s">
        <v>83</v>
      </c>
      <c r="D64" s="40" t="s">
        <v>94</v>
      </c>
      <c r="E64" s="31">
        <v>4</v>
      </c>
      <c r="F64" s="136">
        <v>3</v>
      </c>
      <c r="G64" s="98"/>
      <c r="H64" s="99"/>
      <c r="I64" s="98"/>
      <c r="J64" s="99"/>
      <c r="K64" s="314"/>
      <c r="L64" s="172"/>
      <c r="M64" s="253"/>
      <c r="N64" s="268"/>
    </row>
    <row r="65" spans="1:16" ht="19.8" customHeight="1" x14ac:dyDescent="0.4">
      <c r="A65" s="283"/>
      <c r="B65" s="308" t="s">
        <v>27</v>
      </c>
      <c r="C65" s="33" t="s">
        <v>47</v>
      </c>
      <c r="D65" s="100" t="s">
        <v>95</v>
      </c>
      <c r="E65" s="73">
        <v>4</v>
      </c>
      <c r="F65" s="140">
        <v>3</v>
      </c>
      <c r="G65" s="98"/>
      <c r="H65" s="99"/>
      <c r="I65" s="98"/>
      <c r="J65" s="99"/>
      <c r="K65" s="314"/>
      <c r="L65" s="172"/>
      <c r="M65" s="253"/>
      <c r="N65" s="268"/>
      <c r="P65" s="77"/>
    </row>
    <row r="66" spans="1:16" ht="19.8" customHeight="1" x14ac:dyDescent="0.4">
      <c r="A66" s="283"/>
      <c r="B66" s="310"/>
      <c r="C66" s="12" t="s">
        <v>83</v>
      </c>
      <c r="D66" s="40" t="s">
        <v>122</v>
      </c>
      <c r="E66" s="31">
        <v>4</v>
      </c>
      <c r="F66" s="136">
        <v>3</v>
      </c>
      <c r="G66" s="87"/>
      <c r="H66" s="88"/>
      <c r="I66" s="87"/>
      <c r="J66" s="88"/>
      <c r="K66" s="314"/>
      <c r="L66" s="171"/>
      <c r="M66" s="253"/>
      <c r="N66" s="268"/>
    </row>
    <row r="67" spans="1:16" ht="19.8" customHeight="1" x14ac:dyDescent="0.4">
      <c r="A67" s="283"/>
      <c r="B67" s="308" t="s">
        <v>74</v>
      </c>
      <c r="C67" s="12" t="s">
        <v>47</v>
      </c>
      <c r="D67" s="30" t="s">
        <v>119</v>
      </c>
      <c r="E67" s="31">
        <v>4</v>
      </c>
      <c r="F67" s="136">
        <v>3</v>
      </c>
      <c r="G67" s="87"/>
      <c r="H67" s="88"/>
      <c r="I67" s="87"/>
      <c r="J67" s="88"/>
      <c r="K67" s="314"/>
      <c r="L67" s="171"/>
      <c r="M67" s="253"/>
      <c r="N67" s="268"/>
    </row>
    <row r="68" spans="1:16" ht="19.8" customHeight="1" x14ac:dyDescent="0.4">
      <c r="A68" s="283"/>
      <c r="B68" s="310"/>
      <c r="C68" s="12" t="s">
        <v>83</v>
      </c>
      <c r="D68" s="40" t="s">
        <v>120</v>
      </c>
      <c r="E68" s="31">
        <v>4</v>
      </c>
      <c r="F68" s="136">
        <v>3</v>
      </c>
      <c r="G68" s="98"/>
      <c r="H68" s="99"/>
      <c r="I68" s="98"/>
      <c r="J68" s="99"/>
      <c r="K68" s="314"/>
      <c r="L68" s="171"/>
      <c r="M68" s="253"/>
      <c r="N68" s="268"/>
    </row>
    <row r="69" spans="1:16" ht="19.8" customHeight="1" x14ac:dyDescent="0.4">
      <c r="A69" s="283"/>
      <c r="B69" s="173" t="s">
        <v>97</v>
      </c>
      <c r="C69" s="12" t="s">
        <v>83</v>
      </c>
      <c r="D69" s="40" t="s">
        <v>121</v>
      </c>
      <c r="E69" s="31">
        <v>4</v>
      </c>
      <c r="F69" s="136">
        <v>3</v>
      </c>
      <c r="G69" s="98"/>
      <c r="H69" s="99"/>
      <c r="I69" s="98"/>
      <c r="J69" s="99"/>
      <c r="K69" s="315"/>
      <c r="L69" s="172"/>
      <c r="M69" s="253"/>
      <c r="N69" s="268"/>
    </row>
    <row r="70" spans="1:16" ht="19.8" customHeight="1" x14ac:dyDescent="0.4">
      <c r="A70" s="283"/>
      <c r="B70" s="308" t="s">
        <v>42</v>
      </c>
      <c r="C70" s="12" t="s">
        <v>36</v>
      </c>
      <c r="D70" s="30" t="s">
        <v>130</v>
      </c>
      <c r="E70" s="31">
        <v>3</v>
      </c>
      <c r="F70" s="41">
        <v>2</v>
      </c>
      <c r="G70" s="87"/>
      <c r="H70" s="88"/>
      <c r="I70" s="87"/>
      <c r="J70" s="99"/>
      <c r="K70" s="174" t="s">
        <v>73</v>
      </c>
      <c r="L70" s="171"/>
      <c r="M70" s="251">
        <v>2</v>
      </c>
      <c r="N70" s="268"/>
    </row>
    <row r="71" spans="1:16" ht="19.8" customHeight="1" thickBot="1" x14ac:dyDescent="0.45">
      <c r="A71" s="283"/>
      <c r="B71" s="309"/>
      <c r="C71" s="22" t="s">
        <v>36</v>
      </c>
      <c r="D71" s="96" t="s">
        <v>96</v>
      </c>
      <c r="E71" s="91">
        <v>3</v>
      </c>
      <c r="F71" s="92">
        <v>2</v>
      </c>
      <c r="G71" s="104"/>
      <c r="H71" s="105"/>
      <c r="I71" s="104"/>
      <c r="J71" s="175"/>
      <c r="K71" s="176">
        <v>2</v>
      </c>
      <c r="L71" s="177"/>
      <c r="M71" s="252"/>
      <c r="N71" s="268"/>
    </row>
    <row r="72" spans="1:16" ht="19.8" customHeight="1" thickTop="1" x14ac:dyDescent="0.4">
      <c r="A72" s="283"/>
      <c r="B72" s="316" t="s">
        <v>56</v>
      </c>
      <c r="C72" s="178" t="s">
        <v>36</v>
      </c>
      <c r="D72" s="179" t="s">
        <v>98</v>
      </c>
      <c r="E72" s="180">
        <v>4</v>
      </c>
      <c r="F72" s="181">
        <v>4</v>
      </c>
      <c r="G72" s="182"/>
      <c r="H72" s="183"/>
      <c r="I72" s="182"/>
      <c r="J72" s="183"/>
      <c r="K72" s="184"/>
      <c r="L72" s="185" t="s">
        <v>58</v>
      </c>
      <c r="M72" s="279">
        <v>24</v>
      </c>
      <c r="N72" s="268"/>
    </row>
    <row r="73" spans="1:16" ht="19.8" customHeight="1" x14ac:dyDescent="0.4">
      <c r="A73" s="283"/>
      <c r="B73" s="317"/>
      <c r="C73" s="12" t="s">
        <v>38</v>
      </c>
      <c r="D73" s="40" t="s">
        <v>99</v>
      </c>
      <c r="E73" s="31">
        <v>4</v>
      </c>
      <c r="F73" s="41">
        <v>4</v>
      </c>
      <c r="G73" s="98"/>
      <c r="H73" s="99"/>
      <c r="I73" s="98"/>
      <c r="J73" s="99"/>
      <c r="K73" s="102"/>
      <c r="L73" s="318" t="s">
        <v>61</v>
      </c>
      <c r="M73" s="307"/>
      <c r="N73" s="268"/>
    </row>
    <row r="74" spans="1:16" ht="19.8" customHeight="1" x14ac:dyDescent="0.4">
      <c r="A74" s="283"/>
      <c r="B74" s="186" t="s">
        <v>59</v>
      </c>
      <c r="C74" s="12" t="s">
        <v>38</v>
      </c>
      <c r="D74" s="40" t="s">
        <v>100</v>
      </c>
      <c r="E74" s="31">
        <v>4</v>
      </c>
      <c r="F74" s="41">
        <v>4</v>
      </c>
      <c r="G74" s="98"/>
      <c r="H74" s="99"/>
      <c r="I74" s="98"/>
      <c r="J74" s="99"/>
      <c r="K74" s="102"/>
      <c r="L74" s="319"/>
      <c r="M74" s="307"/>
      <c r="N74" s="268"/>
    </row>
    <row r="75" spans="1:16" ht="19.8" customHeight="1" x14ac:dyDescent="0.4">
      <c r="A75" s="283"/>
      <c r="B75" s="321" t="s">
        <v>62</v>
      </c>
      <c r="C75" s="12" t="s">
        <v>36</v>
      </c>
      <c r="D75" s="40" t="s">
        <v>101</v>
      </c>
      <c r="E75" s="31">
        <v>4</v>
      </c>
      <c r="F75" s="41">
        <v>4</v>
      </c>
      <c r="G75" s="98"/>
      <c r="H75" s="99"/>
      <c r="I75" s="98"/>
      <c r="J75" s="99"/>
      <c r="K75" s="102"/>
      <c r="L75" s="319"/>
      <c r="M75" s="307"/>
      <c r="N75" s="268"/>
    </row>
    <row r="76" spans="1:16" ht="19.8" customHeight="1" x14ac:dyDescent="0.4">
      <c r="A76" s="283"/>
      <c r="B76" s="322"/>
      <c r="C76" s="22" t="s">
        <v>38</v>
      </c>
      <c r="D76" s="60" t="s">
        <v>102</v>
      </c>
      <c r="E76" s="91">
        <v>4</v>
      </c>
      <c r="F76" s="92">
        <v>4</v>
      </c>
      <c r="G76" s="98"/>
      <c r="H76" s="99"/>
      <c r="I76" s="98"/>
      <c r="J76" s="99"/>
      <c r="K76" s="102"/>
      <c r="L76" s="319"/>
      <c r="M76" s="307"/>
      <c r="N76" s="268"/>
    </row>
    <row r="77" spans="1:16" ht="19.8" customHeight="1" x14ac:dyDescent="0.4">
      <c r="A77" s="283"/>
      <c r="B77" s="323" t="s">
        <v>64</v>
      </c>
      <c r="C77" s="12" t="s">
        <v>47</v>
      </c>
      <c r="D77" s="30" t="s">
        <v>103</v>
      </c>
      <c r="E77" s="31">
        <v>4</v>
      </c>
      <c r="F77" s="32">
        <v>4</v>
      </c>
      <c r="G77" s="93"/>
      <c r="H77" s="88"/>
      <c r="I77" s="87"/>
      <c r="J77" s="88"/>
      <c r="K77" s="87"/>
      <c r="L77" s="319"/>
      <c r="M77" s="307"/>
      <c r="N77" s="268"/>
    </row>
    <row r="78" spans="1:16" ht="19.8" customHeight="1" x14ac:dyDescent="0.4">
      <c r="A78" s="283"/>
      <c r="B78" s="324"/>
      <c r="C78" s="12" t="s">
        <v>83</v>
      </c>
      <c r="D78" s="30" t="s">
        <v>104</v>
      </c>
      <c r="E78" s="31">
        <v>4</v>
      </c>
      <c r="F78" s="32">
        <v>4</v>
      </c>
      <c r="G78" s="93"/>
      <c r="H78" s="88"/>
      <c r="I78" s="87"/>
      <c r="J78" s="88"/>
      <c r="K78" s="87"/>
      <c r="L78" s="319"/>
      <c r="M78" s="307"/>
      <c r="N78" s="268"/>
    </row>
    <row r="79" spans="1:16" ht="19.8" customHeight="1" x14ac:dyDescent="0.4">
      <c r="A79" s="283"/>
      <c r="B79" s="187" t="s">
        <v>27</v>
      </c>
      <c r="C79" s="33" t="s">
        <v>83</v>
      </c>
      <c r="D79" s="103" t="s">
        <v>105</v>
      </c>
      <c r="E79" s="73">
        <v>4</v>
      </c>
      <c r="F79" s="74">
        <v>4</v>
      </c>
      <c r="G79" s="87"/>
      <c r="H79" s="88"/>
      <c r="I79" s="87"/>
      <c r="J79" s="88"/>
      <c r="K79" s="87"/>
      <c r="L79" s="319"/>
      <c r="M79" s="307"/>
      <c r="N79" s="152"/>
    </row>
    <row r="80" spans="1:16" ht="19.8" customHeight="1" x14ac:dyDescent="0.4">
      <c r="A80" s="283"/>
      <c r="B80" s="188" t="s">
        <v>74</v>
      </c>
      <c r="C80" s="12" t="s">
        <v>47</v>
      </c>
      <c r="D80" s="30" t="s">
        <v>106</v>
      </c>
      <c r="E80" s="31">
        <v>4</v>
      </c>
      <c r="F80" s="136">
        <v>4</v>
      </c>
      <c r="G80" s="87"/>
      <c r="H80" s="88"/>
      <c r="I80" s="87"/>
      <c r="J80" s="88"/>
      <c r="K80" s="87"/>
      <c r="L80" s="319"/>
      <c r="M80" s="307"/>
      <c r="N80" s="236"/>
    </row>
    <row r="81" spans="1:16" ht="19.8" customHeight="1" x14ac:dyDescent="0.4">
      <c r="A81" s="283"/>
      <c r="B81" s="189" t="s">
        <v>50</v>
      </c>
      <c r="C81" s="141" t="s">
        <v>47</v>
      </c>
      <c r="D81" s="142" t="s">
        <v>131</v>
      </c>
      <c r="E81" s="91">
        <v>3</v>
      </c>
      <c r="F81" s="139">
        <v>4</v>
      </c>
      <c r="G81" s="104"/>
      <c r="H81" s="105"/>
      <c r="I81" s="104"/>
      <c r="J81" s="105"/>
      <c r="K81" s="104"/>
      <c r="L81" s="319"/>
      <c r="M81" s="307"/>
      <c r="N81" s="236"/>
    </row>
    <row r="82" spans="1:16" ht="19.8" customHeight="1" x14ac:dyDescent="0.4">
      <c r="A82" s="283"/>
      <c r="B82" s="189" t="s">
        <v>50</v>
      </c>
      <c r="C82" s="141" t="s">
        <v>83</v>
      </c>
      <c r="D82" s="142" t="s">
        <v>132</v>
      </c>
      <c r="E82" s="91">
        <v>3</v>
      </c>
      <c r="F82" s="139">
        <v>4</v>
      </c>
      <c r="G82" s="104"/>
      <c r="H82" s="105"/>
      <c r="I82" s="104"/>
      <c r="J82" s="105"/>
      <c r="K82" s="104"/>
      <c r="L82" s="319"/>
      <c r="M82" s="307"/>
      <c r="N82" s="236"/>
    </row>
    <row r="83" spans="1:16" ht="19.8" customHeight="1" thickBot="1" x14ac:dyDescent="0.45">
      <c r="A83" s="311"/>
      <c r="B83" s="190" t="s">
        <v>71</v>
      </c>
      <c r="C83" s="191" t="s">
        <v>36</v>
      </c>
      <c r="D83" s="192" t="s">
        <v>107</v>
      </c>
      <c r="E83" s="193">
        <v>4</v>
      </c>
      <c r="F83" s="194">
        <v>4</v>
      </c>
      <c r="G83" s="195"/>
      <c r="H83" s="196"/>
      <c r="I83" s="195"/>
      <c r="J83" s="196"/>
      <c r="K83" s="195"/>
      <c r="L83" s="320"/>
      <c r="M83" s="280"/>
      <c r="N83" s="236"/>
    </row>
    <row r="84" spans="1:16" ht="19.8" customHeight="1" x14ac:dyDescent="0.4">
      <c r="A84" s="106"/>
      <c r="B84" s="197" t="s">
        <v>50</v>
      </c>
      <c r="C84" s="33" t="s">
        <v>36</v>
      </c>
      <c r="D84" s="198" t="s">
        <v>128</v>
      </c>
      <c r="E84" s="73">
        <v>3</v>
      </c>
      <c r="F84" s="85">
        <v>2</v>
      </c>
      <c r="G84" s="305" t="s">
        <v>108</v>
      </c>
      <c r="H84" s="306"/>
      <c r="I84" s="306"/>
      <c r="J84" s="306"/>
      <c r="K84" s="306"/>
      <c r="L84" s="325"/>
      <c r="M84" s="240"/>
      <c r="N84" s="107">
        <v>80</v>
      </c>
    </row>
    <row r="85" spans="1:16" ht="19.8" customHeight="1" x14ac:dyDescent="0.4">
      <c r="A85" s="108"/>
      <c r="B85" s="160" t="s">
        <v>27</v>
      </c>
      <c r="C85" s="78" t="s">
        <v>47</v>
      </c>
      <c r="D85" s="162" t="s">
        <v>133</v>
      </c>
      <c r="E85" s="80">
        <v>4</v>
      </c>
      <c r="F85" s="161">
        <v>3</v>
      </c>
      <c r="G85" s="305"/>
      <c r="H85" s="306"/>
      <c r="I85" s="306"/>
      <c r="J85" s="306"/>
      <c r="K85" s="306"/>
      <c r="L85" s="325"/>
      <c r="M85" s="240"/>
      <c r="N85" s="151"/>
    </row>
    <row r="86" spans="1:16" ht="19.8" customHeight="1" x14ac:dyDescent="0.4">
      <c r="A86" s="108"/>
      <c r="B86" s="199" t="s">
        <v>27</v>
      </c>
      <c r="C86" s="12" t="s">
        <v>83</v>
      </c>
      <c r="D86" s="200" t="s">
        <v>134</v>
      </c>
      <c r="E86" s="31">
        <v>4</v>
      </c>
      <c r="F86" s="32">
        <v>3</v>
      </c>
      <c r="G86" s="305"/>
      <c r="H86" s="306"/>
      <c r="I86" s="306"/>
      <c r="J86" s="306"/>
      <c r="K86" s="306"/>
      <c r="L86" s="325"/>
      <c r="M86" s="240"/>
      <c r="N86" s="151"/>
    </row>
    <row r="87" spans="1:16" ht="19.8" customHeight="1" thickBot="1" x14ac:dyDescent="0.45">
      <c r="A87" s="108"/>
      <c r="B87" s="109" t="s">
        <v>64</v>
      </c>
      <c r="C87" s="22" t="s">
        <v>47</v>
      </c>
      <c r="D87" s="110" t="s">
        <v>109</v>
      </c>
      <c r="E87" s="66">
        <v>4</v>
      </c>
      <c r="F87" s="111">
        <v>3</v>
      </c>
      <c r="G87" s="237"/>
      <c r="H87" s="238"/>
      <c r="I87" s="238"/>
      <c r="J87" s="238"/>
      <c r="K87" s="238"/>
      <c r="L87" s="239"/>
      <c r="M87" s="240"/>
      <c r="N87" s="150">
        <v>94</v>
      </c>
    </row>
    <row r="88" spans="1:16" ht="15" customHeight="1" x14ac:dyDescent="0.4">
      <c r="A88" s="241" t="s">
        <v>110</v>
      </c>
      <c r="B88" s="242"/>
      <c r="C88" s="243"/>
      <c r="D88" s="112"/>
      <c r="E88" s="113"/>
      <c r="F88" s="114"/>
      <c r="G88" s="115">
        <v>30</v>
      </c>
      <c r="H88" s="116">
        <v>30</v>
      </c>
      <c r="I88" s="117">
        <v>30</v>
      </c>
      <c r="J88" s="116">
        <v>30</v>
      </c>
      <c r="K88" s="118">
        <v>29</v>
      </c>
      <c r="L88" s="159">
        <v>25</v>
      </c>
      <c r="M88" s="244">
        <f>SUM(G88:L88)</f>
        <v>174</v>
      </c>
      <c r="N88" s="245"/>
    </row>
    <row r="89" spans="1:16" ht="14.4" customHeight="1" x14ac:dyDescent="0.4">
      <c r="A89" s="246" t="s">
        <v>111</v>
      </c>
      <c r="B89" s="247"/>
      <c r="C89" s="248"/>
      <c r="D89" s="120"/>
      <c r="E89" s="121"/>
      <c r="F89" s="122"/>
      <c r="G89" s="123">
        <v>3</v>
      </c>
      <c r="H89" s="124">
        <v>3</v>
      </c>
      <c r="I89" s="125">
        <v>3</v>
      </c>
      <c r="J89" s="124">
        <v>3</v>
      </c>
      <c r="K89" s="125">
        <v>3</v>
      </c>
      <c r="L89" s="124">
        <v>3</v>
      </c>
      <c r="M89" s="249">
        <f>SUM(G89:L89)</f>
        <v>18</v>
      </c>
      <c r="N89" s="250"/>
    </row>
    <row r="90" spans="1:16" ht="18" customHeight="1" thickBot="1" x14ac:dyDescent="0.45">
      <c r="A90" s="229" t="s">
        <v>112</v>
      </c>
      <c r="B90" s="230"/>
      <c r="C90" s="231"/>
      <c r="D90" s="126"/>
      <c r="E90" s="127"/>
      <c r="F90" s="128"/>
      <c r="G90" s="129">
        <f t="shared" ref="G90:L90" si="0">G88+G89</f>
        <v>33</v>
      </c>
      <c r="H90" s="130">
        <f t="shared" si="0"/>
        <v>33</v>
      </c>
      <c r="I90" s="131">
        <f t="shared" si="0"/>
        <v>33</v>
      </c>
      <c r="J90" s="130">
        <f t="shared" si="0"/>
        <v>33</v>
      </c>
      <c r="K90" s="131">
        <f t="shared" si="0"/>
        <v>32</v>
      </c>
      <c r="L90" s="130">
        <f t="shared" si="0"/>
        <v>28</v>
      </c>
      <c r="M90" s="232">
        <f>SUM(G90:L90)</f>
        <v>192</v>
      </c>
      <c r="N90" s="233"/>
    </row>
    <row r="91" spans="1:16" x14ac:dyDescent="0.4">
      <c r="B91" s="234" t="s">
        <v>135</v>
      </c>
      <c r="C91" s="234"/>
      <c r="D91" s="235"/>
    </row>
    <row r="92" spans="1:16" x14ac:dyDescent="0.4">
      <c r="B92" s="234"/>
      <c r="C92" s="234"/>
      <c r="D92" s="234"/>
    </row>
    <row r="93" spans="1:16" x14ac:dyDescent="0.4">
      <c r="B93" s="234"/>
      <c r="C93" s="234"/>
      <c r="D93" s="234"/>
    </row>
    <row r="94" spans="1:16" s="133" customFormat="1" x14ac:dyDescent="0.4">
      <c r="A94" s="132"/>
      <c r="B94" s="234"/>
      <c r="C94" s="234"/>
      <c r="D94" s="234"/>
      <c r="I94" s="134"/>
      <c r="J94" s="134"/>
      <c r="M94" s="134"/>
      <c r="N94" s="135"/>
      <c r="O94" s="1"/>
      <c r="P94" s="1"/>
    </row>
    <row r="95" spans="1:16" s="133" customFormat="1" x14ac:dyDescent="0.4">
      <c r="A95" s="132"/>
      <c r="B95" s="234"/>
      <c r="C95" s="234"/>
      <c r="D95" s="234"/>
      <c r="I95" s="134"/>
      <c r="J95" s="134"/>
      <c r="M95" s="134"/>
      <c r="N95" s="135"/>
      <c r="O95" s="1"/>
      <c r="P95" s="1"/>
    </row>
    <row r="96" spans="1:16" s="133" customFormat="1" x14ac:dyDescent="0.4">
      <c r="A96" s="132"/>
      <c r="B96" s="234"/>
      <c r="C96" s="234"/>
      <c r="D96" s="234"/>
      <c r="I96" s="134"/>
      <c r="J96" s="134"/>
      <c r="M96" s="134"/>
      <c r="N96" s="135"/>
      <c r="O96" s="1"/>
      <c r="P96" s="1"/>
    </row>
    <row r="97" spans="1:16" s="133" customFormat="1" x14ac:dyDescent="0.4">
      <c r="A97" s="132"/>
      <c r="B97" s="234"/>
      <c r="C97" s="234"/>
      <c r="D97" s="234"/>
      <c r="I97" s="134"/>
      <c r="J97" s="134"/>
      <c r="M97" s="134"/>
      <c r="N97" s="135"/>
      <c r="O97" s="1"/>
      <c r="P97" s="1"/>
    </row>
    <row r="98" spans="1:16" x14ac:dyDescent="0.4">
      <c r="B98" s="234"/>
      <c r="C98" s="234"/>
      <c r="D98" s="234"/>
    </row>
    <row r="99" spans="1:16" x14ac:dyDescent="0.4">
      <c r="B99" s="234"/>
      <c r="C99" s="234"/>
      <c r="D99" s="234"/>
    </row>
  </sheetData>
  <mergeCells count="83">
    <mergeCell ref="A90:C90"/>
    <mergeCell ref="M90:N90"/>
    <mergeCell ref="B91:D99"/>
    <mergeCell ref="N80:N83"/>
    <mergeCell ref="G84:L87"/>
    <mergeCell ref="M84:M87"/>
    <mergeCell ref="A88:C88"/>
    <mergeCell ref="M88:N88"/>
    <mergeCell ref="A89:C89"/>
    <mergeCell ref="M89:N89"/>
    <mergeCell ref="B49:B50"/>
    <mergeCell ref="M52:M54"/>
    <mergeCell ref="J53:J54"/>
    <mergeCell ref="M55:M56"/>
    <mergeCell ref="B72:B73"/>
    <mergeCell ref="M72:M83"/>
    <mergeCell ref="L73:L83"/>
    <mergeCell ref="B75:B76"/>
    <mergeCell ref="B77:B78"/>
    <mergeCell ref="B63:B64"/>
    <mergeCell ref="B65:B66"/>
    <mergeCell ref="B67:B68"/>
    <mergeCell ref="B70:B71"/>
    <mergeCell ref="M70:M71"/>
    <mergeCell ref="B31:B34"/>
    <mergeCell ref="M31:M34"/>
    <mergeCell ref="N31:N34"/>
    <mergeCell ref="A35:A83"/>
    <mergeCell ref="M35:M43"/>
    <mergeCell ref="N35:N78"/>
    <mergeCell ref="I36:I43"/>
    <mergeCell ref="B38:B39"/>
    <mergeCell ref="M44:M45"/>
    <mergeCell ref="M46:M51"/>
    <mergeCell ref="B57:B58"/>
    <mergeCell ref="M57:M69"/>
    <mergeCell ref="K58:K69"/>
    <mergeCell ref="B59:B60"/>
    <mergeCell ref="B61:B62"/>
    <mergeCell ref="J47:J51"/>
    <mergeCell ref="B27:B30"/>
    <mergeCell ref="G27:G28"/>
    <mergeCell ref="H27:H28"/>
    <mergeCell ref="M27:M28"/>
    <mergeCell ref="N27:N30"/>
    <mergeCell ref="I29:I30"/>
    <mergeCell ref="J29:J30"/>
    <mergeCell ref="M29:M30"/>
    <mergeCell ref="M17:M20"/>
    <mergeCell ref="N17:N20"/>
    <mergeCell ref="B21:B26"/>
    <mergeCell ref="M21:M22"/>
    <mergeCell ref="N21:N26"/>
    <mergeCell ref="M23:M24"/>
    <mergeCell ref="M25:M26"/>
    <mergeCell ref="A5:A34"/>
    <mergeCell ref="B5:B7"/>
    <mergeCell ref="M5:M7"/>
    <mergeCell ref="N5:N7"/>
    <mergeCell ref="B8:B10"/>
    <mergeCell ref="M8:M10"/>
    <mergeCell ref="N8:N10"/>
    <mergeCell ref="B11:B12"/>
    <mergeCell ref="M11:M12"/>
    <mergeCell ref="N11:N12"/>
    <mergeCell ref="B13:B16"/>
    <mergeCell ref="M13:M14"/>
    <mergeCell ref="N13:N14"/>
    <mergeCell ref="M15:M16"/>
    <mergeCell ref="N15:N16"/>
    <mergeCell ref="B17:B20"/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</mergeCells>
  <phoneticPr fontId="4" type="noConversion"/>
  <printOptions horizontalCentered="1"/>
  <pageMargins left="0.25" right="0.25" top="0.75" bottom="0.75" header="0.3" footer="0.3"/>
  <pageSetup paperSize="9" scale="69" fitToHeight="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F92DE-D1DF-44D0-89D0-4B0DB7E67855}">
  <sheetPr>
    <tabColor rgb="FFFFC000"/>
    <pageSetUpPr fitToPage="1"/>
  </sheetPr>
  <dimension ref="A1:Q96"/>
  <sheetViews>
    <sheetView tabSelected="1" view="pageBreakPreview" zoomScaleNormal="100" zoomScaleSheetLayoutView="100" workbookViewId="0">
      <pane xSplit="1" ySplit="4" topLeftCell="B5" activePane="bottomRight" state="frozen"/>
      <selection activeCell="E93" sqref="E93"/>
      <selection pane="topRight" activeCell="E93" sqref="E93"/>
      <selection pane="bottomLeft" activeCell="E93" sqref="E93"/>
      <selection pane="bottomRight" sqref="A1:N1"/>
    </sheetView>
  </sheetViews>
  <sheetFormatPr defaultColWidth="9" defaultRowHeight="13.8" x14ac:dyDescent="0.4"/>
  <cols>
    <col min="1" max="1" width="8.796875" style="132" customWidth="1"/>
    <col min="2" max="2" width="14.3984375" style="135" bestFit="1" customWidth="1"/>
    <col min="3" max="3" width="9.3984375" style="133" customWidth="1"/>
    <col min="4" max="4" width="49.09765625" style="135" customWidth="1"/>
    <col min="5" max="6" width="4.3984375" style="133" customWidth="1"/>
    <col min="7" max="8" width="5.19921875" style="133" customWidth="1"/>
    <col min="9" max="10" width="5.19921875" style="134" customWidth="1"/>
    <col min="11" max="12" width="5.19921875" style="133" customWidth="1"/>
    <col min="13" max="13" width="4.3984375" style="134" customWidth="1"/>
    <col min="14" max="14" width="5.5" style="135" customWidth="1"/>
    <col min="15" max="15" width="4.8984375" style="1" customWidth="1"/>
    <col min="16" max="16" width="15.19921875" style="1" customWidth="1"/>
    <col min="17" max="16384" width="9" style="1"/>
  </cols>
  <sheetData>
    <row r="1" spans="1:14" ht="31.95" customHeight="1" x14ac:dyDescent="0.4">
      <c r="A1" s="288" t="s">
        <v>146</v>
      </c>
      <c r="B1" s="288"/>
      <c r="C1" s="288"/>
      <c r="D1" s="288"/>
      <c r="E1" s="288"/>
      <c r="F1" s="288"/>
      <c r="G1" s="288"/>
      <c r="H1" s="288"/>
      <c r="I1" s="288"/>
      <c r="J1" s="288"/>
      <c r="K1" s="288"/>
      <c r="L1" s="288"/>
      <c r="M1" s="288"/>
      <c r="N1" s="288"/>
    </row>
    <row r="2" spans="1:14" ht="22.2" customHeight="1" thickBot="1" x14ac:dyDescent="0.45">
      <c r="A2" s="289" t="s">
        <v>0</v>
      </c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</row>
    <row r="3" spans="1:14" ht="19.95" customHeight="1" x14ac:dyDescent="0.4">
      <c r="A3" s="291" t="s">
        <v>1</v>
      </c>
      <c r="B3" s="293" t="s">
        <v>2</v>
      </c>
      <c r="C3" s="293" t="s">
        <v>3</v>
      </c>
      <c r="D3" s="293"/>
      <c r="E3" s="295" t="s">
        <v>4</v>
      </c>
      <c r="F3" s="297" t="s">
        <v>5</v>
      </c>
      <c r="G3" s="299" t="s">
        <v>6</v>
      </c>
      <c r="H3" s="300"/>
      <c r="I3" s="299" t="s">
        <v>7</v>
      </c>
      <c r="J3" s="300"/>
      <c r="K3" s="299" t="s">
        <v>8</v>
      </c>
      <c r="L3" s="300"/>
      <c r="M3" s="301" t="s">
        <v>9</v>
      </c>
      <c r="N3" s="303" t="s">
        <v>10</v>
      </c>
    </row>
    <row r="4" spans="1:14" ht="19.95" customHeight="1" thickBot="1" x14ac:dyDescent="0.45">
      <c r="A4" s="292"/>
      <c r="B4" s="294"/>
      <c r="C4" s="294"/>
      <c r="D4" s="294"/>
      <c r="E4" s="296"/>
      <c r="F4" s="298"/>
      <c r="G4" s="2" t="s">
        <v>11</v>
      </c>
      <c r="H4" s="3" t="s">
        <v>12</v>
      </c>
      <c r="I4" s="2" t="s">
        <v>11</v>
      </c>
      <c r="J4" s="3" t="s">
        <v>12</v>
      </c>
      <c r="K4" s="2" t="s">
        <v>11</v>
      </c>
      <c r="L4" s="3" t="s">
        <v>12</v>
      </c>
      <c r="M4" s="302"/>
      <c r="N4" s="304"/>
    </row>
    <row r="5" spans="1:14" ht="19.8" customHeight="1" x14ac:dyDescent="0.4">
      <c r="A5" s="334" t="s">
        <v>13</v>
      </c>
      <c r="B5" s="335" t="s">
        <v>14</v>
      </c>
      <c r="C5" s="4" t="s">
        <v>15</v>
      </c>
      <c r="D5" s="336" t="s">
        <v>16</v>
      </c>
      <c r="E5" s="6">
        <v>4</v>
      </c>
      <c r="F5" s="7">
        <v>4</v>
      </c>
      <c r="G5" s="8">
        <v>4</v>
      </c>
      <c r="H5" s="9"/>
      <c r="I5" s="10"/>
      <c r="J5" s="11"/>
      <c r="K5" s="10"/>
      <c r="L5" s="11"/>
      <c r="M5" s="267">
        <v>12</v>
      </c>
      <c r="N5" s="337">
        <v>8</v>
      </c>
    </row>
    <row r="6" spans="1:14" ht="19.8" customHeight="1" x14ac:dyDescent="0.4">
      <c r="A6" s="338"/>
      <c r="B6" s="339"/>
      <c r="C6" s="12" t="s">
        <v>15</v>
      </c>
      <c r="D6" s="340" t="s">
        <v>141</v>
      </c>
      <c r="E6" s="14">
        <v>4</v>
      </c>
      <c r="F6" s="15">
        <v>4</v>
      </c>
      <c r="G6" s="217"/>
      <c r="H6" s="16">
        <v>4</v>
      </c>
      <c r="I6" s="17"/>
      <c r="J6" s="18"/>
      <c r="K6" s="17"/>
      <c r="L6" s="18"/>
      <c r="M6" s="253"/>
      <c r="N6" s="341"/>
    </row>
    <row r="7" spans="1:14" ht="19.8" customHeight="1" x14ac:dyDescent="0.4">
      <c r="A7" s="338"/>
      <c r="B7" s="339"/>
      <c r="C7" s="12" t="s">
        <v>33</v>
      </c>
      <c r="D7" s="340" t="s">
        <v>118</v>
      </c>
      <c r="E7" s="14">
        <v>4</v>
      </c>
      <c r="F7" s="15">
        <v>4</v>
      </c>
      <c r="G7" s="217"/>
      <c r="H7" s="16"/>
      <c r="I7" s="17"/>
      <c r="J7" s="18"/>
      <c r="K7" s="217">
        <v>4</v>
      </c>
      <c r="L7" s="18"/>
      <c r="M7" s="253"/>
      <c r="N7" s="341"/>
    </row>
    <row r="8" spans="1:14" ht="19.8" customHeight="1" x14ac:dyDescent="0.4">
      <c r="A8" s="338"/>
      <c r="B8" s="342" t="s">
        <v>17</v>
      </c>
      <c r="C8" s="12" t="s">
        <v>15</v>
      </c>
      <c r="D8" s="340" t="s">
        <v>18</v>
      </c>
      <c r="E8" s="14">
        <v>4</v>
      </c>
      <c r="F8" s="15">
        <v>4</v>
      </c>
      <c r="G8" s="218">
        <v>4</v>
      </c>
      <c r="H8" s="19"/>
      <c r="I8" s="20"/>
      <c r="J8" s="21"/>
      <c r="K8" s="20"/>
      <c r="L8" s="21"/>
      <c r="M8" s="251">
        <v>12</v>
      </c>
      <c r="N8" s="343">
        <v>8</v>
      </c>
    </row>
    <row r="9" spans="1:14" ht="19.8" customHeight="1" x14ac:dyDescent="0.4">
      <c r="A9" s="338"/>
      <c r="B9" s="342"/>
      <c r="C9" s="12" t="s">
        <v>15</v>
      </c>
      <c r="D9" s="340" t="s">
        <v>142</v>
      </c>
      <c r="E9" s="14">
        <v>4</v>
      </c>
      <c r="F9" s="15">
        <v>4</v>
      </c>
      <c r="G9" s="218"/>
      <c r="H9" s="19">
        <v>4</v>
      </c>
      <c r="I9" s="20"/>
      <c r="J9" s="21"/>
      <c r="K9" s="20"/>
      <c r="L9" s="21"/>
      <c r="M9" s="253"/>
      <c r="N9" s="341"/>
    </row>
    <row r="10" spans="1:14" ht="19.8" customHeight="1" x14ac:dyDescent="0.4">
      <c r="A10" s="338"/>
      <c r="B10" s="342"/>
      <c r="C10" s="12" t="s">
        <v>33</v>
      </c>
      <c r="D10" s="340" t="s">
        <v>89</v>
      </c>
      <c r="E10" s="14">
        <v>4</v>
      </c>
      <c r="F10" s="15">
        <v>4</v>
      </c>
      <c r="G10" s="218"/>
      <c r="H10" s="19"/>
      <c r="I10" s="20"/>
      <c r="J10" s="21"/>
      <c r="K10" s="218">
        <v>4</v>
      </c>
      <c r="L10" s="21"/>
      <c r="M10" s="253"/>
      <c r="N10" s="341"/>
    </row>
    <row r="11" spans="1:14" ht="19.8" customHeight="1" x14ac:dyDescent="0.4">
      <c r="A11" s="338"/>
      <c r="B11" s="342" t="s">
        <v>19</v>
      </c>
      <c r="C11" s="12" t="s">
        <v>15</v>
      </c>
      <c r="D11" s="340" t="s">
        <v>20</v>
      </c>
      <c r="E11" s="14">
        <v>4</v>
      </c>
      <c r="F11" s="15">
        <v>4</v>
      </c>
      <c r="G11" s="218">
        <v>4</v>
      </c>
      <c r="H11" s="19"/>
      <c r="I11" s="20"/>
      <c r="J11" s="21"/>
      <c r="K11" s="20"/>
      <c r="L11" s="21"/>
      <c r="M11" s="251">
        <v>8</v>
      </c>
      <c r="N11" s="343">
        <v>8</v>
      </c>
    </row>
    <row r="12" spans="1:14" ht="19.8" customHeight="1" x14ac:dyDescent="0.4">
      <c r="A12" s="338"/>
      <c r="B12" s="344"/>
      <c r="C12" s="22" t="s">
        <v>15</v>
      </c>
      <c r="D12" s="345" t="s">
        <v>21</v>
      </c>
      <c r="E12" s="24">
        <v>4</v>
      </c>
      <c r="F12" s="25">
        <v>4</v>
      </c>
      <c r="G12" s="218"/>
      <c r="H12" s="19">
        <v>4</v>
      </c>
      <c r="I12" s="20"/>
      <c r="J12" s="21"/>
      <c r="K12" s="20"/>
      <c r="L12" s="21"/>
      <c r="M12" s="253"/>
      <c r="N12" s="341"/>
    </row>
    <row r="13" spans="1:14" ht="19.8" customHeight="1" x14ac:dyDescent="0.4">
      <c r="A13" s="346"/>
      <c r="B13" s="344" t="s">
        <v>22</v>
      </c>
      <c r="C13" s="12" t="s">
        <v>15</v>
      </c>
      <c r="D13" s="340" t="s">
        <v>23</v>
      </c>
      <c r="E13" s="14">
        <v>4</v>
      </c>
      <c r="F13" s="26">
        <v>4</v>
      </c>
      <c r="G13" s="27">
        <v>4</v>
      </c>
      <c r="H13" s="19"/>
      <c r="I13" s="28"/>
      <c r="J13" s="29"/>
      <c r="K13" s="28"/>
      <c r="L13" s="29"/>
      <c r="M13" s="251">
        <v>8</v>
      </c>
      <c r="N13" s="347">
        <v>8</v>
      </c>
    </row>
    <row r="14" spans="1:14" ht="19.8" customHeight="1" x14ac:dyDescent="0.4">
      <c r="A14" s="346"/>
      <c r="B14" s="348"/>
      <c r="C14" s="12" t="s">
        <v>15</v>
      </c>
      <c r="D14" s="340" t="s">
        <v>24</v>
      </c>
      <c r="E14" s="14">
        <v>4</v>
      </c>
      <c r="F14" s="26">
        <v>4</v>
      </c>
      <c r="G14" s="27"/>
      <c r="H14" s="19">
        <v>4</v>
      </c>
      <c r="I14" s="28"/>
      <c r="J14" s="29"/>
      <c r="K14" s="28"/>
      <c r="L14" s="29"/>
      <c r="M14" s="252"/>
      <c r="N14" s="349"/>
    </row>
    <row r="15" spans="1:14" ht="19.8" customHeight="1" x14ac:dyDescent="0.4">
      <c r="A15" s="346"/>
      <c r="B15" s="348"/>
      <c r="C15" s="12" t="s">
        <v>15</v>
      </c>
      <c r="D15" s="350" t="s">
        <v>25</v>
      </c>
      <c r="E15" s="31">
        <v>3</v>
      </c>
      <c r="F15" s="32">
        <v>3</v>
      </c>
      <c r="G15" s="27">
        <v>3</v>
      </c>
      <c r="H15" s="19"/>
      <c r="I15" s="28"/>
      <c r="J15" s="29"/>
      <c r="K15" s="28"/>
      <c r="L15" s="29"/>
      <c r="M15" s="251">
        <v>6</v>
      </c>
      <c r="N15" s="347">
        <v>6</v>
      </c>
    </row>
    <row r="16" spans="1:14" ht="19.8" customHeight="1" x14ac:dyDescent="0.4">
      <c r="A16" s="346"/>
      <c r="B16" s="339"/>
      <c r="C16" s="12" t="s">
        <v>15</v>
      </c>
      <c r="D16" s="350" t="s">
        <v>26</v>
      </c>
      <c r="E16" s="31">
        <v>3</v>
      </c>
      <c r="F16" s="32">
        <v>3</v>
      </c>
      <c r="G16" s="27"/>
      <c r="H16" s="19">
        <v>3</v>
      </c>
      <c r="I16" s="28"/>
      <c r="J16" s="29"/>
      <c r="K16" s="28"/>
      <c r="L16" s="29"/>
      <c r="M16" s="252"/>
      <c r="N16" s="349"/>
    </row>
    <row r="17" spans="1:17" ht="19.8" customHeight="1" x14ac:dyDescent="0.4">
      <c r="A17" s="338"/>
      <c r="B17" s="348" t="s">
        <v>27</v>
      </c>
      <c r="C17" s="33" t="s">
        <v>15</v>
      </c>
      <c r="D17" s="351" t="s">
        <v>28</v>
      </c>
      <c r="E17" s="35">
        <v>4</v>
      </c>
      <c r="F17" s="36">
        <v>4</v>
      </c>
      <c r="G17" s="218">
        <v>4</v>
      </c>
      <c r="H17" s="19"/>
      <c r="I17" s="28"/>
      <c r="J17" s="29"/>
      <c r="K17" s="28"/>
      <c r="L17" s="29"/>
      <c r="M17" s="251">
        <v>10</v>
      </c>
      <c r="N17" s="343">
        <v>10</v>
      </c>
    </row>
    <row r="18" spans="1:17" ht="19.8" customHeight="1" x14ac:dyDescent="0.4">
      <c r="A18" s="338"/>
      <c r="B18" s="348"/>
      <c r="C18" s="12" t="s">
        <v>15</v>
      </c>
      <c r="D18" s="352" t="s">
        <v>29</v>
      </c>
      <c r="E18" s="38">
        <v>4</v>
      </c>
      <c r="F18" s="39">
        <v>4</v>
      </c>
      <c r="G18" s="218"/>
      <c r="H18" s="19">
        <v>4</v>
      </c>
      <c r="I18" s="28"/>
      <c r="J18" s="29"/>
      <c r="K18" s="28"/>
      <c r="L18" s="29"/>
      <c r="M18" s="253"/>
      <c r="N18" s="341"/>
    </row>
    <row r="19" spans="1:17" ht="19.8" customHeight="1" x14ac:dyDescent="0.4">
      <c r="A19" s="338"/>
      <c r="B19" s="348"/>
      <c r="C19" s="12" t="s">
        <v>15</v>
      </c>
      <c r="D19" s="46" t="s">
        <v>30</v>
      </c>
      <c r="E19" s="31">
        <v>1</v>
      </c>
      <c r="F19" s="41">
        <v>1</v>
      </c>
      <c r="G19" s="218">
        <v>1</v>
      </c>
      <c r="H19" s="19"/>
      <c r="I19" s="28"/>
      <c r="J19" s="29"/>
      <c r="K19" s="28"/>
      <c r="L19" s="29"/>
      <c r="M19" s="253"/>
      <c r="N19" s="341"/>
    </row>
    <row r="20" spans="1:17" ht="19.8" customHeight="1" x14ac:dyDescent="0.4">
      <c r="A20" s="338"/>
      <c r="B20" s="348"/>
      <c r="C20" s="22" t="s">
        <v>15</v>
      </c>
      <c r="D20" s="353" t="s">
        <v>31</v>
      </c>
      <c r="E20" s="91">
        <v>1</v>
      </c>
      <c r="F20" s="92">
        <v>1</v>
      </c>
      <c r="G20" s="216"/>
      <c r="H20" s="204">
        <v>1</v>
      </c>
      <c r="I20" s="205"/>
      <c r="J20" s="206"/>
      <c r="K20" s="205"/>
      <c r="L20" s="206"/>
      <c r="M20" s="253"/>
      <c r="N20" s="354"/>
      <c r="Q20" s="77"/>
    </row>
    <row r="21" spans="1:17" ht="19.8" customHeight="1" x14ac:dyDescent="0.4">
      <c r="A21" s="346"/>
      <c r="B21" s="344" t="s">
        <v>32</v>
      </c>
      <c r="C21" s="12" t="s">
        <v>33</v>
      </c>
      <c r="D21" s="46" t="s">
        <v>34</v>
      </c>
      <c r="E21" s="31">
        <v>3</v>
      </c>
      <c r="F21" s="41">
        <v>2</v>
      </c>
      <c r="G21" s="42">
        <v>2</v>
      </c>
      <c r="H21" s="43"/>
      <c r="I21" s="28"/>
      <c r="J21" s="29"/>
      <c r="K21" s="28"/>
      <c r="L21" s="29"/>
      <c r="M21" s="282">
        <v>4</v>
      </c>
      <c r="N21" s="355">
        <v>10</v>
      </c>
      <c r="Q21" s="77"/>
    </row>
    <row r="22" spans="1:17" ht="19.8" customHeight="1" x14ac:dyDescent="0.4">
      <c r="A22" s="346"/>
      <c r="B22" s="348"/>
      <c r="C22" s="12" t="s">
        <v>33</v>
      </c>
      <c r="D22" s="46" t="s">
        <v>35</v>
      </c>
      <c r="E22" s="44">
        <v>3</v>
      </c>
      <c r="F22" s="45">
        <v>2</v>
      </c>
      <c r="G22" s="218"/>
      <c r="H22" s="19">
        <v>2</v>
      </c>
      <c r="I22" s="20"/>
      <c r="J22" s="21"/>
      <c r="K22" s="20"/>
      <c r="L22" s="21"/>
      <c r="M22" s="282"/>
      <c r="N22" s="356"/>
      <c r="Q22" s="77"/>
    </row>
    <row r="23" spans="1:17" ht="19.8" customHeight="1" x14ac:dyDescent="0.4">
      <c r="A23" s="346"/>
      <c r="B23" s="348"/>
      <c r="C23" s="12" t="s">
        <v>36</v>
      </c>
      <c r="D23" s="46" t="s">
        <v>37</v>
      </c>
      <c r="E23" s="44">
        <v>2</v>
      </c>
      <c r="F23" s="45">
        <v>1</v>
      </c>
      <c r="G23" s="20"/>
      <c r="H23" s="21"/>
      <c r="I23" s="218">
        <v>1</v>
      </c>
      <c r="J23" s="19"/>
      <c r="K23" s="20"/>
      <c r="L23" s="21"/>
      <c r="M23" s="282">
        <v>2</v>
      </c>
      <c r="N23" s="356"/>
    </row>
    <row r="24" spans="1:17" ht="19.8" customHeight="1" x14ac:dyDescent="0.4">
      <c r="A24" s="346"/>
      <c r="B24" s="348"/>
      <c r="C24" s="12" t="s">
        <v>47</v>
      </c>
      <c r="D24" s="46" t="s">
        <v>117</v>
      </c>
      <c r="E24" s="44">
        <v>2</v>
      </c>
      <c r="F24" s="45">
        <v>1</v>
      </c>
      <c r="G24" s="20"/>
      <c r="H24" s="21"/>
      <c r="I24" s="218"/>
      <c r="J24" s="19">
        <v>1</v>
      </c>
      <c r="K24" s="20"/>
      <c r="L24" s="21"/>
      <c r="M24" s="282"/>
      <c r="N24" s="356"/>
    </row>
    <row r="25" spans="1:17" ht="19.8" customHeight="1" x14ac:dyDescent="0.4">
      <c r="A25" s="346"/>
      <c r="B25" s="348"/>
      <c r="C25" s="12" t="s">
        <v>36</v>
      </c>
      <c r="D25" s="46" t="s">
        <v>40</v>
      </c>
      <c r="E25" s="44">
        <v>3</v>
      </c>
      <c r="F25" s="45">
        <v>2</v>
      </c>
      <c r="G25" s="20"/>
      <c r="H25" s="21"/>
      <c r="I25" s="218"/>
      <c r="J25" s="19"/>
      <c r="K25" s="218">
        <v>2</v>
      </c>
      <c r="L25" s="19"/>
      <c r="M25" s="282">
        <v>4</v>
      </c>
      <c r="N25" s="356"/>
    </row>
    <row r="26" spans="1:17" ht="19.8" customHeight="1" x14ac:dyDescent="0.4">
      <c r="A26" s="346"/>
      <c r="B26" s="339"/>
      <c r="C26" s="12" t="s">
        <v>83</v>
      </c>
      <c r="D26" s="46" t="s">
        <v>136</v>
      </c>
      <c r="E26" s="44">
        <v>3</v>
      </c>
      <c r="F26" s="45">
        <v>2</v>
      </c>
      <c r="G26" s="20"/>
      <c r="H26" s="21"/>
      <c r="I26" s="20"/>
      <c r="J26" s="21"/>
      <c r="K26" s="218"/>
      <c r="L26" s="19">
        <v>2</v>
      </c>
      <c r="M26" s="282"/>
      <c r="N26" s="357"/>
    </row>
    <row r="27" spans="1:17" ht="19.8" customHeight="1" x14ac:dyDescent="0.4">
      <c r="A27" s="338"/>
      <c r="B27" s="348" t="s">
        <v>42</v>
      </c>
      <c r="C27" s="33" t="s">
        <v>43</v>
      </c>
      <c r="D27" s="358" t="s">
        <v>44</v>
      </c>
      <c r="E27" s="73">
        <v>3</v>
      </c>
      <c r="F27" s="74">
        <v>2</v>
      </c>
      <c r="G27" s="330" t="s">
        <v>45</v>
      </c>
      <c r="H27" s="331" t="s">
        <v>45</v>
      </c>
      <c r="I27" s="207"/>
      <c r="J27" s="208"/>
      <c r="K27" s="209"/>
      <c r="L27" s="210"/>
      <c r="M27" s="307">
        <v>4</v>
      </c>
      <c r="N27" s="343">
        <v>10</v>
      </c>
    </row>
    <row r="28" spans="1:17" ht="19.8" customHeight="1" x14ac:dyDescent="0.4">
      <c r="A28" s="338"/>
      <c r="B28" s="348"/>
      <c r="C28" s="12" t="s">
        <v>43</v>
      </c>
      <c r="D28" s="46" t="s">
        <v>46</v>
      </c>
      <c r="E28" s="31">
        <v>3</v>
      </c>
      <c r="F28" s="41">
        <v>2</v>
      </c>
      <c r="G28" s="276"/>
      <c r="H28" s="278"/>
      <c r="I28" s="47"/>
      <c r="J28" s="48"/>
      <c r="K28" s="49"/>
      <c r="L28" s="50"/>
      <c r="M28" s="280"/>
      <c r="N28" s="341"/>
    </row>
    <row r="29" spans="1:17" ht="19.8" customHeight="1" x14ac:dyDescent="0.4">
      <c r="A29" s="338"/>
      <c r="B29" s="348"/>
      <c r="C29" s="12" t="s">
        <v>47</v>
      </c>
      <c r="D29" s="46" t="s">
        <v>48</v>
      </c>
      <c r="E29" s="31">
        <v>3</v>
      </c>
      <c r="F29" s="41">
        <v>2</v>
      </c>
      <c r="G29" s="51"/>
      <c r="H29" s="52"/>
      <c r="I29" s="275" t="s">
        <v>45</v>
      </c>
      <c r="J29" s="277" t="s">
        <v>45</v>
      </c>
      <c r="K29" s="49"/>
      <c r="L29" s="50"/>
      <c r="M29" s="279">
        <v>4</v>
      </c>
      <c r="N29" s="341"/>
    </row>
    <row r="30" spans="1:17" ht="19.8" customHeight="1" x14ac:dyDescent="0.4">
      <c r="A30" s="338"/>
      <c r="B30" s="348"/>
      <c r="C30" s="22" t="s">
        <v>47</v>
      </c>
      <c r="D30" s="353" t="s">
        <v>49</v>
      </c>
      <c r="E30" s="91">
        <v>3</v>
      </c>
      <c r="F30" s="92">
        <v>2</v>
      </c>
      <c r="G30" s="211"/>
      <c r="H30" s="212"/>
      <c r="I30" s="332"/>
      <c r="J30" s="333"/>
      <c r="K30" s="213"/>
      <c r="L30" s="214"/>
      <c r="M30" s="307"/>
      <c r="N30" s="341"/>
      <c r="P30" s="53"/>
    </row>
    <row r="31" spans="1:17" ht="19.8" customHeight="1" x14ac:dyDescent="0.4">
      <c r="A31" s="346"/>
      <c r="B31" s="344" t="s">
        <v>50</v>
      </c>
      <c r="C31" s="12" t="s">
        <v>33</v>
      </c>
      <c r="D31" s="46" t="s">
        <v>51</v>
      </c>
      <c r="E31" s="31">
        <v>3</v>
      </c>
      <c r="F31" s="41">
        <v>2</v>
      </c>
      <c r="G31" s="227">
        <v>2</v>
      </c>
      <c r="H31" s="228"/>
      <c r="I31" s="56"/>
      <c r="J31" s="57"/>
      <c r="K31" s="42"/>
      <c r="L31" s="50"/>
      <c r="M31" s="251">
        <v>5</v>
      </c>
      <c r="N31" s="355">
        <v>16</v>
      </c>
      <c r="P31" s="53"/>
    </row>
    <row r="32" spans="1:17" ht="19.8" customHeight="1" x14ac:dyDescent="0.4">
      <c r="A32" s="346"/>
      <c r="B32" s="348"/>
      <c r="C32" s="12" t="s">
        <v>36</v>
      </c>
      <c r="D32" s="359" t="s">
        <v>52</v>
      </c>
      <c r="E32" s="31">
        <v>3</v>
      </c>
      <c r="F32" s="41">
        <v>2</v>
      </c>
      <c r="G32" s="227"/>
      <c r="H32" s="228">
        <v>2</v>
      </c>
      <c r="I32" s="56"/>
      <c r="J32" s="57"/>
      <c r="K32" s="58"/>
      <c r="L32" s="50"/>
      <c r="M32" s="253"/>
      <c r="N32" s="356"/>
      <c r="P32" s="53"/>
    </row>
    <row r="33" spans="1:16" ht="19.8" customHeight="1" thickBot="1" x14ac:dyDescent="0.45">
      <c r="A33" s="346"/>
      <c r="B33" s="339"/>
      <c r="C33" s="12" t="s">
        <v>143</v>
      </c>
      <c r="D33" s="46" t="s">
        <v>144</v>
      </c>
      <c r="E33" s="31">
        <v>2</v>
      </c>
      <c r="F33" s="41">
        <v>1</v>
      </c>
      <c r="G33" s="219"/>
      <c r="H33" s="220"/>
      <c r="I33" s="56"/>
      <c r="J33" s="57"/>
      <c r="K33" s="58">
        <v>1</v>
      </c>
      <c r="L33" s="43"/>
      <c r="M33" s="252"/>
      <c r="N33" s="356"/>
      <c r="P33" s="53"/>
    </row>
    <row r="34" spans="1:16" ht="20.399999999999999" customHeight="1" x14ac:dyDescent="0.4">
      <c r="A34" s="334" t="s">
        <v>55</v>
      </c>
      <c r="B34" s="360" t="s">
        <v>56</v>
      </c>
      <c r="C34" s="33" t="s">
        <v>33</v>
      </c>
      <c r="D34" s="361" t="s">
        <v>57</v>
      </c>
      <c r="E34" s="73">
        <v>4</v>
      </c>
      <c r="F34" s="74">
        <v>4</v>
      </c>
      <c r="G34" s="75"/>
      <c r="H34" s="76"/>
      <c r="I34" s="223" t="s">
        <v>58</v>
      </c>
      <c r="J34" s="76"/>
      <c r="K34" s="75"/>
      <c r="L34" s="76"/>
      <c r="M34" s="253">
        <v>24</v>
      </c>
      <c r="N34" s="362"/>
      <c r="P34" s="77"/>
    </row>
    <row r="35" spans="1:16" ht="20.399999999999999" customHeight="1" x14ac:dyDescent="0.4">
      <c r="A35" s="338"/>
      <c r="B35" s="363" t="s">
        <v>59</v>
      </c>
      <c r="C35" s="33" t="s">
        <v>43</v>
      </c>
      <c r="D35" s="361" t="s">
        <v>60</v>
      </c>
      <c r="E35" s="73">
        <v>4</v>
      </c>
      <c r="F35" s="74">
        <v>4</v>
      </c>
      <c r="G35" s="75"/>
      <c r="H35" s="76"/>
      <c r="I35" s="269" t="s">
        <v>61</v>
      </c>
      <c r="J35" s="76"/>
      <c r="K35" s="75"/>
      <c r="L35" s="76"/>
      <c r="M35" s="253"/>
      <c r="N35" s="362"/>
      <c r="P35" s="77"/>
    </row>
    <row r="36" spans="1:16" ht="20.399999999999999" customHeight="1" x14ac:dyDescent="0.4">
      <c r="A36" s="338"/>
      <c r="B36" s="363" t="s">
        <v>62</v>
      </c>
      <c r="C36" s="78" t="s">
        <v>43</v>
      </c>
      <c r="D36" s="364" t="s">
        <v>63</v>
      </c>
      <c r="E36" s="80">
        <v>4</v>
      </c>
      <c r="F36" s="81">
        <v>4</v>
      </c>
      <c r="G36" s="75"/>
      <c r="H36" s="76"/>
      <c r="I36" s="270"/>
      <c r="K36" s="75"/>
      <c r="L36" s="76"/>
      <c r="M36" s="253"/>
      <c r="N36" s="362"/>
      <c r="P36" s="77"/>
    </row>
    <row r="37" spans="1:16" ht="20.399999999999999" customHeight="1" x14ac:dyDescent="0.4">
      <c r="A37" s="338"/>
      <c r="B37" s="344" t="s">
        <v>64</v>
      </c>
      <c r="C37" s="12" t="s">
        <v>43</v>
      </c>
      <c r="D37" s="365" t="s">
        <v>65</v>
      </c>
      <c r="E37" s="31">
        <v>4</v>
      </c>
      <c r="F37" s="32">
        <v>4</v>
      </c>
      <c r="G37" s="83"/>
      <c r="H37" s="76"/>
      <c r="I37" s="270"/>
      <c r="J37" s="76"/>
      <c r="K37" s="75"/>
      <c r="L37" s="76"/>
      <c r="M37" s="253"/>
      <c r="N37" s="362"/>
      <c r="P37" s="77"/>
    </row>
    <row r="38" spans="1:16" ht="20.399999999999999" customHeight="1" x14ac:dyDescent="0.4">
      <c r="A38" s="338"/>
      <c r="B38" s="339"/>
      <c r="C38" s="33" t="s">
        <v>47</v>
      </c>
      <c r="D38" s="100" t="s">
        <v>66</v>
      </c>
      <c r="E38" s="73">
        <v>4</v>
      </c>
      <c r="F38" s="85">
        <v>4</v>
      </c>
      <c r="G38" s="83"/>
      <c r="H38" s="76"/>
      <c r="I38" s="270"/>
      <c r="J38" s="76"/>
      <c r="K38" s="75"/>
      <c r="L38" s="76"/>
      <c r="M38" s="253"/>
      <c r="N38" s="362"/>
    </row>
    <row r="39" spans="1:16" ht="20.399999999999999" customHeight="1" x14ac:dyDescent="0.4">
      <c r="A39" s="338"/>
      <c r="B39" s="366" t="s">
        <v>27</v>
      </c>
      <c r="C39" s="33" t="s">
        <v>33</v>
      </c>
      <c r="D39" s="367" t="s">
        <v>67</v>
      </c>
      <c r="E39" s="73">
        <v>4</v>
      </c>
      <c r="F39" s="74">
        <v>4</v>
      </c>
      <c r="G39" s="87"/>
      <c r="H39" s="88"/>
      <c r="I39" s="270"/>
      <c r="J39" s="88"/>
      <c r="K39" s="87"/>
      <c r="L39" s="88"/>
      <c r="M39" s="253"/>
      <c r="N39" s="362"/>
    </row>
    <row r="40" spans="1:16" ht="20.399999999999999" customHeight="1" x14ac:dyDescent="0.4">
      <c r="A40" s="338"/>
      <c r="B40" s="366" t="s">
        <v>14</v>
      </c>
      <c r="C40" s="12" t="s">
        <v>38</v>
      </c>
      <c r="D40" s="350" t="s">
        <v>68</v>
      </c>
      <c r="E40" s="31">
        <v>4</v>
      </c>
      <c r="F40" s="41">
        <v>4</v>
      </c>
      <c r="G40" s="87"/>
      <c r="H40" s="88"/>
      <c r="I40" s="270"/>
      <c r="J40" s="88"/>
      <c r="K40" s="87"/>
      <c r="L40" s="88"/>
      <c r="M40" s="253"/>
      <c r="N40" s="362"/>
    </row>
    <row r="41" spans="1:16" ht="20.399999999999999" customHeight="1" x14ac:dyDescent="0.4">
      <c r="A41" s="338"/>
      <c r="B41" s="366" t="s">
        <v>17</v>
      </c>
      <c r="C41" s="12" t="s">
        <v>36</v>
      </c>
      <c r="D41" s="350" t="s">
        <v>69</v>
      </c>
      <c r="E41" s="31">
        <v>4</v>
      </c>
      <c r="F41" s="41">
        <v>4</v>
      </c>
      <c r="G41" s="87"/>
      <c r="H41" s="88"/>
      <c r="I41" s="270"/>
      <c r="J41" s="88"/>
      <c r="K41" s="87"/>
      <c r="L41" s="88"/>
      <c r="M41" s="253"/>
      <c r="N41" s="362"/>
    </row>
    <row r="42" spans="1:16" ht="20.399999999999999" customHeight="1" x14ac:dyDescent="0.4">
      <c r="A42" s="338"/>
      <c r="B42" s="366" t="s">
        <v>19</v>
      </c>
      <c r="C42" s="12" t="s">
        <v>36</v>
      </c>
      <c r="D42" s="350" t="s">
        <v>70</v>
      </c>
      <c r="E42" s="31">
        <v>4</v>
      </c>
      <c r="F42" s="41">
        <v>4</v>
      </c>
      <c r="G42" s="87"/>
      <c r="H42" s="88"/>
      <c r="I42" s="271"/>
      <c r="J42" s="88"/>
      <c r="K42" s="87"/>
      <c r="L42" s="88"/>
      <c r="M42" s="252"/>
      <c r="N42" s="362"/>
    </row>
    <row r="43" spans="1:16" ht="20.399999999999999" customHeight="1" x14ac:dyDescent="0.4">
      <c r="A43" s="338"/>
      <c r="B43" s="368" t="s">
        <v>71</v>
      </c>
      <c r="C43" s="12" t="s">
        <v>33</v>
      </c>
      <c r="D43" s="350" t="s">
        <v>72</v>
      </c>
      <c r="E43" s="31">
        <v>4</v>
      </c>
      <c r="F43" s="41">
        <v>3</v>
      </c>
      <c r="G43" s="87"/>
      <c r="H43" s="88"/>
      <c r="I43" s="222" t="s">
        <v>73</v>
      </c>
      <c r="J43" s="88"/>
      <c r="K43" s="87"/>
      <c r="L43" s="88"/>
      <c r="M43" s="251">
        <v>3</v>
      </c>
      <c r="N43" s="362"/>
    </row>
    <row r="44" spans="1:16" ht="19.8" customHeight="1" x14ac:dyDescent="0.4">
      <c r="A44" s="338"/>
      <c r="B44" s="363" t="s">
        <v>74</v>
      </c>
      <c r="C44" s="22" t="s">
        <v>47</v>
      </c>
      <c r="D44" s="369" t="s">
        <v>113</v>
      </c>
      <c r="E44" s="91">
        <v>4</v>
      </c>
      <c r="F44" s="92">
        <v>3</v>
      </c>
      <c r="G44" s="104"/>
      <c r="H44" s="105"/>
      <c r="I44" s="221">
        <v>3</v>
      </c>
      <c r="J44" s="105"/>
      <c r="K44" s="104"/>
      <c r="L44" s="105"/>
      <c r="M44" s="253"/>
      <c r="N44" s="362"/>
    </row>
    <row r="45" spans="1:16" ht="19.2" customHeight="1" x14ac:dyDescent="0.4">
      <c r="A45" s="346"/>
      <c r="B45" s="363" t="s">
        <v>56</v>
      </c>
      <c r="C45" s="12" t="s">
        <v>33</v>
      </c>
      <c r="D45" s="340" t="s">
        <v>75</v>
      </c>
      <c r="E45" s="31">
        <v>4</v>
      </c>
      <c r="F45" s="41">
        <v>4</v>
      </c>
      <c r="G45" s="87"/>
      <c r="H45" s="88"/>
      <c r="I45" s="42"/>
      <c r="J45" s="90" t="s">
        <v>58</v>
      </c>
      <c r="K45" s="87"/>
      <c r="L45" s="88"/>
      <c r="M45" s="251">
        <v>24</v>
      </c>
      <c r="N45" s="370"/>
    </row>
    <row r="46" spans="1:16" ht="19.2" customHeight="1" x14ac:dyDescent="0.4">
      <c r="A46" s="346"/>
      <c r="B46" s="363" t="s">
        <v>59</v>
      </c>
      <c r="C46" s="12" t="s">
        <v>33</v>
      </c>
      <c r="D46" s="340" t="s">
        <v>77</v>
      </c>
      <c r="E46" s="31">
        <v>4</v>
      </c>
      <c r="F46" s="41">
        <v>4</v>
      </c>
      <c r="G46" s="87"/>
      <c r="H46" s="88"/>
      <c r="I46" s="42"/>
      <c r="J46" s="326" t="s">
        <v>61</v>
      </c>
      <c r="K46" s="87"/>
      <c r="L46" s="88"/>
      <c r="M46" s="253"/>
      <c r="N46" s="370"/>
    </row>
    <row r="47" spans="1:16" ht="19.2" customHeight="1" x14ac:dyDescent="0.4">
      <c r="A47" s="346"/>
      <c r="B47" s="363" t="s">
        <v>62</v>
      </c>
      <c r="C47" s="22" t="s">
        <v>33</v>
      </c>
      <c r="D47" s="345" t="s">
        <v>79</v>
      </c>
      <c r="E47" s="91">
        <v>4</v>
      </c>
      <c r="F47" s="92">
        <v>4</v>
      </c>
      <c r="G47" s="87"/>
      <c r="H47" s="88"/>
      <c r="I47" s="42"/>
      <c r="J47" s="273"/>
      <c r="K47" s="87"/>
      <c r="L47" s="88"/>
      <c r="M47" s="253"/>
      <c r="N47" s="370"/>
    </row>
    <row r="48" spans="1:16" ht="17.399999999999999" customHeight="1" x14ac:dyDescent="0.4">
      <c r="A48" s="346"/>
      <c r="B48" s="344" t="s">
        <v>64</v>
      </c>
      <c r="C48" s="12" t="s">
        <v>43</v>
      </c>
      <c r="D48" s="365" t="s">
        <v>80</v>
      </c>
      <c r="E48" s="31">
        <v>4</v>
      </c>
      <c r="F48" s="32">
        <v>4</v>
      </c>
      <c r="G48" s="93"/>
      <c r="H48" s="88"/>
      <c r="I48" s="87"/>
      <c r="J48" s="273"/>
      <c r="K48" s="87"/>
      <c r="L48" s="88"/>
      <c r="M48" s="253"/>
      <c r="N48" s="370"/>
    </row>
    <row r="49" spans="1:17" ht="17.399999999999999" customHeight="1" x14ac:dyDescent="0.4">
      <c r="A49" s="346"/>
      <c r="B49" s="339"/>
      <c r="C49" s="12" t="s">
        <v>47</v>
      </c>
      <c r="D49" s="365" t="s">
        <v>81</v>
      </c>
      <c r="E49" s="31">
        <v>4</v>
      </c>
      <c r="F49" s="32">
        <v>4</v>
      </c>
      <c r="G49" s="93"/>
      <c r="H49" s="88"/>
      <c r="I49" s="87"/>
      <c r="J49" s="273"/>
      <c r="K49" s="87"/>
      <c r="L49" s="88"/>
      <c r="M49" s="253"/>
      <c r="N49" s="370"/>
    </row>
    <row r="50" spans="1:17" ht="23.4" customHeight="1" x14ac:dyDescent="0.4">
      <c r="A50" s="346"/>
      <c r="B50" s="366" t="s">
        <v>27</v>
      </c>
      <c r="C50" s="33" t="s">
        <v>47</v>
      </c>
      <c r="D50" s="94" t="s">
        <v>82</v>
      </c>
      <c r="E50" s="73">
        <v>4</v>
      </c>
      <c r="F50" s="74">
        <v>4</v>
      </c>
      <c r="G50" s="87"/>
      <c r="H50" s="88"/>
      <c r="I50" s="87"/>
      <c r="J50" s="273"/>
      <c r="K50" s="87"/>
      <c r="L50" s="88"/>
      <c r="M50" s="253"/>
      <c r="N50" s="370"/>
    </row>
    <row r="51" spans="1:17" ht="21" customHeight="1" x14ac:dyDescent="0.4">
      <c r="A51" s="346"/>
      <c r="B51" s="360" t="s">
        <v>14</v>
      </c>
      <c r="C51" s="12" t="s">
        <v>83</v>
      </c>
      <c r="D51" s="350" t="s">
        <v>84</v>
      </c>
      <c r="E51" s="31">
        <v>4</v>
      </c>
      <c r="F51" s="41">
        <v>4</v>
      </c>
      <c r="G51" s="87"/>
      <c r="H51" s="88"/>
      <c r="I51" s="87"/>
      <c r="J51" s="273"/>
      <c r="K51" s="87"/>
      <c r="L51" s="88"/>
      <c r="M51" s="253"/>
      <c r="N51" s="370"/>
    </row>
    <row r="52" spans="1:17" ht="19.8" customHeight="1" x14ac:dyDescent="0.4">
      <c r="A52" s="346"/>
      <c r="B52" s="368" t="s">
        <v>17</v>
      </c>
      <c r="C52" s="12" t="s">
        <v>36</v>
      </c>
      <c r="D52" s="371" t="s">
        <v>85</v>
      </c>
      <c r="E52" s="31">
        <v>4</v>
      </c>
      <c r="F52" s="41">
        <v>4</v>
      </c>
      <c r="G52" s="87"/>
      <c r="H52" s="88"/>
      <c r="I52" s="87"/>
      <c r="J52" s="273"/>
      <c r="K52" s="93"/>
      <c r="L52" s="88"/>
      <c r="M52" s="253"/>
      <c r="N52" s="370"/>
    </row>
    <row r="53" spans="1:17" ht="19.8" customHeight="1" x14ac:dyDescent="0.4">
      <c r="A53" s="346"/>
      <c r="B53" s="360" t="s">
        <v>19</v>
      </c>
      <c r="C53" s="12" t="s">
        <v>33</v>
      </c>
      <c r="D53" s="350" t="s">
        <v>115</v>
      </c>
      <c r="E53" s="31">
        <v>4</v>
      </c>
      <c r="F53" s="41">
        <v>4</v>
      </c>
      <c r="G53" s="87"/>
      <c r="H53" s="88"/>
      <c r="I53" s="87"/>
      <c r="J53" s="274"/>
      <c r="K53" s="93"/>
      <c r="L53" s="88"/>
      <c r="M53" s="252"/>
      <c r="N53" s="370"/>
    </row>
    <row r="54" spans="1:17" ht="19.8" customHeight="1" x14ac:dyDescent="0.4">
      <c r="A54" s="346"/>
      <c r="B54" s="363" t="s">
        <v>71</v>
      </c>
      <c r="C54" s="12" t="s">
        <v>47</v>
      </c>
      <c r="D54" s="350" t="s">
        <v>86</v>
      </c>
      <c r="E54" s="31">
        <v>4</v>
      </c>
      <c r="F54" s="41">
        <v>3</v>
      </c>
      <c r="G54" s="87"/>
      <c r="H54" s="88"/>
      <c r="I54" s="87"/>
      <c r="J54" s="225" t="s">
        <v>73</v>
      </c>
      <c r="K54" s="87"/>
      <c r="L54" s="88"/>
      <c r="M54" s="251">
        <v>3</v>
      </c>
      <c r="N54" s="370"/>
    </row>
    <row r="55" spans="1:17" ht="19.8" customHeight="1" x14ac:dyDescent="0.4">
      <c r="A55" s="346"/>
      <c r="B55" s="368" t="s">
        <v>74</v>
      </c>
      <c r="C55" s="12" t="s">
        <v>47</v>
      </c>
      <c r="D55" s="350" t="s">
        <v>114</v>
      </c>
      <c r="E55" s="31">
        <v>4</v>
      </c>
      <c r="F55" s="41">
        <v>3</v>
      </c>
      <c r="G55" s="87"/>
      <c r="H55" s="88"/>
      <c r="I55" s="87"/>
      <c r="J55" s="226">
        <v>3</v>
      </c>
      <c r="K55" s="87"/>
      <c r="L55" s="88"/>
      <c r="M55" s="252"/>
      <c r="N55" s="370"/>
      <c r="Q55" s="77"/>
    </row>
    <row r="56" spans="1:17" ht="19.8" customHeight="1" x14ac:dyDescent="0.4">
      <c r="A56" s="346"/>
      <c r="B56" s="360" t="s">
        <v>56</v>
      </c>
      <c r="C56" s="78" t="s">
        <v>33</v>
      </c>
      <c r="D56" s="372" t="s">
        <v>88</v>
      </c>
      <c r="E56" s="80">
        <v>4</v>
      </c>
      <c r="F56" s="161">
        <v>3</v>
      </c>
      <c r="G56" s="75"/>
      <c r="H56" s="76"/>
      <c r="I56" s="75"/>
      <c r="J56" s="16"/>
      <c r="K56" s="224" t="s">
        <v>76</v>
      </c>
      <c r="L56" s="215"/>
      <c r="M56" s="253">
        <v>15</v>
      </c>
      <c r="N56" s="362"/>
      <c r="Q56" s="144"/>
    </row>
    <row r="57" spans="1:17" ht="19.8" customHeight="1" x14ac:dyDescent="0.4">
      <c r="A57" s="346"/>
      <c r="B57" s="363" t="s">
        <v>59</v>
      </c>
      <c r="C57" s="22" t="s">
        <v>33</v>
      </c>
      <c r="D57" s="373" t="s">
        <v>90</v>
      </c>
      <c r="E57" s="91">
        <v>4</v>
      </c>
      <c r="F57" s="137">
        <v>3</v>
      </c>
      <c r="G57" s="87"/>
      <c r="H57" s="88"/>
      <c r="I57" s="87"/>
      <c r="J57" s="19"/>
      <c r="K57" s="272" t="s">
        <v>116</v>
      </c>
      <c r="L57" s="171"/>
      <c r="M57" s="253"/>
      <c r="N57" s="362"/>
      <c r="Q57" s="77"/>
    </row>
    <row r="58" spans="1:17" ht="19.8" customHeight="1" x14ac:dyDescent="0.4">
      <c r="A58" s="346"/>
      <c r="B58" s="344" t="s">
        <v>62</v>
      </c>
      <c r="C58" s="12" t="s">
        <v>36</v>
      </c>
      <c r="D58" s="350" t="s">
        <v>91</v>
      </c>
      <c r="E58" s="31">
        <v>4</v>
      </c>
      <c r="F58" s="41">
        <v>3</v>
      </c>
      <c r="G58" s="87"/>
      <c r="H58" s="88"/>
      <c r="I58" s="87"/>
      <c r="J58" s="19"/>
      <c r="K58" s="272"/>
      <c r="L58" s="171"/>
      <c r="M58" s="253"/>
      <c r="N58" s="362"/>
      <c r="Q58" s="77"/>
    </row>
    <row r="59" spans="1:17" ht="19.8" customHeight="1" x14ac:dyDescent="0.4">
      <c r="A59" s="346"/>
      <c r="B59" s="348"/>
      <c r="C59" s="22" t="s">
        <v>38</v>
      </c>
      <c r="D59" s="369" t="s">
        <v>92</v>
      </c>
      <c r="E59" s="91">
        <v>4</v>
      </c>
      <c r="F59" s="92">
        <v>3</v>
      </c>
      <c r="G59" s="87"/>
      <c r="H59" s="88"/>
      <c r="I59" s="87"/>
      <c r="J59" s="19"/>
      <c r="K59" s="272"/>
      <c r="L59" s="171"/>
      <c r="M59" s="253"/>
      <c r="N59" s="362"/>
    </row>
    <row r="60" spans="1:17" ht="19.8" customHeight="1" x14ac:dyDescent="0.4">
      <c r="A60" s="346"/>
      <c r="B60" s="344" t="s">
        <v>64</v>
      </c>
      <c r="C60" s="12" t="s">
        <v>47</v>
      </c>
      <c r="D60" s="374" t="s">
        <v>93</v>
      </c>
      <c r="E60" s="31">
        <v>4</v>
      </c>
      <c r="F60" s="41">
        <v>3</v>
      </c>
      <c r="G60" s="87"/>
      <c r="H60" s="88"/>
      <c r="I60" s="87"/>
      <c r="J60" s="88"/>
      <c r="K60" s="272"/>
      <c r="L60" s="172"/>
      <c r="M60" s="253"/>
      <c r="N60" s="362"/>
    </row>
    <row r="61" spans="1:17" ht="19.8" customHeight="1" x14ac:dyDescent="0.4">
      <c r="A61" s="346"/>
      <c r="B61" s="339"/>
      <c r="C61" s="12" t="s">
        <v>83</v>
      </c>
      <c r="D61" s="46" t="s">
        <v>94</v>
      </c>
      <c r="E61" s="31">
        <v>4</v>
      </c>
      <c r="F61" s="41">
        <v>3</v>
      </c>
      <c r="G61" s="98"/>
      <c r="H61" s="99"/>
      <c r="I61" s="98"/>
      <c r="J61" s="99"/>
      <c r="K61" s="272"/>
      <c r="L61" s="172"/>
      <c r="M61" s="253"/>
      <c r="N61" s="362"/>
    </row>
    <row r="62" spans="1:17" ht="19.8" customHeight="1" x14ac:dyDescent="0.4">
      <c r="A62" s="346"/>
      <c r="B62" s="344" t="s">
        <v>27</v>
      </c>
      <c r="C62" s="33" t="s">
        <v>47</v>
      </c>
      <c r="D62" s="100" t="s">
        <v>95</v>
      </c>
      <c r="E62" s="73">
        <v>4</v>
      </c>
      <c r="F62" s="74">
        <v>3</v>
      </c>
      <c r="G62" s="98"/>
      <c r="H62" s="99"/>
      <c r="I62" s="98"/>
      <c r="J62" s="99"/>
      <c r="K62" s="272"/>
      <c r="L62" s="172"/>
      <c r="M62" s="253"/>
      <c r="N62" s="362"/>
      <c r="P62" s="77"/>
    </row>
    <row r="63" spans="1:17" ht="19.8" customHeight="1" x14ac:dyDescent="0.4">
      <c r="A63" s="346"/>
      <c r="B63" s="339"/>
      <c r="C63" s="12" t="s">
        <v>83</v>
      </c>
      <c r="D63" s="46" t="s">
        <v>122</v>
      </c>
      <c r="E63" s="31">
        <v>4</v>
      </c>
      <c r="F63" s="41">
        <v>3</v>
      </c>
      <c r="G63" s="87"/>
      <c r="H63" s="88"/>
      <c r="I63" s="87"/>
      <c r="J63" s="88"/>
      <c r="K63" s="272"/>
      <c r="L63" s="171"/>
      <c r="M63" s="253"/>
      <c r="N63" s="362"/>
    </row>
    <row r="64" spans="1:17" ht="19.8" customHeight="1" x14ac:dyDescent="0.4">
      <c r="A64" s="346"/>
      <c r="B64" s="344" t="s">
        <v>74</v>
      </c>
      <c r="C64" s="12" t="s">
        <v>47</v>
      </c>
      <c r="D64" s="350" t="s">
        <v>119</v>
      </c>
      <c r="E64" s="31">
        <v>4</v>
      </c>
      <c r="F64" s="41">
        <v>3</v>
      </c>
      <c r="G64" s="87"/>
      <c r="H64" s="88"/>
      <c r="I64" s="87"/>
      <c r="J64" s="88"/>
      <c r="K64" s="272"/>
      <c r="L64" s="171"/>
      <c r="M64" s="253"/>
      <c r="N64" s="362"/>
    </row>
    <row r="65" spans="1:14" ht="19.8" customHeight="1" x14ac:dyDescent="0.4">
      <c r="A65" s="346"/>
      <c r="B65" s="339"/>
      <c r="C65" s="12" t="s">
        <v>83</v>
      </c>
      <c r="D65" s="46" t="s">
        <v>120</v>
      </c>
      <c r="E65" s="31">
        <v>4</v>
      </c>
      <c r="F65" s="41">
        <v>3</v>
      </c>
      <c r="G65" s="98"/>
      <c r="H65" s="99"/>
      <c r="I65" s="98"/>
      <c r="J65" s="99"/>
      <c r="K65" s="272"/>
      <c r="L65" s="171"/>
      <c r="M65" s="253"/>
      <c r="N65" s="362"/>
    </row>
    <row r="66" spans="1:14" ht="19.8" customHeight="1" x14ac:dyDescent="0.4">
      <c r="A66" s="346"/>
      <c r="B66" s="375" t="s">
        <v>97</v>
      </c>
      <c r="C66" s="12" t="s">
        <v>83</v>
      </c>
      <c r="D66" s="46" t="s">
        <v>121</v>
      </c>
      <c r="E66" s="31">
        <v>4</v>
      </c>
      <c r="F66" s="41">
        <v>3</v>
      </c>
      <c r="G66" s="98"/>
      <c r="H66" s="99"/>
      <c r="I66" s="98"/>
      <c r="J66" s="99"/>
      <c r="K66" s="258"/>
      <c r="L66" s="172"/>
      <c r="M66" s="253"/>
      <c r="N66" s="362"/>
    </row>
    <row r="67" spans="1:14" ht="19.8" customHeight="1" x14ac:dyDescent="0.4">
      <c r="A67" s="346"/>
      <c r="B67" s="344" t="s">
        <v>42</v>
      </c>
      <c r="C67" s="12" t="s">
        <v>36</v>
      </c>
      <c r="D67" s="350" t="s">
        <v>130</v>
      </c>
      <c r="E67" s="31">
        <v>3</v>
      </c>
      <c r="F67" s="41">
        <v>2</v>
      </c>
      <c r="G67" s="87"/>
      <c r="H67" s="88"/>
      <c r="I67" s="87"/>
      <c r="J67" s="99"/>
      <c r="K67" s="101" t="s">
        <v>73</v>
      </c>
      <c r="L67" s="171"/>
      <c r="M67" s="251">
        <v>2</v>
      </c>
      <c r="N67" s="362"/>
    </row>
    <row r="68" spans="1:14" ht="19.8" customHeight="1" x14ac:dyDescent="0.4">
      <c r="A68" s="346"/>
      <c r="B68" s="339"/>
      <c r="C68" s="12" t="s">
        <v>36</v>
      </c>
      <c r="D68" s="350" t="s">
        <v>96</v>
      </c>
      <c r="E68" s="31">
        <v>3</v>
      </c>
      <c r="F68" s="41">
        <v>2</v>
      </c>
      <c r="G68" s="87"/>
      <c r="H68" s="88"/>
      <c r="I68" s="87"/>
      <c r="J68" s="99"/>
      <c r="K68" s="101">
        <v>2</v>
      </c>
      <c r="L68" s="177"/>
      <c r="M68" s="252"/>
      <c r="N68" s="362"/>
    </row>
    <row r="69" spans="1:14" ht="19.8" customHeight="1" x14ac:dyDescent="0.4">
      <c r="A69" s="346"/>
      <c r="B69" s="376" t="s">
        <v>56</v>
      </c>
      <c r="C69" s="33" t="s">
        <v>36</v>
      </c>
      <c r="D69" s="358" t="s">
        <v>98</v>
      </c>
      <c r="E69" s="73">
        <v>4</v>
      </c>
      <c r="F69" s="74">
        <v>4</v>
      </c>
      <c r="G69" s="201"/>
      <c r="H69" s="202"/>
      <c r="I69" s="201"/>
      <c r="J69" s="202"/>
      <c r="K69" s="102"/>
      <c r="L69" s="377" t="s">
        <v>58</v>
      </c>
      <c r="M69" s="279">
        <v>24</v>
      </c>
      <c r="N69" s="362"/>
    </row>
    <row r="70" spans="1:14" ht="19.8" customHeight="1" x14ac:dyDescent="0.4">
      <c r="A70" s="346"/>
      <c r="B70" s="378"/>
      <c r="C70" s="12" t="s">
        <v>38</v>
      </c>
      <c r="D70" s="46" t="s">
        <v>99</v>
      </c>
      <c r="E70" s="31">
        <v>4</v>
      </c>
      <c r="F70" s="41">
        <v>4</v>
      </c>
      <c r="G70" s="98"/>
      <c r="H70" s="99"/>
      <c r="I70" s="98"/>
      <c r="J70" s="99"/>
      <c r="K70" s="102"/>
      <c r="L70" s="327" t="s">
        <v>61</v>
      </c>
      <c r="M70" s="307"/>
      <c r="N70" s="362"/>
    </row>
    <row r="71" spans="1:14" ht="19.8" customHeight="1" x14ac:dyDescent="0.4">
      <c r="A71" s="346"/>
      <c r="B71" s="379" t="s">
        <v>59</v>
      </c>
      <c r="C71" s="12" t="s">
        <v>38</v>
      </c>
      <c r="D71" s="46" t="s">
        <v>100</v>
      </c>
      <c r="E71" s="31">
        <v>4</v>
      </c>
      <c r="F71" s="41">
        <v>4</v>
      </c>
      <c r="G71" s="98"/>
      <c r="H71" s="99"/>
      <c r="I71" s="98"/>
      <c r="J71" s="99"/>
      <c r="K71" s="102"/>
      <c r="L71" s="328"/>
      <c r="M71" s="307"/>
      <c r="N71" s="362"/>
    </row>
    <row r="72" spans="1:14" ht="19.8" customHeight="1" x14ac:dyDescent="0.4">
      <c r="A72" s="346"/>
      <c r="B72" s="380" t="s">
        <v>62</v>
      </c>
      <c r="C72" s="12" t="s">
        <v>36</v>
      </c>
      <c r="D72" s="46" t="s">
        <v>101</v>
      </c>
      <c r="E72" s="31">
        <v>4</v>
      </c>
      <c r="F72" s="41">
        <v>4</v>
      </c>
      <c r="G72" s="98"/>
      <c r="H72" s="99"/>
      <c r="I72" s="98"/>
      <c r="J72" s="99"/>
      <c r="K72" s="102"/>
      <c r="L72" s="328"/>
      <c r="M72" s="307"/>
      <c r="N72" s="362"/>
    </row>
    <row r="73" spans="1:14" ht="19.8" customHeight="1" x14ac:dyDescent="0.4">
      <c r="A73" s="346"/>
      <c r="B73" s="376"/>
      <c r="C73" s="22" t="s">
        <v>38</v>
      </c>
      <c r="D73" s="353" t="s">
        <v>102</v>
      </c>
      <c r="E73" s="91">
        <v>4</v>
      </c>
      <c r="F73" s="92">
        <v>4</v>
      </c>
      <c r="G73" s="98"/>
      <c r="H73" s="99"/>
      <c r="I73" s="98"/>
      <c r="J73" s="99"/>
      <c r="K73" s="102"/>
      <c r="L73" s="328"/>
      <c r="M73" s="307"/>
      <c r="N73" s="362"/>
    </row>
    <row r="74" spans="1:14" ht="19.8" customHeight="1" x14ac:dyDescent="0.4">
      <c r="A74" s="346"/>
      <c r="B74" s="344" t="s">
        <v>64</v>
      </c>
      <c r="C74" s="12" t="s">
        <v>47</v>
      </c>
      <c r="D74" s="350" t="s">
        <v>103</v>
      </c>
      <c r="E74" s="31">
        <v>4</v>
      </c>
      <c r="F74" s="32">
        <v>4</v>
      </c>
      <c r="G74" s="93"/>
      <c r="H74" s="88"/>
      <c r="I74" s="87"/>
      <c r="J74" s="88"/>
      <c r="K74" s="87"/>
      <c r="L74" s="328"/>
      <c r="M74" s="307"/>
      <c r="N74" s="362"/>
    </row>
    <row r="75" spans="1:14" ht="19.8" customHeight="1" x14ac:dyDescent="0.4">
      <c r="A75" s="346"/>
      <c r="B75" s="339"/>
      <c r="C75" s="12" t="s">
        <v>83</v>
      </c>
      <c r="D75" s="350" t="s">
        <v>104</v>
      </c>
      <c r="E75" s="31">
        <v>4</v>
      </c>
      <c r="F75" s="32">
        <v>4</v>
      </c>
      <c r="G75" s="93"/>
      <c r="H75" s="88"/>
      <c r="I75" s="87"/>
      <c r="J75" s="88"/>
      <c r="K75" s="87"/>
      <c r="L75" s="328"/>
      <c r="M75" s="307"/>
      <c r="N75" s="362"/>
    </row>
    <row r="76" spans="1:14" ht="19.8" customHeight="1" x14ac:dyDescent="0.4">
      <c r="A76" s="346"/>
      <c r="B76" s="366" t="s">
        <v>27</v>
      </c>
      <c r="C76" s="33" t="s">
        <v>83</v>
      </c>
      <c r="D76" s="103" t="s">
        <v>105</v>
      </c>
      <c r="E76" s="73">
        <v>4</v>
      </c>
      <c r="F76" s="74">
        <v>4</v>
      </c>
      <c r="G76" s="87"/>
      <c r="H76" s="88"/>
      <c r="I76" s="87"/>
      <c r="J76" s="88"/>
      <c r="K76" s="87"/>
      <c r="L76" s="328"/>
      <c r="M76" s="307"/>
      <c r="N76" s="381"/>
    </row>
    <row r="77" spans="1:14" ht="19.8" customHeight="1" x14ac:dyDescent="0.4">
      <c r="A77" s="346"/>
      <c r="B77" s="368" t="s">
        <v>74</v>
      </c>
      <c r="C77" s="12" t="s">
        <v>47</v>
      </c>
      <c r="D77" s="350" t="s">
        <v>106</v>
      </c>
      <c r="E77" s="31">
        <v>4</v>
      </c>
      <c r="F77" s="41">
        <v>4</v>
      </c>
      <c r="G77" s="87"/>
      <c r="H77" s="88"/>
      <c r="I77" s="87"/>
      <c r="J77" s="88"/>
      <c r="K77" s="87"/>
      <c r="L77" s="328"/>
      <c r="M77" s="307"/>
      <c r="N77" s="382"/>
    </row>
    <row r="78" spans="1:14" ht="19.8" customHeight="1" x14ac:dyDescent="0.4">
      <c r="A78" s="346"/>
      <c r="B78" s="363" t="s">
        <v>50</v>
      </c>
      <c r="C78" s="22" t="s">
        <v>47</v>
      </c>
      <c r="D78" s="369" t="s">
        <v>139</v>
      </c>
      <c r="E78" s="91">
        <v>3</v>
      </c>
      <c r="F78" s="92">
        <v>4</v>
      </c>
      <c r="G78" s="104"/>
      <c r="H78" s="105"/>
      <c r="I78" s="104"/>
      <c r="J78" s="105"/>
      <c r="K78" s="104"/>
      <c r="L78" s="328"/>
      <c r="M78" s="307"/>
      <c r="N78" s="382"/>
    </row>
    <row r="79" spans="1:14" ht="19.8" customHeight="1" x14ac:dyDescent="0.4">
      <c r="A79" s="346"/>
      <c r="B79" s="363" t="s">
        <v>50</v>
      </c>
      <c r="C79" s="22" t="s">
        <v>83</v>
      </c>
      <c r="D79" s="369" t="s">
        <v>132</v>
      </c>
      <c r="E79" s="91">
        <v>3</v>
      </c>
      <c r="F79" s="92">
        <v>4</v>
      </c>
      <c r="G79" s="104"/>
      <c r="H79" s="105"/>
      <c r="I79" s="104"/>
      <c r="J79" s="105"/>
      <c r="K79" s="104"/>
      <c r="L79" s="328"/>
      <c r="M79" s="307"/>
      <c r="N79" s="382"/>
    </row>
    <row r="80" spans="1:14" ht="19.8" customHeight="1" thickBot="1" x14ac:dyDescent="0.45">
      <c r="A80" s="383"/>
      <c r="B80" s="384" t="s">
        <v>71</v>
      </c>
      <c r="C80" s="65" t="s">
        <v>36</v>
      </c>
      <c r="D80" s="385" t="s">
        <v>107</v>
      </c>
      <c r="E80" s="66">
        <v>4</v>
      </c>
      <c r="F80" s="111">
        <v>4</v>
      </c>
      <c r="G80" s="87"/>
      <c r="H80" s="88"/>
      <c r="I80" s="87"/>
      <c r="J80" s="88"/>
      <c r="K80" s="87"/>
      <c r="L80" s="329"/>
      <c r="M80" s="280"/>
      <c r="N80" s="382"/>
    </row>
    <row r="81" spans="1:16" ht="19.8" customHeight="1" x14ac:dyDescent="0.4">
      <c r="A81" s="386"/>
      <c r="B81" s="387" t="s">
        <v>50</v>
      </c>
      <c r="C81" s="33" t="s">
        <v>36</v>
      </c>
      <c r="D81" s="198" t="s">
        <v>145</v>
      </c>
      <c r="E81" s="73">
        <v>3</v>
      </c>
      <c r="F81" s="85">
        <v>2</v>
      </c>
      <c r="G81" s="305" t="s">
        <v>108</v>
      </c>
      <c r="H81" s="306"/>
      <c r="I81" s="306"/>
      <c r="J81" s="306"/>
      <c r="K81" s="306"/>
      <c r="L81" s="325"/>
      <c r="M81" s="240"/>
      <c r="N81" s="9">
        <v>79</v>
      </c>
    </row>
    <row r="82" spans="1:16" ht="19.8" customHeight="1" x14ac:dyDescent="0.4">
      <c r="A82" s="388"/>
      <c r="B82" s="389" t="s">
        <v>27</v>
      </c>
      <c r="C82" s="78" t="s">
        <v>47</v>
      </c>
      <c r="D82" s="390" t="s">
        <v>140</v>
      </c>
      <c r="E82" s="80">
        <v>4</v>
      </c>
      <c r="F82" s="161">
        <v>3</v>
      </c>
      <c r="G82" s="305"/>
      <c r="H82" s="306"/>
      <c r="I82" s="306"/>
      <c r="J82" s="306"/>
      <c r="K82" s="306"/>
      <c r="L82" s="325"/>
      <c r="M82" s="240"/>
      <c r="N82" s="391"/>
    </row>
    <row r="83" spans="1:16" ht="19.8" customHeight="1" x14ac:dyDescent="0.4">
      <c r="A83" s="388"/>
      <c r="B83" s="392" t="s">
        <v>27</v>
      </c>
      <c r="C83" s="12" t="s">
        <v>83</v>
      </c>
      <c r="D83" s="393" t="s">
        <v>134</v>
      </c>
      <c r="E83" s="31">
        <v>4</v>
      </c>
      <c r="F83" s="32">
        <v>3</v>
      </c>
      <c r="G83" s="305"/>
      <c r="H83" s="306"/>
      <c r="I83" s="306"/>
      <c r="J83" s="306"/>
      <c r="K83" s="306"/>
      <c r="L83" s="325"/>
      <c r="M83" s="240"/>
      <c r="N83" s="391"/>
    </row>
    <row r="84" spans="1:16" ht="19.8" customHeight="1" thickBot="1" x14ac:dyDescent="0.45">
      <c r="A84" s="388"/>
      <c r="B84" s="394" t="s">
        <v>64</v>
      </c>
      <c r="C84" s="22" t="s">
        <v>47</v>
      </c>
      <c r="D84" s="110" t="s">
        <v>109</v>
      </c>
      <c r="E84" s="66">
        <v>4</v>
      </c>
      <c r="F84" s="111">
        <v>3</v>
      </c>
      <c r="G84" s="237"/>
      <c r="H84" s="238"/>
      <c r="I84" s="238"/>
      <c r="J84" s="238"/>
      <c r="K84" s="238"/>
      <c r="L84" s="239"/>
      <c r="M84" s="240"/>
      <c r="N84" s="204">
        <v>95</v>
      </c>
    </row>
    <row r="85" spans="1:16" ht="15" customHeight="1" x14ac:dyDescent="0.4">
      <c r="A85" s="395" t="s">
        <v>110</v>
      </c>
      <c r="B85" s="396"/>
      <c r="C85" s="397"/>
      <c r="D85" s="203"/>
      <c r="E85" s="398"/>
      <c r="F85" s="399"/>
      <c r="G85" s="400">
        <v>30</v>
      </c>
      <c r="H85" s="119">
        <v>30</v>
      </c>
      <c r="I85" s="118">
        <v>30</v>
      </c>
      <c r="J85" s="119">
        <v>30</v>
      </c>
      <c r="K85" s="401">
        <v>28</v>
      </c>
      <c r="L85" s="9">
        <v>26</v>
      </c>
      <c r="M85" s="244">
        <f>SUM(G85:L85)</f>
        <v>174</v>
      </c>
      <c r="N85" s="245"/>
    </row>
    <row r="86" spans="1:16" ht="14.4" customHeight="1" x14ac:dyDescent="0.4">
      <c r="A86" s="402" t="s">
        <v>111</v>
      </c>
      <c r="B86" s="403"/>
      <c r="C86" s="404"/>
      <c r="D86" s="405"/>
      <c r="E86" s="392"/>
      <c r="F86" s="406"/>
      <c r="G86" s="407">
        <v>3</v>
      </c>
      <c r="H86" s="408">
        <v>3</v>
      </c>
      <c r="I86" s="405">
        <v>3</v>
      </c>
      <c r="J86" s="408">
        <v>3</v>
      </c>
      <c r="K86" s="405">
        <v>3</v>
      </c>
      <c r="L86" s="408">
        <v>3</v>
      </c>
      <c r="M86" s="409">
        <f>SUM(G86:L86)</f>
        <v>18</v>
      </c>
      <c r="N86" s="410"/>
    </row>
    <row r="87" spans="1:16" ht="18" customHeight="1" thickBot="1" x14ac:dyDescent="0.45">
      <c r="A87" s="411" t="s">
        <v>112</v>
      </c>
      <c r="B87" s="412"/>
      <c r="C87" s="413"/>
      <c r="D87" s="414"/>
      <c r="E87" s="415"/>
      <c r="F87" s="416"/>
      <c r="G87" s="417">
        <f t="shared" ref="G87:L87" si="0">G85+G86</f>
        <v>33</v>
      </c>
      <c r="H87" s="418">
        <f t="shared" si="0"/>
        <v>33</v>
      </c>
      <c r="I87" s="414">
        <f t="shared" si="0"/>
        <v>33</v>
      </c>
      <c r="J87" s="418">
        <f t="shared" si="0"/>
        <v>33</v>
      </c>
      <c r="K87" s="414">
        <f t="shared" si="0"/>
        <v>31</v>
      </c>
      <c r="L87" s="418">
        <f t="shared" si="0"/>
        <v>29</v>
      </c>
      <c r="M87" s="419">
        <f>SUM(G87:L87)</f>
        <v>192</v>
      </c>
      <c r="N87" s="420"/>
    </row>
    <row r="88" spans="1:16" x14ac:dyDescent="0.4">
      <c r="B88" s="234" t="s">
        <v>135</v>
      </c>
      <c r="C88" s="234"/>
      <c r="D88" s="235"/>
    </row>
    <row r="89" spans="1:16" x14ac:dyDescent="0.4">
      <c r="B89" s="234"/>
      <c r="C89" s="234"/>
      <c r="D89" s="234"/>
    </row>
    <row r="90" spans="1:16" x14ac:dyDescent="0.4">
      <c r="B90" s="234"/>
      <c r="C90" s="234"/>
      <c r="D90" s="234"/>
    </row>
    <row r="91" spans="1:16" s="133" customFormat="1" x14ac:dyDescent="0.4">
      <c r="A91" s="132"/>
      <c r="B91" s="234"/>
      <c r="C91" s="234"/>
      <c r="D91" s="234"/>
      <c r="I91" s="134"/>
      <c r="J91" s="134"/>
      <c r="M91" s="134"/>
      <c r="N91" s="135"/>
      <c r="O91" s="1"/>
      <c r="P91" s="1"/>
    </row>
    <row r="92" spans="1:16" s="133" customFormat="1" x14ac:dyDescent="0.4">
      <c r="A92" s="132"/>
      <c r="B92" s="234"/>
      <c r="C92" s="234"/>
      <c r="D92" s="234"/>
      <c r="I92" s="134"/>
      <c r="J92" s="134"/>
      <c r="M92" s="134"/>
      <c r="N92" s="135"/>
      <c r="O92" s="1"/>
      <c r="P92" s="1"/>
    </row>
    <row r="93" spans="1:16" s="133" customFormat="1" x14ac:dyDescent="0.4">
      <c r="A93" s="132"/>
      <c r="B93" s="234"/>
      <c r="C93" s="234"/>
      <c r="D93" s="234"/>
      <c r="I93" s="134"/>
      <c r="J93" s="134"/>
      <c r="M93" s="134"/>
      <c r="N93" s="135"/>
      <c r="O93" s="1"/>
      <c r="P93" s="1"/>
    </row>
    <row r="94" spans="1:16" s="133" customFormat="1" x14ac:dyDescent="0.4">
      <c r="A94" s="132"/>
      <c r="B94" s="234"/>
      <c r="C94" s="234"/>
      <c r="D94" s="234"/>
      <c r="I94" s="134"/>
      <c r="J94" s="134"/>
      <c r="M94" s="134"/>
      <c r="N94" s="135"/>
      <c r="O94" s="1"/>
      <c r="P94" s="1"/>
    </row>
    <row r="95" spans="1:16" x14ac:dyDescent="0.4">
      <c r="B95" s="234"/>
      <c r="C95" s="234"/>
      <c r="D95" s="234"/>
    </row>
    <row r="96" spans="1:16" x14ac:dyDescent="0.4">
      <c r="B96" s="234"/>
      <c r="C96" s="234"/>
      <c r="D96" s="234"/>
    </row>
  </sheetData>
  <mergeCells count="79">
    <mergeCell ref="A1:N1"/>
    <mergeCell ref="A2:N2"/>
    <mergeCell ref="A3:A4"/>
    <mergeCell ref="B3:B4"/>
    <mergeCell ref="C3:D4"/>
    <mergeCell ref="E3:E4"/>
    <mergeCell ref="F3:F4"/>
    <mergeCell ref="G3:H3"/>
    <mergeCell ref="I3:J3"/>
    <mergeCell ref="K3:L3"/>
    <mergeCell ref="M3:M4"/>
    <mergeCell ref="N3:N4"/>
    <mergeCell ref="B11:B12"/>
    <mergeCell ref="M11:M12"/>
    <mergeCell ref="N11:N12"/>
    <mergeCell ref="B13:B16"/>
    <mergeCell ref="M13:M14"/>
    <mergeCell ref="N13:N14"/>
    <mergeCell ref="M15:M16"/>
    <mergeCell ref="N15:N16"/>
    <mergeCell ref="B5:B7"/>
    <mergeCell ref="M5:M7"/>
    <mergeCell ref="N5:N7"/>
    <mergeCell ref="B8:B10"/>
    <mergeCell ref="M8:M10"/>
    <mergeCell ref="N8:N10"/>
    <mergeCell ref="M17:M20"/>
    <mergeCell ref="N17:N20"/>
    <mergeCell ref="B21:B26"/>
    <mergeCell ref="M21:M22"/>
    <mergeCell ref="N21:N26"/>
    <mergeCell ref="M23:M24"/>
    <mergeCell ref="M25:M26"/>
    <mergeCell ref="B17:B20"/>
    <mergeCell ref="B27:B30"/>
    <mergeCell ref="G27:G28"/>
    <mergeCell ref="H27:H28"/>
    <mergeCell ref="M27:M28"/>
    <mergeCell ref="N27:N30"/>
    <mergeCell ref="I29:I30"/>
    <mergeCell ref="J29:J30"/>
    <mergeCell ref="M29:M30"/>
    <mergeCell ref="M31:M33"/>
    <mergeCell ref="N31:N33"/>
    <mergeCell ref="A34:A80"/>
    <mergeCell ref="M34:M42"/>
    <mergeCell ref="N34:N75"/>
    <mergeCell ref="I35:I42"/>
    <mergeCell ref="B37:B38"/>
    <mergeCell ref="M43:M44"/>
    <mergeCell ref="M69:M80"/>
    <mergeCell ref="L70:L80"/>
    <mergeCell ref="B72:B73"/>
    <mergeCell ref="B74:B75"/>
    <mergeCell ref="B48:B49"/>
    <mergeCell ref="M54:M55"/>
    <mergeCell ref="M56:M66"/>
    <mergeCell ref="A5:A33"/>
    <mergeCell ref="B58:B59"/>
    <mergeCell ref="B60:B61"/>
    <mergeCell ref="B62:B63"/>
    <mergeCell ref="A87:C87"/>
    <mergeCell ref="B31:B33"/>
    <mergeCell ref="M87:N87"/>
    <mergeCell ref="B88:D96"/>
    <mergeCell ref="J46:J53"/>
    <mergeCell ref="M45:M53"/>
    <mergeCell ref="N77:N80"/>
    <mergeCell ref="G81:L84"/>
    <mergeCell ref="M81:M84"/>
    <mergeCell ref="A85:C85"/>
    <mergeCell ref="M85:N85"/>
    <mergeCell ref="A86:C86"/>
    <mergeCell ref="M86:N86"/>
    <mergeCell ref="B64:B65"/>
    <mergeCell ref="B67:B68"/>
    <mergeCell ref="M67:M68"/>
    <mergeCell ref="B69:B70"/>
    <mergeCell ref="K57:K66"/>
  </mergeCells>
  <phoneticPr fontId="4" type="noConversion"/>
  <printOptions horizontalCentered="1"/>
  <pageMargins left="0.25" right="0.25" top="0.75" bottom="0.75" header="0.3" footer="0.3"/>
  <pageSetup paperSize="8" scale="61" fitToWidth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2025학년도 신입생 3개년 편제표(3.12안건용)</vt:lpstr>
      <vt:lpstr>2026학년도 신입생 3개년 편제표(안) 수정 후</vt:lpstr>
      <vt:lpstr>'2025학년도 신입생 3개년 편제표(3.12안건용)'!Print_Area</vt:lpstr>
      <vt:lpstr>'2026학년도 신입생 3개년 편제표(안) 수정 후'!Print_Area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은정 이</dc:creator>
  <cp:lastModifiedBy>USE</cp:lastModifiedBy>
  <cp:lastPrinted>2026-04-09T04:44:00Z</cp:lastPrinted>
  <dcterms:created xsi:type="dcterms:W3CDTF">2025-09-14T23:51:24Z</dcterms:created>
  <dcterms:modified xsi:type="dcterms:W3CDTF">2026-04-10T02:16:31Z</dcterms:modified>
</cp:coreProperties>
</file>