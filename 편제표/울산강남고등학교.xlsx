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handytmp\"/>
    </mc:Choice>
  </mc:AlternateContent>
  <xr:revisionPtr revIDLastSave="0" documentId="13_ncr:1_{607D281B-7777-42B9-8762-EEAC86FD1DB5}" xr6:coauthVersionLast="36" xr6:coauthVersionMax="36" xr10:uidLastSave="{00000000-0000-0000-0000-000000000000}"/>
  <bookViews>
    <workbookView xWindow="-120" yWindow="-16320" windowWidth="29040" windowHeight="15720" tabRatio="871" xr2:uid="{1FB76758-5780-4906-9E98-74BD92E01F43}"/>
  </bookViews>
  <sheets>
    <sheet name="2025 신입생" sheetId="40" r:id="rId1"/>
  </sheets>
  <definedNames>
    <definedName name="_xlnm.Print_Area" localSheetId="0">'2025 신입생'!$A$1:$N$85</definedName>
    <definedName name="개나리" localSheetId="0">#REF!</definedName>
    <definedName name="개나리">#REF!</definedName>
    <definedName name="계열구분" localSheetId="0">#REF!</definedName>
    <definedName name="계열구분">#REF!</definedName>
    <definedName name="과학" localSheetId="0">#REF!</definedName>
    <definedName name="과학">#REF!</definedName>
    <definedName name="과학임" localSheetId="0">#REF!</definedName>
    <definedName name="과학임">#REF!</definedName>
    <definedName name="국어" localSheetId="0">#REF!</definedName>
    <definedName name="국어">#REF!</definedName>
    <definedName name="몰라" localSheetId="0">#REF!</definedName>
    <definedName name="몰라">#REF!</definedName>
    <definedName name="사회" localSheetId="0">#REF!</definedName>
    <definedName name="사회">#REF!</definedName>
    <definedName name="생활교양" localSheetId="0">#REF!</definedName>
    <definedName name="생활교양">#REF!</definedName>
    <definedName name="수학" localSheetId="0">#REF!</definedName>
    <definedName name="수학">#REF!</definedName>
    <definedName name="영어" localSheetId="0">#REF!</definedName>
    <definedName name="영어">#REF!</definedName>
    <definedName name="예술" localSheetId="0">#REF!</definedName>
    <definedName name="예술">#REF!</definedName>
    <definedName name="체육" localSheetId="0">#REF!</definedName>
    <definedName name="체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5" i="40" l="1"/>
  <c r="M31" i="40"/>
  <c r="M25" i="40"/>
  <c r="M21" i="40"/>
</calcChain>
</file>

<file path=xl/sharedStrings.xml><?xml version="1.0" encoding="utf-8"?>
<sst xmlns="http://schemas.openxmlformats.org/spreadsheetml/2006/main" count="241" uniqueCount="131">
  <si>
    <t>일반</t>
  </si>
  <si>
    <t>국어</t>
  </si>
  <si>
    <t>수학</t>
  </si>
  <si>
    <t>영어</t>
  </si>
  <si>
    <t>체육</t>
  </si>
  <si>
    <t>국어</t>
    <phoneticPr fontId="1" type="noConversion"/>
  </si>
  <si>
    <t>수학</t>
    <phoneticPr fontId="1" type="noConversion"/>
  </si>
  <si>
    <t>영어</t>
    <phoneticPr fontId="1" type="noConversion"/>
  </si>
  <si>
    <t>음악</t>
    <phoneticPr fontId="1" type="noConversion"/>
  </si>
  <si>
    <t>미술</t>
    <phoneticPr fontId="1" type="noConversion"/>
  </si>
  <si>
    <t>구분</t>
    <phoneticPr fontId="1" type="noConversion"/>
  </si>
  <si>
    <t>기준
학점</t>
    <phoneticPr fontId="1" type="noConversion"/>
  </si>
  <si>
    <t>1학기</t>
  </si>
  <si>
    <t>2학기</t>
  </si>
  <si>
    <t>필수
이수
학점</t>
    <phoneticPr fontId="1" type="noConversion"/>
  </si>
  <si>
    <t>공통</t>
    <phoneticPr fontId="1" type="noConversion"/>
  </si>
  <si>
    <t>일반</t>
    <phoneticPr fontId="1" type="noConversion"/>
  </si>
  <si>
    <t>독서와 작문</t>
    <phoneticPr fontId="1" type="noConversion"/>
  </si>
  <si>
    <t>과학</t>
    <phoneticPr fontId="1" type="noConversion"/>
  </si>
  <si>
    <t>체육1</t>
    <phoneticPr fontId="1" type="noConversion"/>
  </si>
  <si>
    <t>체육2</t>
    <phoneticPr fontId="1" type="noConversion"/>
  </si>
  <si>
    <t>진로</t>
    <phoneticPr fontId="1" type="noConversion"/>
  </si>
  <si>
    <t>스포츠 과학*</t>
    <phoneticPr fontId="1" type="noConversion"/>
  </si>
  <si>
    <t>융합</t>
    <phoneticPr fontId="1" type="noConversion"/>
  </si>
  <si>
    <t>스포츠 생활1</t>
    <phoneticPr fontId="1" type="noConversion"/>
  </si>
  <si>
    <t>예술</t>
    <phoneticPr fontId="1" type="noConversion"/>
  </si>
  <si>
    <t>음악 연주와 창작</t>
    <phoneticPr fontId="1" type="noConversion"/>
  </si>
  <si>
    <t>미술 창작</t>
    <phoneticPr fontId="1" type="noConversion"/>
  </si>
  <si>
    <t>사회</t>
    <phoneticPr fontId="1" type="noConversion"/>
  </si>
  <si>
    <t>물리학, 화학, 생명과학, 지구과학</t>
    <phoneticPr fontId="1" type="noConversion"/>
  </si>
  <si>
    <t>인공지능 기초</t>
    <phoneticPr fontId="1" type="noConversion"/>
  </si>
  <si>
    <t>창의적 체험활동</t>
  </si>
  <si>
    <t>교과
(군)</t>
    <phoneticPr fontId="1" type="noConversion"/>
  </si>
  <si>
    <t>세부과목</t>
  </si>
  <si>
    <t>운영학점</t>
    <phoneticPr fontId="1" type="noConversion"/>
  </si>
  <si>
    <t>1학년</t>
    <phoneticPr fontId="1" type="noConversion"/>
  </si>
  <si>
    <t>2학년</t>
  </si>
  <si>
    <t>3학년</t>
  </si>
  <si>
    <t>확률과 통계</t>
    <phoneticPr fontId="1" type="noConversion"/>
  </si>
  <si>
    <t>진로</t>
  </si>
  <si>
    <t>논술</t>
    <phoneticPr fontId="1" type="noConversion"/>
  </si>
  <si>
    <t>이수 
학점</t>
    <phoneticPr fontId="1" type="noConversion"/>
  </si>
  <si>
    <t>학
교
지
정
교
육
과
정</t>
    <phoneticPr fontId="1" type="noConversion"/>
  </si>
  <si>
    <t>공통국어1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</si>
  <si>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</si>
  <si>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</si>
  <si>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</si>
  <si>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</si>
  <si>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통합사회1</t>
    <phoneticPr fontId="1" type="noConversion"/>
  </si>
  <si>
    <t>통합사회2</t>
    <phoneticPr fontId="1" type="noConversion"/>
  </si>
  <si>
    <t>한국사1</t>
    <phoneticPr fontId="1" type="noConversion"/>
  </si>
  <si>
    <t>한국사2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</si>
  <si>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</si>
  <si>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</si>
  <si>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</si>
  <si>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</si>
  <si>
    <t>택6</t>
    <phoneticPr fontId="1" type="noConversion"/>
  </si>
  <si>
    <t>4
4
4
4
4
4</t>
    <phoneticPr fontId="1" type="noConversion"/>
  </si>
  <si>
    <t>세계시민과 지리, 세계사, 사회와 문화, 현대사회와 윤리</t>
  </si>
  <si>
    <t>문학과 영상</t>
    <phoneticPr fontId="1" type="noConversion"/>
  </si>
  <si>
    <t>수학과제 탐구</t>
    <phoneticPr fontId="1" type="noConversion"/>
  </si>
  <si>
    <t>도시의 미래 탐구, 법과 사회, 인문학과 윤리</t>
    <phoneticPr fontId="1" type="noConversion"/>
  </si>
  <si>
    <t>소프트웨어와 생활</t>
    <phoneticPr fontId="1" type="noConversion"/>
  </si>
  <si>
    <t>제2외국어/한문</t>
    <phoneticPr fontId="1" type="noConversion"/>
  </si>
  <si>
    <t>직무 수학</t>
    <phoneticPr fontId="1" type="noConversion"/>
  </si>
  <si>
    <t>이수학점 소계</t>
    <phoneticPr fontId="1" type="noConversion"/>
  </si>
  <si>
    <t>학기별 총 이수 학점</t>
    <phoneticPr fontId="1" type="noConversion"/>
  </si>
  <si>
    <t>공통국어2</t>
    <phoneticPr fontId="1" type="noConversion"/>
  </si>
  <si>
    <t>음악 감상과 비평</t>
    <phoneticPr fontId="1" type="noConversion"/>
  </si>
  <si>
    <t>택1</t>
    <phoneticPr fontId="1" type="noConversion"/>
  </si>
  <si>
    <t>택5</t>
    <phoneticPr fontId="1" type="noConversion"/>
  </si>
  <si>
    <t>교차집중(↔)</t>
    <phoneticPr fontId="1" type="noConversion"/>
  </si>
  <si>
    <t>한문 고전 읽기</t>
    <phoneticPr fontId="1" type="noConversion"/>
  </si>
  <si>
    <t>한문</t>
    <phoneticPr fontId="1" type="noConversion"/>
  </si>
  <si>
    <t>정보</t>
    <phoneticPr fontId="1" type="noConversion"/>
  </si>
  <si>
    <t>진로와 직업</t>
    <phoneticPr fontId="1" type="noConversion"/>
  </si>
  <si>
    <t>일본어, 중국어(택1)</t>
    <phoneticPr fontId="1" type="noConversion"/>
  </si>
  <si>
    <t>심화 영어</t>
    <phoneticPr fontId="1" type="noConversion"/>
  </si>
  <si>
    <t>사회
(역사/도덕 포함)</t>
    <phoneticPr fontId="1" type="noConversion"/>
  </si>
  <si>
    <t>일본어 회화, 중국어 회화</t>
    <phoneticPr fontId="1" type="noConversion"/>
  </si>
  <si>
    <t>스포츠 생활2</t>
    <phoneticPr fontId="1" type="noConversion"/>
  </si>
  <si>
    <t>미술과 매체</t>
    <phoneticPr fontId="1" type="noConversion"/>
  </si>
  <si>
    <t>주제 탐구 독서</t>
    <phoneticPr fontId="1" type="noConversion"/>
  </si>
  <si>
    <t>한국지리 탐구, 동아시아 역사 기행, 정치, 경제, 윤리와 사상</t>
  </si>
  <si>
    <t>일본 문화, 중국 문화</t>
    <phoneticPr fontId="1" type="noConversion"/>
  </si>
  <si>
    <t>사회문제 탐구, 금융과 경제생활, 역사로 탐구하는 현대 세계</t>
    <phoneticPr fontId="1" type="noConversion"/>
  </si>
  <si>
    <t>영어 독해와 작문</t>
    <phoneticPr fontId="1" type="noConversion"/>
  </si>
  <si>
    <t>기하</t>
    <phoneticPr fontId="1" type="noConversion"/>
  </si>
  <si>
    <t>영미 문학 읽기</t>
    <phoneticPr fontId="1" type="noConversion"/>
  </si>
  <si>
    <t>스포츠 문화*</t>
    <phoneticPr fontId="1" type="noConversion"/>
  </si>
  <si>
    <t>택4</t>
    <phoneticPr fontId="1" type="noConversion"/>
  </si>
  <si>
    <t>3
3
3
3</t>
    <phoneticPr fontId="1" type="noConversion"/>
  </si>
  <si>
    <t>데이터 과학</t>
    <phoneticPr fontId="1" type="noConversion"/>
  </si>
  <si>
    <t>융합과학 탐구</t>
    <phoneticPr fontId="1" type="noConversion"/>
  </si>
  <si>
    <t xml:space="preserve">화법과 언어 </t>
    <phoneticPr fontId="1" type="noConversion"/>
  </si>
  <si>
    <t xml:space="preserve">문학 </t>
    <phoneticPr fontId="1" type="noConversion"/>
  </si>
  <si>
    <t>심화 영어 독해와 작문</t>
    <phoneticPr fontId="1" type="noConversion"/>
  </si>
  <si>
    <t>세계 문화와 영어</t>
    <phoneticPr fontId="1" type="noConversion"/>
  </si>
  <si>
    <t>과학의 역사와 문화, 기후변화와 환경생태</t>
    <phoneticPr fontId="1" type="noConversion"/>
  </si>
  <si>
    <t xml:space="preserve">대수 </t>
    <phoneticPr fontId="1" type="noConversion"/>
  </si>
  <si>
    <t>영어Ⅱ</t>
    <phoneticPr fontId="1" type="noConversion"/>
  </si>
  <si>
    <t>영어Ⅰ</t>
    <phoneticPr fontId="1" type="noConversion"/>
  </si>
  <si>
    <t>미적분Ⅰ</t>
    <phoneticPr fontId="1" type="noConversion"/>
  </si>
  <si>
    <t>4
4
4
4
4</t>
    <phoneticPr fontId="1" type="noConversion"/>
  </si>
  <si>
    <t>학
생
선
택
교
육
과
정</t>
    <phoneticPr fontId="1" type="noConversion"/>
  </si>
  <si>
    <t>여행지리, 윤리문제 탐구, 기후변화와 지속가능한 세계</t>
    <phoneticPr fontId="1" type="noConversion"/>
  </si>
  <si>
    <t>미적분Ⅱ</t>
    <phoneticPr fontId="1" type="noConversion"/>
  </si>
  <si>
    <t>언어 생활과 한자</t>
    <phoneticPr fontId="1" type="noConversion"/>
  </si>
  <si>
    <t>전자기와 양자, 화학 반응의 세계, 생물의 유전, 행성우주과학</t>
    <phoneticPr fontId="1" type="noConversion"/>
  </si>
  <si>
    <t>교양</t>
    <phoneticPr fontId="1" type="noConversion"/>
  </si>
  <si>
    <t>무학년/학기/이수시기별 2학점</t>
    <phoneticPr fontId="1" type="noConversion"/>
  </si>
  <si>
    <t>소
인
수</t>
    <phoneticPr fontId="1" type="noConversion"/>
  </si>
  <si>
    <t>무학년/학기/이수시기별 3학점</t>
    <phoneticPr fontId="1" type="noConversion"/>
  </si>
  <si>
    <t>2,3학년/학기/이수시기별 3학점</t>
    <phoneticPr fontId="1" type="noConversion"/>
  </si>
  <si>
    <t>과학과제 연구☆</t>
    <phoneticPr fontId="1" type="noConversion"/>
  </si>
  <si>
    <t>보건 간호★</t>
    <phoneticPr fontId="1" type="noConversion"/>
  </si>
  <si>
    <t>마케팅과 광고★</t>
    <phoneticPr fontId="1" type="noConversion"/>
  </si>
  <si>
    <t>★ 전문 교과(2022 개정 교육과정), ☆특목고 교과(2022 개정 교육과정)</t>
    <phoneticPr fontId="1" type="noConversion"/>
  </si>
  <si>
    <t>국제 경제☆, 국제 관계와 국제기구☆</t>
    <phoneticPr fontId="1" type="noConversion"/>
  </si>
  <si>
    <t>인공지능 수학</t>
    <phoneticPr fontId="1" type="noConversion"/>
  </si>
  <si>
    <t>고급 물리학☆, 고급 생명과학☆</t>
    <phoneticPr fontId="1" type="noConversion"/>
  </si>
  <si>
    <t xml:space="preserve">역학과 에너지, 물질과 에너지, 세포와 물질대사, 지구시스템과학 </t>
    <phoneticPr fontId="1" type="noConversion"/>
  </si>
  <si>
    <t>`</t>
    <phoneticPr fontId="1" type="noConversion"/>
  </si>
  <si>
    <r>
      <t>실용 통계,</t>
    </r>
    <r>
      <rPr>
        <b/>
        <sz val="10"/>
        <color rgb="FFFF0000"/>
        <rFont val="맑은 고딕"/>
        <family val="3"/>
        <charset val="129"/>
        <scheme val="minor"/>
      </rPr>
      <t xml:space="preserve"> 수학과 문화</t>
    </r>
    <phoneticPr fontId="1" type="noConversion"/>
  </si>
  <si>
    <t>물리학 실험☆, 생명과학 실험☆</t>
    <phoneticPr fontId="1" type="noConversion"/>
  </si>
  <si>
    <r>
      <t xml:space="preserve">매체 의사소통, 독서 토론과 글쓰기,  </t>
    </r>
    <r>
      <rPr>
        <b/>
        <sz val="10"/>
        <color rgb="FFFF0000"/>
        <rFont val="맑은 고딕"/>
        <family val="3"/>
        <charset val="129"/>
        <scheme val="minor"/>
      </rPr>
      <t>언어생활 탐구</t>
    </r>
    <phoneticPr fontId="1" type="noConversion"/>
  </si>
  <si>
    <t>울산강남고등학교(2026. 7. 13.수정)</t>
    <phoneticPr fontId="1" type="noConversion"/>
  </si>
  <si>
    <t>공동</t>
    <phoneticPr fontId="1" type="noConversion"/>
  </si>
  <si>
    <t>고급대수☆</t>
    <phoneticPr fontId="1" type="noConversion"/>
  </si>
  <si>
    <t>학기/이수시기별 3학점</t>
    <phoneticPr fontId="1" type="noConversion"/>
  </si>
  <si>
    <t>2025학년도 신입생 3개년 교육과정 편제표 수정(안)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</si>
</sst>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rgb="FFFF0000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4">
    <xf numFmtId="0" fontId="0" fillId="0" borderId="0" xfId="0">
      <alignment vertical="center"/>
    </xf>
    <xf numFmtId="0" fontId="5" fillId="0" borderId="0" xfId="0" applyFont="1">
      <alignment vertical="center"/>
    </xf>
    <xf numFmtId="176" fontId="7" fillId="3" borderId="29" xfId="0" applyNumberFormat="1" applyFont="1" applyFill="1" applyBorder="1" applyAlignment="1">
      <alignment horizontal="center" vertical="center" shrinkToFit="1"/>
    </xf>
    <xf numFmtId="176" fontId="7" fillId="3" borderId="30" xfId="0" applyNumberFormat="1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76" fontId="2" fillId="0" borderId="20" xfId="0" applyNumberFormat="1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76" fontId="2" fillId="0" borderId="33" xfId="0" applyNumberFormat="1" applyFont="1" applyBorder="1" applyAlignment="1">
      <alignment horizontal="center" vertical="center" wrapText="1"/>
    </xf>
    <xf numFmtId="176" fontId="2" fillId="2" borderId="33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176" fontId="2" fillId="0" borderId="17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76" fontId="2" fillId="2" borderId="35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176" fontId="2" fillId="0" borderId="34" xfId="0" applyNumberFormat="1" applyFont="1" applyBorder="1" applyAlignment="1">
      <alignment horizontal="center" vertical="center" wrapText="1"/>
    </xf>
    <xf numFmtId="176" fontId="2" fillId="0" borderId="19" xfId="0" applyNumberFormat="1" applyFont="1" applyBorder="1" applyAlignment="1">
      <alignment horizontal="center" vertical="center" wrapText="1"/>
    </xf>
    <xf numFmtId="176" fontId="2" fillId="0" borderId="22" xfId="0" applyNumberFormat="1" applyFont="1" applyBorder="1" applyAlignment="1">
      <alignment horizontal="center" vertical="center" wrapText="1"/>
    </xf>
    <xf numFmtId="176" fontId="2" fillId="0" borderId="23" xfId="0" applyNumberFormat="1" applyFont="1" applyBorder="1" applyAlignment="1">
      <alignment horizontal="center" vertical="center" wrapText="1"/>
    </xf>
    <xf numFmtId="176" fontId="2" fillId="2" borderId="20" xfId="0" applyNumberFormat="1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176" fontId="2" fillId="2" borderId="22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176" fontId="2" fillId="0" borderId="36" xfId="0" applyNumberFormat="1" applyFont="1" applyFill="1" applyBorder="1" applyAlignment="1">
      <alignment horizontal="center" vertical="center" wrapText="1"/>
    </xf>
    <xf numFmtId="176" fontId="2" fillId="0" borderId="33" xfId="0" applyNumberFormat="1" applyFont="1" applyFill="1" applyBorder="1" applyAlignment="1">
      <alignment horizontal="center" vertical="center" wrapText="1"/>
    </xf>
    <xf numFmtId="176" fontId="2" fillId="0" borderId="37" xfId="0" applyNumberFormat="1" applyFont="1" applyFill="1" applyBorder="1" applyAlignment="1">
      <alignment horizontal="center" vertical="center" wrapText="1"/>
    </xf>
    <xf numFmtId="176" fontId="2" fillId="0" borderId="20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8" fillId="0" borderId="36" xfId="0" applyNumberFormat="1" applyFont="1" applyBorder="1" applyAlignment="1">
      <alignment horizontal="center" vertical="center" wrapText="1"/>
    </xf>
    <xf numFmtId="176" fontId="8" fillId="0" borderId="33" xfId="0" applyNumberFormat="1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176" fontId="2" fillId="2" borderId="14" xfId="0" applyNumberFormat="1" applyFont="1" applyFill="1" applyBorder="1" applyAlignment="1">
      <alignment horizontal="center" vertical="center" wrapText="1"/>
    </xf>
    <xf numFmtId="176" fontId="2" fillId="2" borderId="14" xfId="0" applyNumberFormat="1" applyFont="1" applyFill="1" applyBorder="1" applyAlignment="1">
      <alignment horizontal="center" vertical="center" shrinkToFit="1"/>
    </xf>
    <xf numFmtId="176" fontId="2" fillId="2" borderId="22" xfId="0" applyNumberFormat="1" applyFont="1" applyFill="1" applyBorder="1" applyAlignment="1">
      <alignment horizontal="center" vertical="center" wrapText="1"/>
    </xf>
    <xf numFmtId="176" fontId="2" fillId="2" borderId="36" xfId="0" applyNumberFormat="1" applyFont="1" applyFill="1" applyBorder="1" applyAlignment="1">
      <alignment horizontal="center" vertical="center" shrinkToFit="1"/>
    </xf>
    <xf numFmtId="176" fontId="2" fillId="2" borderId="33" xfId="0" applyNumberFormat="1" applyFont="1" applyFill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center" vertical="center" wrapText="1"/>
    </xf>
    <xf numFmtId="176" fontId="2" fillId="0" borderId="37" xfId="0" applyNumberFormat="1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 wrapText="1"/>
    </xf>
    <xf numFmtId="176" fontId="2" fillId="0" borderId="35" xfId="0" applyNumberFormat="1" applyFont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76" fontId="2" fillId="2" borderId="36" xfId="0" applyNumberFormat="1" applyFont="1" applyFill="1" applyBorder="1" applyAlignment="1">
      <alignment horizontal="center" vertical="center" wrapText="1"/>
    </xf>
    <xf numFmtId="176" fontId="2" fillId="2" borderId="37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left" vertical="center" shrinkToFit="1"/>
    </xf>
    <xf numFmtId="176" fontId="2" fillId="0" borderId="1" xfId="0" applyNumberFormat="1" applyFont="1" applyFill="1" applyBorder="1" applyAlignment="1">
      <alignment horizontal="left" vertical="center" wrapText="1" shrinkToFit="1"/>
    </xf>
    <xf numFmtId="0" fontId="2" fillId="0" borderId="1" xfId="0" applyFont="1" applyFill="1" applyBorder="1" applyAlignment="1">
      <alignment horizontal="left" vertical="center" wrapText="1" shrinkToFit="1"/>
    </xf>
    <xf numFmtId="176" fontId="2" fillId="0" borderId="6" xfId="0" applyNumberFormat="1" applyFont="1" applyFill="1" applyBorder="1" applyAlignment="1">
      <alignment horizontal="left" vertical="center" wrapText="1"/>
    </xf>
    <xf numFmtId="176" fontId="2" fillId="2" borderId="36" xfId="0" applyNumberFormat="1" applyFont="1" applyFill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2" borderId="36" xfId="0" applyNumberFormat="1" applyFont="1" applyFill="1" applyBorder="1" applyAlignment="1">
      <alignment horizontal="center" vertical="center" wrapText="1"/>
    </xf>
    <xf numFmtId="176" fontId="2" fillId="2" borderId="36" xfId="0" applyNumberFormat="1" applyFont="1" applyFill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 wrapText="1"/>
    </xf>
    <xf numFmtId="176" fontId="2" fillId="2" borderId="18" xfId="0" applyNumberFormat="1" applyFont="1" applyFill="1" applyBorder="1" applyAlignment="1">
      <alignment horizontal="center" vertical="center" wrapText="1"/>
    </xf>
    <xf numFmtId="176" fontId="2" fillId="2" borderId="34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wrapText="1" shrinkToFit="1"/>
    </xf>
    <xf numFmtId="176" fontId="2" fillId="2" borderId="1" xfId="0" applyNumberFormat="1" applyFont="1" applyFill="1" applyBorder="1" applyAlignment="1">
      <alignment horizontal="left" vertical="center" shrinkToFit="1"/>
    </xf>
    <xf numFmtId="176" fontId="2" fillId="2" borderId="1" xfId="0" applyNumberFormat="1" applyFont="1" applyFill="1" applyBorder="1" applyAlignment="1">
      <alignment horizontal="left" vertical="center" wrapText="1"/>
    </xf>
    <xf numFmtId="176" fontId="2" fillId="2" borderId="6" xfId="0" applyNumberFormat="1" applyFont="1" applyFill="1" applyBorder="1" applyAlignment="1">
      <alignment horizontal="left" vertical="center" wrapText="1"/>
    </xf>
    <xf numFmtId="176" fontId="2" fillId="2" borderId="17" xfId="0" applyNumberFormat="1" applyFont="1" applyFill="1" applyBorder="1" applyAlignment="1">
      <alignment horizontal="left" vertical="center" shrinkToFi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27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left" vertical="center" shrinkToFit="1"/>
    </xf>
    <xf numFmtId="0" fontId="2" fillId="2" borderId="30" xfId="0" applyFont="1" applyFill="1" applyBorder="1" applyAlignment="1">
      <alignment horizontal="center" vertical="center" wrapText="1"/>
    </xf>
    <xf numFmtId="176" fontId="3" fillId="2" borderId="29" xfId="0" applyNumberFormat="1" applyFont="1" applyFill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176" fontId="9" fillId="2" borderId="23" xfId="0" applyNumberFormat="1" applyFont="1" applyFill="1" applyBorder="1" applyAlignment="1">
      <alignment vertical="center" wrapText="1"/>
    </xf>
    <xf numFmtId="176" fontId="9" fillId="2" borderId="18" xfId="0" applyNumberFormat="1" applyFont="1" applyFill="1" applyBorder="1" applyAlignment="1">
      <alignment vertical="center" wrapText="1"/>
    </xf>
    <xf numFmtId="176" fontId="9" fillId="2" borderId="35" xfId="0" applyNumberFormat="1" applyFont="1" applyFill="1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31" xfId="0" applyNumberFormat="1" applyFont="1" applyFill="1" applyBorder="1" applyAlignment="1">
      <alignment horizontal="center" vertical="center" wrapText="1"/>
    </xf>
    <xf numFmtId="176" fontId="2" fillId="2" borderId="30" xfId="0" applyNumberFormat="1" applyFont="1" applyFill="1" applyBorder="1" applyAlignment="1">
      <alignment horizontal="center" vertical="center" wrapText="1"/>
    </xf>
    <xf numFmtId="176" fontId="2" fillId="2" borderId="26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176" fontId="2" fillId="0" borderId="32" xfId="0" applyNumberFormat="1" applyFont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30" xfId="0" applyNumberFormat="1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shrinkToFit="1"/>
    </xf>
    <xf numFmtId="176" fontId="2" fillId="0" borderId="7" xfId="0" applyNumberFormat="1" applyFont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176" fontId="2" fillId="2" borderId="25" xfId="0" applyNumberFormat="1" applyFont="1" applyFill="1" applyBorder="1" applyAlignment="1">
      <alignment horizontal="center" vertical="center" wrapText="1"/>
    </xf>
    <xf numFmtId="176" fontId="2" fillId="0" borderId="31" xfId="0" applyNumberFormat="1" applyFont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left" vertical="center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176" fontId="2" fillId="2" borderId="30" xfId="0" applyNumberFormat="1" applyFont="1" applyFill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6" fontId="9" fillId="4" borderId="33" xfId="0" applyNumberFormat="1" applyFont="1" applyFill="1" applyBorder="1" applyAlignment="1">
      <alignment horizontal="center" vertical="center" wrapText="1"/>
    </xf>
    <xf numFmtId="176" fontId="2" fillId="4" borderId="30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left" vertical="center" wrapText="1" shrinkToFit="1"/>
    </xf>
    <xf numFmtId="176" fontId="2" fillId="2" borderId="1" xfId="0" applyNumberFormat="1" applyFont="1" applyFill="1" applyBorder="1" applyAlignment="1">
      <alignment horizontal="left" vertical="center" wrapText="1" shrinkToFit="1"/>
    </xf>
    <xf numFmtId="176" fontId="9" fillId="4" borderId="36" xfId="0" applyNumberFormat="1" applyFont="1" applyFill="1" applyBorder="1" applyAlignment="1">
      <alignment horizontal="center" vertical="center" wrapText="1"/>
    </xf>
    <xf numFmtId="176" fontId="9" fillId="4" borderId="31" xfId="0" applyNumberFormat="1" applyFont="1" applyFill="1" applyBorder="1" applyAlignment="1">
      <alignment horizontal="center" vertical="center" wrapText="1"/>
    </xf>
    <xf numFmtId="176" fontId="2" fillId="2" borderId="11" xfId="0" applyNumberFormat="1" applyFont="1" applyFill="1" applyBorder="1" applyAlignment="1">
      <alignment horizontal="left" vertical="center" shrinkToFit="1"/>
    </xf>
    <xf numFmtId="0" fontId="9" fillId="4" borderId="37" xfId="0" applyFont="1" applyFill="1" applyBorder="1" applyAlignment="1">
      <alignment horizontal="center" vertical="center" wrapText="1"/>
    </xf>
    <xf numFmtId="176" fontId="9" fillId="4" borderId="20" xfId="0" applyNumberFormat="1" applyFont="1" applyFill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 wrapText="1"/>
    </xf>
    <xf numFmtId="176" fontId="2" fillId="0" borderId="35" xfId="0" applyNumberFormat="1" applyFont="1" applyBorder="1" applyAlignment="1">
      <alignment horizontal="center" vertical="center" wrapText="1"/>
    </xf>
    <xf numFmtId="176" fontId="2" fillId="0" borderId="18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6" fontId="2" fillId="0" borderId="47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shrinkToFit="1"/>
    </xf>
    <xf numFmtId="176" fontId="2" fillId="2" borderId="11" xfId="0" applyNumberFormat="1" applyFont="1" applyFill="1" applyBorder="1" applyAlignment="1">
      <alignment horizontal="center" vertical="center" wrapText="1"/>
    </xf>
    <xf numFmtId="176" fontId="4" fillId="2" borderId="11" xfId="0" applyNumberFormat="1" applyFont="1" applyFill="1" applyBorder="1" applyAlignment="1">
      <alignment horizontal="left" vertical="center" shrinkToFit="1"/>
    </xf>
    <xf numFmtId="176" fontId="4" fillId="2" borderId="1" xfId="0" applyNumberFormat="1" applyFont="1" applyFill="1" applyBorder="1" applyAlignment="1">
      <alignment horizontal="left" vertical="center" shrinkToFit="1"/>
    </xf>
    <xf numFmtId="0" fontId="0" fillId="2" borderId="29" xfId="0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76" fontId="4" fillId="2" borderId="6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horizontal="center" vertical="center" wrapText="1"/>
    </xf>
    <xf numFmtId="176" fontId="4" fillId="2" borderId="49" xfId="0" applyNumberFormat="1" applyFont="1" applyFill="1" applyBorder="1" applyAlignment="1">
      <alignment horizontal="center" vertical="center" wrapText="1"/>
    </xf>
    <xf numFmtId="176" fontId="2" fillId="2" borderId="50" xfId="0" applyNumberFormat="1" applyFont="1" applyFill="1" applyBorder="1" applyAlignment="1">
      <alignment horizontal="center" vertical="center" wrapText="1"/>
    </xf>
    <xf numFmtId="176" fontId="4" fillId="2" borderId="50" xfId="0" applyNumberFormat="1" applyFont="1" applyFill="1" applyBorder="1" applyAlignment="1">
      <alignment horizontal="left" vertical="center" shrinkToFit="1"/>
    </xf>
    <xf numFmtId="176" fontId="2" fillId="2" borderId="51" xfId="0" applyNumberFormat="1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0" fontId="6" fillId="4" borderId="50" xfId="0" applyFont="1" applyFill="1" applyBorder="1" applyAlignment="1">
      <alignment horizontal="center" vertical="center" shrinkToFit="1"/>
    </xf>
    <xf numFmtId="0" fontId="0" fillId="0" borderId="51" xfId="0" applyBorder="1" applyAlignment="1">
      <alignment horizontal="center" vertical="center" shrinkToFit="1"/>
    </xf>
    <xf numFmtId="0" fontId="5" fillId="0" borderId="48" xfId="0" applyFont="1" applyBorder="1">
      <alignment vertical="center"/>
    </xf>
    <xf numFmtId="0" fontId="5" fillId="0" borderId="52" xfId="0" applyFont="1" applyBorder="1">
      <alignment vertical="center"/>
    </xf>
    <xf numFmtId="0" fontId="6" fillId="4" borderId="1" xfId="0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0" fontId="0" fillId="4" borderId="14" xfId="0" applyFill="1" applyBorder="1" applyAlignment="1">
      <alignment horizontal="center" vertical="center" shrinkToFit="1"/>
    </xf>
    <xf numFmtId="0" fontId="0" fillId="4" borderId="6" xfId="0" applyFill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6" fillId="4" borderId="37" xfId="0" applyFont="1" applyFill="1" applyBorder="1" applyAlignment="1">
      <alignment horizontal="center" vertical="center" shrinkToFit="1"/>
    </xf>
    <xf numFmtId="0" fontId="0" fillId="4" borderId="11" xfId="0" applyFill="1" applyBorder="1" applyAlignment="1">
      <alignment horizontal="center" vertical="center" shrinkToFit="1"/>
    </xf>
    <xf numFmtId="0" fontId="0" fillId="4" borderId="12" xfId="0" applyFill="1" applyBorder="1" applyAlignment="1">
      <alignment horizontal="center" vertical="center" shrinkToFit="1"/>
    </xf>
    <xf numFmtId="0" fontId="0" fillId="2" borderId="29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 shrinkToFit="1"/>
    </xf>
    <xf numFmtId="0" fontId="6" fillId="4" borderId="36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176" fontId="2" fillId="2" borderId="31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2" fillId="2" borderId="29" xfId="0" applyNumberFormat="1" applyFont="1" applyFill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21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76" fontId="9" fillId="2" borderId="22" xfId="0" applyNumberFormat="1" applyFont="1" applyFill="1" applyBorder="1" applyAlignment="1">
      <alignment horizontal="center" vertical="center" wrapText="1"/>
    </xf>
    <xf numFmtId="176" fontId="9" fillId="2" borderId="14" xfId="0" applyNumberFormat="1" applyFont="1" applyFill="1" applyBorder="1" applyAlignment="1">
      <alignment horizontal="center" vertical="center" wrapText="1"/>
    </xf>
    <xf numFmtId="176" fontId="2" fillId="2" borderId="26" xfId="0" applyNumberFormat="1" applyFont="1" applyFill="1" applyBorder="1" applyAlignment="1">
      <alignment horizontal="center" vertical="center" wrapText="1"/>
    </xf>
    <xf numFmtId="176" fontId="2" fillId="2" borderId="10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wrapText="1"/>
    </xf>
    <xf numFmtId="176" fontId="2" fillId="2" borderId="30" xfId="0" applyNumberFormat="1" applyFont="1" applyFill="1" applyBorder="1" applyAlignment="1">
      <alignment horizontal="center" vertical="center" wrapText="1"/>
    </xf>
    <xf numFmtId="176" fontId="2" fillId="2" borderId="15" xfId="0" applyNumberFormat="1" applyFont="1" applyFill="1" applyBorder="1" applyAlignment="1">
      <alignment horizontal="center" vertical="center" wrapText="1"/>
    </xf>
    <xf numFmtId="176" fontId="2" fillId="2" borderId="32" xfId="0" applyNumberFormat="1" applyFont="1" applyFill="1" applyBorder="1" applyAlignment="1">
      <alignment horizontal="center" vertical="center" wrapText="1"/>
    </xf>
    <xf numFmtId="176" fontId="9" fillId="2" borderId="36" xfId="0" applyNumberFormat="1" applyFont="1" applyFill="1" applyBorder="1" applyAlignment="1">
      <alignment horizontal="center" vertical="center" wrapText="1"/>
    </xf>
    <xf numFmtId="176" fontId="9" fillId="2" borderId="33" xfId="0" applyNumberFormat="1" applyFont="1" applyFill="1" applyBorder="1" applyAlignment="1">
      <alignment horizontal="center" vertical="center" wrapText="1"/>
    </xf>
    <xf numFmtId="176" fontId="2" fillId="0" borderId="37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vertical="center" wrapText="1"/>
    </xf>
    <xf numFmtId="176" fontId="2" fillId="0" borderId="36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center" vertical="center" wrapText="1"/>
    </xf>
    <xf numFmtId="176" fontId="2" fillId="0" borderId="35" xfId="0" applyNumberFormat="1" applyFont="1" applyBorder="1" applyAlignment="1">
      <alignment horizontal="center" vertical="center" wrapText="1"/>
    </xf>
    <xf numFmtId="176" fontId="2" fillId="0" borderId="17" xfId="0" applyNumberFormat="1" applyFont="1" applyBorder="1" applyAlignment="1">
      <alignment horizontal="center" vertical="center" wrapText="1"/>
    </xf>
    <xf numFmtId="176" fontId="2" fillId="0" borderId="18" xfId="0" applyNumberFormat="1" applyFont="1" applyBorder="1" applyAlignment="1">
      <alignment horizontal="center" vertical="center" wrapText="1"/>
    </xf>
    <xf numFmtId="176" fontId="2" fillId="2" borderId="29" xfId="0" applyNumberFormat="1" applyFont="1" applyFill="1" applyBorder="1" applyAlignment="1">
      <alignment horizontal="center" vertical="center" shrinkToFit="1"/>
    </xf>
    <xf numFmtId="176" fontId="2" fillId="2" borderId="5" xfId="0" applyNumberFormat="1" applyFont="1" applyFill="1" applyBorder="1" applyAlignment="1">
      <alignment horizontal="center" vertical="center" shrinkToFit="1"/>
    </xf>
    <xf numFmtId="176" fontId="2" fillId="2" borderId="4" xfId="0" applyNumberFormat="1" applyFont="1" applyFill="1" applyBorder="1" applyAlignment="1">
      <alignment horizontal="center" vertical="center" shrinkToFit="1"/>
    </xf>
    <xf numFmtId="176" fontId="2" fillId="2" borderId="3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right" vertical="center" wrapText="1"/>
    </xf>
    <xf numFmtId="0" fontId="13" fillId="0" borderId="0" xfId="0" applyFont="1" applyBorder="1" applyAlignment="1">
      <alignment horizontal="right" vertical="center" wrapText="1"/>
    </xf>
    <xf numFmtId="0" fontId="2" fillId="3" borderId="43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176" fontId="7" fillId="3" borderId="37" xfId="0" applyNumberFormat="1" applyFont="1" applyFill="1" applyBorder="1" applyAlignment="1">
      <alignment horizontal="center" vertical="center" wrapText="1"/>
    </xf>
    <xf numFmtId="176" fontId="7" fillId="3" borderId="29" xfId="0" applyNumberFormat="1" applyFont="1" applyFill="1" applyBorder="1" applyAlignment="1">
      <alignment horizontal="center" vertical="center" wrapText="1"/>
    </xf>
    <xf numFmtId="176" fontId="7" fillId="3" borderId="11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3" borderId="12" xfId="0" applyNumberFormat="1" applyFont="1" applyFill="1" applyBorder="1" applyAlignment="1">
      <alignment horizontal="center" vertical="center" wrapText="1"/>
    </xf>
    <xf numFmtId="176" fontId="7" fillId="3" borderId="27" xfId="0" applyNumberFormat="1" applyFont="1" applyFill="1" applyBorder="1" applyAlignment="1">
      <alignment horizontal="center" vertical="center" wrapText="1"/>
    </xf>
    <xf numFmtId="176" fontId="7" fillId="3" borderId="20" xfId="0" applyNumberFormat="1" applyFont="1" applyFill="1" applyBorder="1" applyAlignment="1">
      <alignment horizontal="center" vertical="center" wrapText="1"/>
    </xf>
    <xf numFmtId="176" fontId="7" fillId="3" borderId="19" xfId="0" applyNumberFormat="1" applyFont="1" applyFill="1" applyBorder="1" applyAlignment="1">
      <alignment horizontal="center" vertical="center" wrapText="1"/>
    </xf>
    <xf numFmtId="176" fontId="7" fillId="3" borderId="26" xfId="0" applyNumberFormat="1" applyFont="1" applyFill="1" applyBorder="1" applyAlignment="1">
      <alignment horizontal="center" vertical="center" wrapText="1"/>
    </xf>
    <xf numFmtId="176" fontId="7" fillId="3" borderId="30" xfId="0" applyNumberFormat="1" applyFont="1" applyFill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176" fontId="2" fillId="0" borderId="21" xfId="0" applyNumberFormat="1" applyFont="1" applyBorder="1" applyAlignment="1">
      <alignment horizontal="center" vertical="center" wrapText="1"/>
    </xf>
    <xf numFmtId="176" fontId="2" fillId="4" borderId="29" xfId="0" applyNumberFormat="1" applyFont="1" applyFill="1" applyBorder="1" applyAlignment="1">
      <alignment horizontal="center" vertical="center" wrapText="1" shrinkToFit="1"/>
    </xf>
    <xf numFmtId="176" fontId="2" fillId="4" borderId="4" xfId="0" applyNumberFormat="1" applyFont="1" applyFill="1" applyBorder="1" applyAlignment="1">
      <alignment horizontal="center" vertical="center" wrapText="1" shrinkToFit="1"/>
    </xf>
    <xf numFmtId="176" fontId="2" fillId="4" borderId="5" xfId="0" applyNumberFormat="1" applyFont="1" applyFill="1" applyBorder="1" applyAlignment="1">
      <alignment horizontal="center" vertical="center" wrapText="1" shrinkToFit="1"/>
    </xf>
    <xf numFmtId="176" fontId="2" fillId="2" borderId="16" xfId="0" applyNumberFormat="1" applyFont="1" applyFill="1" applyBorder="1" applyAlignment="1">
      <alignment horizontal="center" vertical="center" wrapText="1"/>
    </xf>
    <xf numFmtId="0" fontId="6" fillId="0" borderId="46" xfId="0" applyFont="1" applyBorder="1" applyAlignment="1">
      <alignment vertical="center"/>
    </xf>
    <xf numFmtId="0" fontId="0" fillId="0" borderId="46" xfId="0" applyBorder="1" applyAlignment="1">
      <alignment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176" fontId="2" fillId="0" borderId="15" xfId="0" applyNumberFormat="1" applyFont="1" applyBorder="1" applyAlignment="1">
      <alignment horizontal="center" vertical="center" wrapText="1"/>
    </xf>
    <xf numFmtId="176" fontId="2" fillId="0" borderId="32" xfId="0" applyNumberFormat="1" applyFont="1" applyBorder="1" applyAlignment="1">
      <alignment horizontal="center" vertical="center" wrapText="1"/>
    </xf>
    <xf numFmtId="176" fontId="2" fillId="4" borderId="44" xfId="0" applyNumberFormat="1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176" fontId="2" fillId="4" borderId="15" xfId="0" applyNumberFormat="1" applyFont="1" applyFill="1" applyBorder="1" applyAlignment="1">
      <alignment horizontal="center" vertical="center" wrapText="1"/>
    </xf>
    <xf numFmtId="176" fontId="2" fillId="0" borderId="45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6" fontId="2" fillId="0" borderId="40" xfId="0" applyNumberFormat="1" applyFont="1" applyBorder="1" applyAlignment="1">
      <alignment horizontal="center" vertical="center" wrapText="1"/>
    </xf>
    <xf numFmtId="176" fontId="2" fillId="0" borderId="41" xfId="0" applyNumberFormat="1" applyFont="1" applyBorder="1" applyAlignment="1">
      <alignment horizontal="center" vertical="center" wrapText="1"/>
    </xf>
    <xf numFmtId="176" fontId="2" fillId="0" borderId="39" xfId="0" applyNumberFormat="1" applyFont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76" fontId="2" fillId="0" borderId="2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35B6-BFCA-4335-8C80-2B1DBB0FC39D}">
  <sheetPr>
    <tabColor theme="2"/>
    <pageSetUpPr fitToPage="1"/>
  </sheetPr>
  <dimension ref="A1:P85"/>
  <sheetViews>
    <sheetView tabSelected="1" zoomScale="85" zoomScaleNormal="85" zoomScaleSheetLayoutView="90" workbookViewId="0">
      <selection activeCell="S18" sqref="S18"/>
    </sheetView>
  </sheetViews>
  <sheetFormatPr defaultColWidth="9" defaultRowHeight="13.8" x14ac:dyDescent="0.4"/>
  <cols>
    <col min="1" max="1" width="4" style="4" customWidth="1"/>
    <col min="2" max="2" width="15.59765625" style="5" customWidth="1"/>
    <col min="3" max="3" width="9.3984375" style="4" customWidth="1"/>
    <col min="4" max="4" width="50.69921875" style="5" customWidth="1"/>
    <col min="5" max="6" width="4.3984375" style="4" customWidth="1"/>
    <col min="7" max="8" width="5.19921875" style="4" customWidth="1"/>
    <col min="9" max="10" width="5.19921875" style="5" customWidth="1"/>
    <col min="11" max="12" width="5.19921875" style="4" customWidth="1"/>
    <col min="13" max="13" width="4.3984375" style="5" customWidth="1"/>
    <col min="14" max="14" width="4.69921875" style="5" customWidth="1"/>
    <col min="15" max="15" width="4.8984375" style="1" customWidth="1"/>
    <col min="16" max="16384" width="9" style="1"/>
  </cols>
  <sheetData>
    <row r="1" spans="1:16" ht="31.95" customHeight="1" x14ac:dyDescent="0.4">
      <c r="A1" s="227" t="s">
        <v>130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</row>
    <row r="2" spans="1:16" ht="22.2" customHeight="1" thickBot="1" x14ac:dyDescent="0.45">
      <c r="A2" s="228" t="s">
        <v>126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</row>
    <row r="3" spans="1:16" ht="19.95" customHeight="1" x14ac:dyDescent="0.4">
      <c r="A3" s="230" t="s">
        <v>10</v>
      </c>
      <c r="B3" s="232" t="s">
        <v>32</v>
      </c>
      <c r="C3" s="234" t="s">
        <v>33</v>
      </c>
      <c r="D3" s="234"/>
      <c r="E3" s="234" t="s">
        <v>11</v>
      </c>
      <c r="F3" s="236" t="s">
        <v>34</v>
      </c>
      <c r="G3" s="232" t="s">
        <v>35</v>
      </c>
      <c r="H3" s="238"/>
      <c r="I3" s="232" t="s">
        <v>36</v>
      </c>
      <c r="J3" s="238"/>
      <c r="K3" s="232" t="s">
        <v>37</v>
      </c>
      <c r="L3" s="238"/>
      <c r="M3" s="239" t="s">
        <v>41</v>
      </c>
      <c r="N3" s="238" t="s">
        <v>14</v>
      </c>
    </row>
    <row r="4" spans="1:16" ht="27.6" customHeight="1" thickBot="1" x14ac:dyDescent="0.45">
      <c r="A4" s="231"/>
      <c r="B4" s="233"/>
      <c r="C4" s="235"/>
      <c r="D4" s="235"/>
      <c r="E4" s="235"/>
      <c r="F4" s="237"/>
      <c r="G4" s="2" t="s">
        <v>12</v>
      </c>
      <c r="H4" s="3" t="s">
        <v>13</v>
      </c>
      <c r="I4" s="2" t="s">
        <v>12</v>
      </c>
      <c r="J4" s="3" t="s">
        <v>13</v>
      </c>
      <c r="K4" s="2" t="s">
        <v>12</v>
      </c>
      <c r="L4" s="3" t="s">
        <v>13</v>
      </c>
      <c r="M4" s="240"/>
      <c r="N4" s="241"/>
    </row>
    <row r="5" spans="1:16" ht="15" customHeight="1" x14ac:dyDescent="0.4">
      <c r="A5" s="181" t="s">
        <v>42</v>
      </c>
      <c r="B5" s="186" t="s">
        <v>1</v>
      </c>
      <c r="C5" s="6" t="s">
        <v>15</v>
      </c>
      <c r="D5" s="64" t="s">
        <v>43</v>
      </c>
      <c r="E5" s="7">
        <v>4</v>
      </c>
      <c r="F5" s="45">
        <v>4</v>
      </c>
      <c r="G5" s="39">
        <v>4</v>
      </c>
      <c r="H5" s="40"/>
      <c r="I5" s="28"/>
      <c r="J5" s="55"/>
      <c r="K5" s="54"/>
      <c r="L5" s="9"/>
      <c r="M5" s="273">
        <v>16</v>
      </c>
      <c r="N5" s="250">
        <v>8</v>
      </c>
    </row>
    <row r="6" spans="1:16" ht="15" customHeight="1" x14ac:dyDescent="0.4">
      <c r="A6" s="182"/>
      <c r="B6" s="187"/>
      <c r="C6" s="10" t="s">
        <v>15</v>
      </c>
      <c r="D6" s="65" t="s">
        <v>67</v>
      </c>
      <c r="E6" s="11">
        <v>4</v>
      </c>
      <c r="F6" s="46">
        <v>4</v>
      </c>
      <c r="G6" s="37"/>
      <c r="H6" s="38">
        <v>4</v>
      </c>
      <c r="I6" s="29"/>
      <c r="J6" s="57"/>
      <c r="K6" s="56"/>
      <c r="L6" s="13"/>
      <c r="M6" s="272"/>
      <c r="N6" s="251"/>
    </row>
    <row r="7" spans="1:16" ht="15" customHeight="1" x14ac:dyDescent="0.4">
      <c r="A7" s="182"/>
      <c r="B7" s="188"/>
      <c r="C7" s="10" t="s">
        <v>0</v>
      </c>
      <c r="D7" s="87" t="s">
        <v>95</v>
      </c>
      <c r="E7" s="11">
        <v>4</v>
      </c>
      <c r="F7" s="46">
        <v>4</v>
      </c>
      <c r="G7" s="37"/>
      <c r="H7" s="38"/>
      <c r="I7" s="29">
        <v>4</v>
      </c>
      <c r="J7" s="76"/>
      <c r="K7" s="75"/>
      <c r="L7" s="13"/>
      <c r="M7" s="188"/>
      <c r="N7" s="252"/>
    </row>
    <row r="8" spans="1:16" ht="15" customHeight="1" x14ac:dyDescent="0.4">
      <c r="A8" s="182"/>
      <c r="B8" s="189"/>
      <c r="C8" s="10" t="s">
        <v>0</v>
      </c>
      <c r="D8" s="87" t="s">
        <v>94</v>
      </c>
      <c r="E8" s="11">
        <v>4</v>
      </c>
      <c r="F8" s="46">
        <v>4</v>
      </c>
      <c r="G8" s="37"/>
      <c r="H8" s="38"/>
      <c r="I8" s="29"/>
      <c r="J8" s="76">
        <v>4</v>
      </c>
      <c r="K8" s="75"/>
      <c r="L8" s="13"/>
      <c r="M8" s="189"/>
      <c r="N8" s="253"/>
    </row>
    <row r="9" spans="1:16" ht="15" customHeight="1" x14ac:dyDescent="0.4">
      <c r="A9" s="182"/>
      <c r="B9" s="190" t="s">
        <v>2</v>
      </c>
      <c r="C9" s="10" t="s">
        <v>15</v>
      </c>
      <c r="D9" s="87" t="s">
        <v>44</v>
      </c>
      <c r="E9" s="11">
        <v>4</v>
      </c>
      <c r="F9" s="46">
        <v>4</v>
      </c>
      <c r="G9" s="37">
        <v>4</v>
      </c>
      <c r="H9" s="38"/>
      <c r="I9" s="29"/>
      <c r="J9" s="57"/>
      <c r="K9" s="56"/>
      <c r="L9" s="13"/>
      <c r="M9" s="271">
        <v>16</v>
      </c>
      <c r="N9" s="254">
        <v>8</v>
      </c>
      <c r="P9" s="36"/>
    </row>
    <row r="10" spans="1:16" ht="15" customHeight="1" x14ac:dyDescent="0.4">
      <c r="A10" s="182"/>
      <c r="B10" s="187"/>
      <c r="C10" s="10" t="s">
        <v>15</v>
      </c>
      <c r="D10" s="87" t="s">
        <v>45</v>
      </c>
      <c r="E10" s="11">
        <v>4</v>
      </c>
      <c r="F10" s="46">
        <v>4</v>
      </c>
      <c r="G10" s="37"/>
      <c r="H10" s="38">
        <v>4</v>
      </c>
      <c r="I10" s="29"/>
      <c r="J10" s="57"/>
      <c r="K10" s="56"/>
      <c r="L10" s="13"/>
      <c r="M10" s="272"/>
      <c r="N10" s="251"/>
    </row>
    <row r="11" spans="1:16" ht="15" customHeight="1" x14ac:dyDescent="0.4">
      <c r="A11" s="182"/>
      <c r="B11" s="188"/>
      <c r="C11" s="10" t="s">
        <v>0</v>
      </c>
      <c r="D11" s="87" t="s">
        <v>99</v>
      </c>
      <c r="E11" s="11">
        <v>4</v>
      </c>
      <c r="F11" s="46">
        <v>4</v>
      </c>
      <c r="G11" s="37"/>
      <c r="H11" s="38"/>
      <c r="I11" s="29">
        <v>4</v>
      </c>
      <c r="J11" s="76"/>
      <c r="K11" s="75"/>
      <c r="L11" s="13"/>
      <c r="M11" s="188"/>
      <c r="N11" s="252"/>
    </row>
    <row r="12" spans="1:16" ht="15" customHeight="1" x14ac:dyDescent="0.4">
      <c r="A12" s="182"/>
      <c r="B12" s="189"/>
      <c r="C12" s="10" t="s">
        <v>0</v>
      </c>
      <c r="D12" s="87" t="s">
        <v>102</v>
      </c>
      <c r="E12" s="11">
        <v>4</v>
      </c>
      <c r="F12" s="46">
        <v>4</v>
      </c>
      <c r="G12" s="37"/>
      <c r="H12" s="38"/>
      <c r="I12" s="29"/>
      <c r="J12" s="76">
        <v>4</v>
      </c>
      <c r="K12" s="75"/>
      <c r="L12" s="13"/>
      <c r="M12" s="189"/>
      <c r="N12" s="253"/>
    </row>
    <row r="13" spans="1:16" ht="15" customHeight="1" x14ac:dyDescent="0.4">
      <c r="A13" s="182"/>
      <c r="B13" s="190" t="s">
        <v>3</v>
      </c>
      <c r="C13" s="10" t="s">
        <v>15</v>
      </c>
      <c r="D13" s="87" t="s">
        <v>46</v>
      </c>
      <c r="E13" s="11">
        <v>4</v>
      </c>
      <c r="F13" s="46">
        <v>4</v>
      </c>
      <c r="G13" s="37">
        <v>4</v>
      </c>
      <c r="H13" s="38"/>
      <c r="I13" s="29"/>
      <c r="J13" s="57"/>
      <c r="K13" s="56"/>
      <c r="L13" s="13"/>
      <c r="M13" s="271">
        <v>16</v>
      </c>
      <c r="N13" s="254">
        <v>8</v>
      </c>
    </row>
    <row r="14" spans="1:16" ht="15" customHeight="1" x14ac:dyDescent="0.4">
      <c r="A14" s="182"/>
      <c r="B14" s="187"/>
      <c r="C14" s="10" t="s">
        <v>15</v>
      </c>
      <c r="D14" s="87" t="s">
        <v>47</v>
      </c>
      <c r="E14" s="11">
        <v>4</v>
      </c>
      <c r="F14" s="46">
        <v>4</v>
      </c>
      <c r="G14" s="37"/>
      <c r="H14" s="38">
        <v>4</v>
      </c>
      <c r="I14" s="50"/>
      <c r="J14" s="48"/>
      <c r="K14" s="62"/>
      <c r="L14" s="14"/>
      <c r="M14" s="272"/>
      <c r="N14" s="251"/>
    </row>
    <row r="15" spans="1:16" ht="15" customHeight="1" x14ac:dyDescent="0.4">
      <c r="A15" s="182"/>
      <c r="B15" s="188"/>
      <c r="C15" s="10" t="s">
        <v>0</v>
      </c>
      <c r="D15" s="87" t="s">
        <v>101</v>
      </c>
      <c r="E15" s="11">
        <v>4</v>
      </c>
      <c r="F15" s="46">
        <v>4</v>
      </c>
      <c r="G15" s="37"/>
      <c r="H15" s="38"/>
      <c r="I15" s="50">
        <v>4</v>
      </c>
      <c r="J15" s="48"/>
      <c r="K15" s="74"/>
      <c r="L15" s="14"/>
      <c r="M15" s="188"/>
      <c r="N15" s="252"/>
    </row>
    <row r="16" spans="1:16" ht="15" customHeight="1" x14ac:dyDescent="0.4">
      <c r="A16" s="182"/>
      <c r="B16" s="189"/>
      <c r="C16" s="10" t="s">
        <v>0</v>
      </c>
      <c r="D16" s="87" t="s">
        <v>100</v>
      </c>
      <c r="E16" s="11">
        <v>4</v>
      </c>
      <c r="F16" s="46">
        <v>4</v>
      </c>
      <c r="G16" s="37"/>
      <c r="H16" s="38"/>
      <c r="I16" s="50"/>
      <c r="J16" s="48">
        <v>4</v>
      </c>
      <c r="K16" s="74"/>
      <c r="L16" s="14"/>
      <c r="M16" s="189"/>
      <c r="N16" s="253"/>
    </row>
    <row r="17" spans="1:14" ht="15" customHeight="1" x14ac:dyDescent="0.4">
      <c r="A17" s="182"/>
      <c r="B17" s="183" t="s">
        <v>78</v>
      </c>
      <c r="C17" s="41" t="s">
        <v>15</v>
      </c>
      <c r="D17" s="66" t="s">
        <v>48</v>
      </c>
      <c r="E17" s="42">
        <v>4</v>
      </c>
      <c r="F17" s="47">
        <v>4</v>
      </c>
      <c r="G17" s="43">
        <v>4</v>
      </c>
      <c r="H17" s="44"/>
      <c r="I17" s="50"/>
      <c r="J17" s="48"/>
      <c r="K17" s="62"/>
      <c r="L17" s="14"/>
      <c r="M17" s="191">
        <v>8</v>
      </c>
      <c r="N17" s="193">
        <v>8</v>
      </c>
    </row>
    <row r="18" spans="1:14" ht="15" customHeight="1" x14ac:dyDescent="0.4">
      <c r="A18" s="182"/>
      <c r="B18" s="184"/>
      <c r="C18" s="41" t="s">
        <v>15</v>
      </c>
      <c r="D18" s="66" t="s">
        <v>49</v>
      </c>
      <c r="E18" s="42">
        <v>4</v>
      </c>
      <c r="F18" s="47">
        <v>4</v>
      </c>
      <c r="G18" s="43"/>
      <c r="H18" s="44">
        <v>4</v>
      </c>
      <c r="I18" s="50"/>
      <c r="J18" s="48"/>
      <c r="K18" s="62"/>
      <c r="L18" s="14"/>
      <c r="M18" s="192"/>
      <c r="N18" s="194"/>
    </row>
    <row r="19" spans="1:14" ht="15" customHeight="1" x14ac:dyDescent="0.4">
      <c r="A19" s="182"/>
      <c r="B19" s="184"/>
      <c r="C19" s="41" t="s">
        <v>15</v>
      </c>
      <c r="D19" s="66" t="s">
        <v>50</v>
      </c>
      <c r="E19" s="42">
        <v>3</v>
      </c>
      <c r="F19" s="47">
        <v>3</v>
      </c>
      <c r="G19" s="43">
        <v>3</v>
      </c>
      <c r="H19" s="44"/>
      <c r="I19" s="50"/>
      <c r="J19" s="48"/>
      <c r="K19" s="62"/>
      <c r="L19" s="14"/>
      <c r="M19" s="191">
        <v>6</v>
      </c>
      <c r="N19" s="193">
        <v>6</v>
      </c>
    </row>
    <row r="20" spans="1:14" ht="15" customHeight="1" x14ac:dyDescent="0.4">
      <c r="A20" s="182"/>
      <c r="B20" s="185"/>
      <c r="C20" s="41" t="s">
        <v>15</v>
      </c>
      <c r="D20" s="66" t="s">
        <v>51</v>
      </c>
      <c r="E20" s="42">
        <v>3</v>
      </c>
      <c r="F20" s="47">
        <v>3</v>
      </c>
      <c r="G20" s="43"/>
      <c r="H20" s="44">
        <v>3</v>
      </c>
      <c r="I20" s="50"/>
      <c r="J20" s="48"/>
      <c r="K20" s="62"/>
      <c r="L20" s="14"/>
      <c r="M20" s="192"/>
      <c r="N20" s="194"/>
    </row>
    <row r="21" spans="1:14" ht="15" customHeight="1" x14ac:dyDescent="0.4">
      <c r="A21" s="182"/>
      <c r="B21" s="183" t="s">
        <v>18</v>
      </c>
      <c r="C21" s="41" t="s">
        <v>15</v>
      </c>
      <c r="D21" s="67" t="s">
        <v>52</v>
      </c>
      <c r="E21" s="42">
        <v>4</v>
      </c>
      <c r="F21" s="47">
        <v>4</v>
      </c>
      <c r="G21" s="43">
        <v>4</v>
      </c>
      <c r="H21" s="44"/>
      <c r="I21" s="50"/>
      <c r="J21" s="48"/>
      <c r="K21" s="62"/>
      <c r="L21" s="14"/>
      <c r="M21" s="191">
        <f>SUM(G21:H24)</f>
        <v>10</v>
      </c>
      <c r="N21" s="256">
        <v>10</v>
      </c>
    </row>
    <row r="22" spans="1:14" ht="15" customHeight="1" x14ac:dyDescent="0.4">
      <c r="A22" s="182"/>
      <c r="B22" s="184"/>
      <c r="C22" s="41" t="s">
        <v>15</v>
      </c>
      <c r="D22" s="67" t="s">
        <v>53</v>
      </c>
      <c r="E22" s="42">
        <v>4</v>
      </c>
      <c r="F22" s="47">
        <v>4</v>
      </c>
      <c r="G22" s="43"/>
      <c r="H22" s="44">
        <v>4</v>
      </c>
      <c r="I22" s="50"/>
      <c r="J22" s="48"/>
      <c r="K22" s="62"/>
      <c r="L22" s="14"/>
      <c r="M22" s="255"/>
      <c r="N22" s="257"/>
    </row>
    <row r="23" spans="1:14" ht="15" customHeight="1" x14ac:dyDescent="0.4">
      <c r="A23" s="182"/>
      <c r="B23" s="184"/>
      <c r="C23" s="41" t="s">
        <v>15</v>
      </c>
      <c r="D23" s="67" t="s">
        <v>54</v>
      </c>
      <c r="E23" s="42">
        <v>1</v>
      </c>
      <c r="F23" s="47">
        <v>1</v>
      </c>
      <c r="G23" s="43">
        <v>1</v>
      </c>
      <c r="H23" s="44"/>
      <c r="I23" s="50"/>
      <c r="J23" s="48"/>
      <c r="K23" s="62"/>
      <c r="L23" s="14"/>
      <c r="M23" s="255"/>
      <c r="N23" s="257"/>
    </row>
    <row r="24" spans="1:14" ht="15" customHeight="1" x14ac:dyDescent="0.4">
      <c r="A24" s="182"/>
      <c r="B24" s="185"/>
      <c r="C24" s="41" t="s">
        <v>15</v>
      </c>
      <c r="D24" s="67" t="s">
        <v>55</v>
      </c>
      <c r="E24" s="42">
        <v>1</v>
      </c>
      <c r="F24" s="47">
        <v>1</v>
      </c>
      <c r="G24" s="43"/>
      <c r="H24" s="44">
        <v>1</v>
      </c>
      <c r="I24" s="50"/>
      <c r="J24" s="48"/>
      <c r="K24" s="62"/>
      <c r="L24" s="14"/>
      <c r="M24" s="192"/>
      <c r="N24" s="258"/>
    </row>
    <row r="25" spans="1:14" ht="15" customHeight="1" x14ac:dyDescent="0.4">
      <c r="A25" s="182"/>
      <c r="B25" s="183" t="s">
        <v>4</v>
      </c>
      <c r="C25" s="90" t="s">
        <v>16</v>
      </c>
      <c r="D25" s="86" t="s">
        <v>19</v>
      </c>
      <c r="E25" s="11">
        <v>3</v>
      </c>
      <c r="F25" s="46">
        <v>2</v>
      </c>
      <c r="G25" s="74">
        <v>2</v>
      </c>
      <c r="H25" s="14"/>
      <c r="I25" s="50"/>
      <c r="J25" s="48"/>
      <c r="K25" s="74"/>
      <c r="L25" s="14"/>
      <c r="M25" s="201">
        <f>SUM(G25:L30)</f>
        <v>10</v>
      </c>
      <c r="N25" s="204">
        <v>10</v>
      </c>
    </row>
    <row r="26" spans="1:14" ht="15" customHeight="1" x14ac:dyDescent="0.4">
      <c r="A26" s="182"/>
      <c r="B26" s="184"/>
      <c r="C26" s="90" t="s">
        <v>16</v>
      </c>
      <c r="D26" s="86" t="s">
        <v>20</v>
      </c>
      <c r="E26" s="11">
        <v>3</v>
      </c>
      <c r="F26" s="46">
        <v>2</v>
      </c>
      <c r="G26" s="74"/>
      <c r="H26" s="14">
        <v>2</v>
      </c>
      <c r="I26" s="50"/>
      <c r="J26" s="48"/>
      <c r="K26" s="74"/>
      <c r="L26" s="14"/>
      <c r="M26" s="202"/>
      <c r="N26" s="205"/>
    </row>
    <row r="27" spans="1:14" ht="14.4" customHeight="1" x14ac:dyDescent="0.4">
      <c r="A27" s="182"/>
      <c r="B27" s="184"/>
      <c r="C27" s="90" t="s">
        <v>21</v>
      </c>
      <c r="D27" s="86" t="s">
        <v>89</v>
      </c>
      <c r="E27" s="11">
        <v>2</v>
      </c>
      <c r="F27" s="46">
        <v>1</v>
      </c>
      <c r="G27" s="74"/>
      <c r="H27" s="14"/>
      <c r="I27" s="50">
        <v>1</v>
      </c>
      <c r="J27" s="48"/>
      <c r="K27" s="74"/>
      <c r="L27" s="14"/>
      <c r="M27" s="202"/>
      <c r="N27" s="205"/>
    </row>
    <row r="28" spans="1:14" ht="15" customHeight="1" x14ac:dyDescent="0.4">
      <c r="A28" s="182"/>
      <c r="B28" s="184"/>
      <c r="C28" s="90" t="s">
        <v>21</v>
      </c>
      <c r="D28" s="86" t="s">
        <v>22</v>
      </c>
      <c r="E28" s="11">
        <v>2</v>
      </c>
      <c r="F28" s="46">
        <v>1</v>
      </c>
      <c r="G28" s="74"/>
      <c r="H28" s="14"/>
      <c r="I28" s="50"/>
      <c r="J28" s="48">
        <v>1</v>
      </c>
      <c r="K28" s="74"/>
      <c r="L28" s="14"/>
      <c r="M28" s="202"/>
      <c r="N28" s="205"/>
    </row>
    <row r="29" spans="1:14" ht="15" customHeight="1" x14ac:dyDescent="0.4">
      <c r="A29" s="182"/>
      <c r="B29" s="184"/>
      <c r="C29" s="90" t="s">
        <v>23</v>
      </c>
      <c r="D29" s="86" t="s">
        <v>24</v>
      </c>
      <c r="E29" s="11">
        <v>3</v>
      </c>
      <c r="F29" s="46">
        <v>2</v>
      </c>
      <c r="G29" s="74"/>
      <c r="H29" s="14"/>
      <c r="I29" s="50"/>
      <c r="J29" s="48"/>
      <c r="K29" s="74">
        <v>2</v>
      </c>
      <c r="L29" s="14"/>
      <c r="M29" s="202"/>
      <c r="N29" s="205"/>
    </row>
    <row r="30" spans="1:14" ht="15" customHeight="1" x14ac:dyDescent="0.4">
      <c r="A30" s="182"/>
      <c r="B30" s="185"/>
      <c r="C30" s="90" t="s">
        <v>23</v>
      </c>
      <c r="D30" s="86" t="s">
        <v>80</v>
      </c>
      <c r="E30" s="11">
        <v>3</v>
      </c>
      <c r="F30" s="46">
        <v>2</v>
      </c>
      <c r="G30" s="74"/>
      <c r="H30" s="14"/>
      <c r="I30" s="50"/>
      <c r="J30" s="48"/>
      <c r="K30" s="74"/>
      <c r="L30" s="14">
        <v>2</v>
      </c>
      <c r="M30" s="203"/>
      <c r="N30" s="206"/>
    </row>
    <row r="31" spans="1:14" ht="15.6" x14ac:dyDescent="0.4">
      <c r="A31" s="182"/>
      <c r="B31" s="183" t="s">
        <v>25</v>
      </c>
      <c r="C31" s="90" t="s">
        <v>16</v>
      </c>
      <c r="D31" s="86" t="s">
        <v>8</v>
      </c>
      <c r="E31" s="11">
        <v>3</v>
      </c>
      <c r="F31" s="46">
        <v>2</v>
      </c>
      <c r="G31" s="207" t="s">
        <v>71</v>
      </c>
      <c r="H31" s="208"/>
      <c r="I31" s="50"/>
      <c r="J31" s="48"/>
      <c r="K31" s="74"/>
      <c r="L31" s="14"/>
      <c r="M31" s="201">
        <f>SUM(G31:L34)</f>
        <v>8</v>
      </c>
      <c r="N31" s="204">
        <v>10</v>
      </c>
    </row>
    <row r="32" spans="1:14" ht="15.6" x14ac:dyDescent="0.4">
      <c r="A32" s="182"/>
      <c r="B32" s="184"/>
      <c r="C32" s="90" t="s">
        <v>16</v>
      </c>
      <c r="D32" s="86" t="s">
        <v>9</v>
      </c>
      <c r="E32" s="11">
        <v>3</v>
      </c>
      <c r="F32" s="46">
        <v>2</v>
      </c>
      <c r="G32" s="51">
        <v>2</v>
      </c>
      <c r="H32" s="52">
        <v>2</v>
      </c>
      <c r="I32" s="50"/>
      <c r="J32" s="48"/>
      <c r="K32" s="74"/>
      <c r="L32" s="14"/>
      <c r="M32" s="202"/>
      <c r="N32" s="205"/>
    </row>
    <row r="33" spans="1:14" ht="15.6" x14ac:dyDescent="0.4">
      <c r="A33" s="182"/>
      <c r="B33" s="184"/>
      <c r="C33" s="90" t="s">
        <v>21</v>
      </c>
      <c r="D33" s="86" t="s">
        <v>26</v>
      </c>
      <c r="E33" s="11">
        <v>3</v>
      </c>
      <c r="F33" s="46">
        <v>2</v>
      </c>
      <c r="G33" s="51"/>
      <c r="H33" s="52"/>
      <c r="I33" s="199" t="s">
        <v>71</v>
      </c>
      <c r="J33" s="200"/>
      <c r="K33" s="74"/>
      <c r="L33" s="14"/>
      <c r="M33" s="202"/>
      <c r="N33" s="205"/>
    </row>
    <row r="34" spans="1:14" ht="15.6" x14ac:dyDescent="0.4">
      <c r="A34" s="182"/>
      <c r="B34" s="184"/>
      <c r="C34" s="90" t="s">
        <v>21</v>
      </c>
      <c r="D34" s="86" t="s">
        <v>27</v>
      </c>
      <c r="E34" s="11">
        <v>3</v>
      </c>
      <c r="F34" s="46">
        <v>2</v>
      </c>
      <c r="G34" s="51"/>
      <c r="H34" s="52"/>
      <c r="I34" s="35">
        <v>2</v>
      </c>
      <c r="J34" s="49">
        <v>2</v>
      </c>
      <c r="K34" s="74"/>
      <c r="L34" s="14"/>
      <c r="M34" s="202"/>
      <c r="N34" s="205"/>
    </row>
    <row r="35" spans="1:14" ht="15" customHeight="1" x14ac:dyDescent="0.4">
      <c r="A35" s="182"/>
      <c r="B35" s="74" t="s">
        <v>74</v>
      </c>
      <c r="C35" s="90" t="s">
        <v>16</v>
      </c>
      <c r="D35" s="86" t="s">
        <v>74</v>
      </c>
      <c r="E35" s="11">
        <v>3</v>
      </c>
      <c r="F35" s="46">
        <v>3</v>
      </c>
      <c r="G35" s="207" t="s">
        <v>71</v>
      </c>
      <c r="H35" s="208"/>
      <c r="I35" s="50"/>
      <c r="J35" s="48"/>
      <c r="K35" s="74"/>
      <c r="L35" s="14"/>
      <c r="M35" s="201">
        <f>SUM(G36:L39)</f>
        <v>14</v>
      </c>
      <c r="N35" s="195">
        <v>16</v>
      </c>
    </row>
    <row r="36" spans="1:14" ht="16.2" customHeight="1" x14ac:dyDescent="0.4">
      <c r="A36" s="182"/>
      <c r="B36" s="74" t="s">
        <v>109</v>
      </c>
      <c r="C36" s="92" t="s">
        <v>0</v>
      </c>
      <c r="D36" s="93" t="s">
        <v>75</v>
      </c>
      <c r="E36" s="16">
        <v>3</v>
      </c>
      <c r="F36" s="94">
        <v>3</v>
      </c>
      <c r="G36" s="51">
        <v>3</v>
      </c>
      <c r="H36" s="52">
        <v>3</v>
      </c>
      <c r="I36" s="108"/>
      <c r="J36" s="91"/>
      <c r="K36" s="74"/>
      <c r="L36" s="14"/>
      <c r="M36" s="202"/>
      <c r="N36" s="196"/>
    </row>
    <row r="37" spans="1:14" ht="16.2" customHeight="1" x14ac:dyDescent="0.4">
      <c r="A37" s="182"/>
      <c r="B37" s="183" t="s">
        <v>63</v>
      </c>
      <c r="C37" s="92" t="s">
        <v>16</v>
      </c>
      <c r="D37" s="93" t="s">
        <v>73</v>
      </c>
      <c r="E37" s="16">
        <v>3</v>
      </c>
      <c r="F37" s="94">
        <v>3</v>
      </c>
      <c r="G37" s="95"/>
      <c r="H37" s="107"/>
      <c r="I37" s="199" t="s">
        <v>71</v>
      </c>
      <c r="J37" s="200"/>
      <c r="K37" s="74"/>
      <c r="L37" s="14"/>
      <c r="M37" s="202"/>
      <c r="N37" s="196"/>
    </row>
    <row r="38" spans="1:14" ht="15" customHeight="1" x14ac:dyDescent="0.4">
      <c r="A38" s="182"/>
      <c r="B38" s="198"/>
      <c r="C38" s="92" t="s">
        <v>16</v>
      </c>
      <c r="D38" s="87" t="s">
        <v>76</v>
      </c>
      <c r="E38" s="11">
        <v>3</v>
      </c>
      <c r="F38" s="46">
        <v>3</v>
      </c>
      <c r="G38" s="74"/>
      <c r="H38" s="14"/>
      <c r="I38" s="35">
        <v>3</v>
      </c>
      <c r="J38" s="49">
        <v>3</v>
      </c>
      <c r="K38" s="74"/>
      <c r="L38" s="14"/>
      <c r="M38" s="202"/>
      <c r="N38" s="196"/>
    </row>
    <row r="39" spans="1:14" ht="15" customHeight="1" thickBot="1" x14ac:dyDescent="0.45">
      <c r="A39" s="34"/>
      <c r="B39" s="21" t="s">
        <v>109</v>
      </c>
      <c r="C39" s="96" t="s">
        <v>23</v>
      </c>
      <c r="D39" s="97" t="s">
        <v>40</v>
      </c>
      <c r="E39" s="19">
        <v>3</v>
      </c>
      <c r="F39" s="98">
        <v>2</v>
      </c>
      <c r="G39" s="21"/>
      <c r="H39" s="81"/>
      <c r="I39" s="99"/>
      <c r="J39" s="100"/>
      <c r="K39" s="101"/>
      <c r="L39" s="81">
        <v>2</v>
      </c>
      <c r="M39" s="247"/>
      <c r="N39" s="197"/>
    </row>
    <row r="40" spans="1:14" ht="19.2" customHeight="1" x14ac:dyDescent="0.4">
      <c r="A40" s="182" t="s">
        <v>104</v>
      </c>
      <c r="B40" s="106" t="s">
        <v>3</v>
      </c>
      <c r="C40" s="114" t="s">
        <v>21</v>
      </c>
      <c r="D40" s="131" t="s">
        <v>88</v>
      </c>
      <c r="E40" s="22">
        <v>4</v>
      </c>
      <c r="F40" s="115">
        <v>3</v>
      </c>
      <c r="G40" s="129"/>
      <c r="H40" s="116"/>
      <c r="I40" s="134" t="s">
        <v>90</v>
      </c>
      <c r="J40" s="130"/>
      <c r="K40" s="117"/>
      <c r="L40" s="110"/>
      <c r="M40" s="242">
        <v>12</v>
      </c>
      <c r="N40" s="263"/>
    </row>
    <row r="41" spans="1:14" ht="19.2" customHeight="1" x14ac:dyDescent="0.4">
      <c r="A41" s="182"/>
      <c r="B41" s="62" t="s">
        <v>28</v>
      </c>
      <c r="C41" s="10" t="s">
        <v>0</v>
      </c>
      <c r="D41" s="132" t="s">
        <v>58</v>
      </c>
      <c r="E41" s="11">
        <v>4</v>
      </c>
      <c r="F41" s="77">
        <v>3</v>
      </c>
      <c r="G41" s="50"/>
      <c r="H41" s="48"/>
      <c r="I41" s="244" t="s">
        <v>91</v>
      </c>
      <c r="J41" s="14"/>
      <c r="K41" s="56"/>
      <c r="L41" s="13"/>
      <c r="M41" s="242"/>
      <c r="N41" s="242"/>
    </row>
    <row r="42" spans="1:14" ht="19.2" customHeight="1" x14ac:dyDescent="0.4">
      <c r="A42" s="182"/>
      <c r="B42" s="62" t="s">
        <v>18</v>
      </c>
      <c r="C42" s="10" t="s">
        <v>0</v>
      </c>
      <c r="D42" s="87" t="s">
        <v>29</v>
      </c>
      <c r="E42" s="11">
        <v>4</v>
      </c>
      <c r="F42" s="77">
        <v>3</v>
      </c>
      <c r="G42" s="50"/>
      <c r="H42" s="48"/>
      <c r="I42" s="245"/>
      <c r="J42" s="14"/>
      <c r="K42" s="56"/>
      <c r="L42" s="13"/>
      <c r="M42" s="242"/>
      <c r="N42" s="242"/>
    </row>
    <row r="43" spans="1:14" ht="21.6" customHeight="1" thickBot="1" x14ac:dyDescent="0.45">
      <c r="A43" s="182"/>
      <c r="B43" s="21" t="s">
        <v>74</v>
      </c>
      <c r="C43" s="18" t="s">
        <v>21</v>
      </c>
      <c r="D43" s="97" t="s">
        <v>30</v>
      </c>
      <c r="E43" s="19">
        <v>4</v>
      </c>
      <c r="F43" s="78">
        <v>3</v>
      </c>
      <c r="G43" s="79"/>
      <c r="H43" s="80"/>
      <c r="I43" s="246"/>
      <c r="J43" s="81"/>
      <c r="K43" s="58"/>
      <c r="L43" s="27"/>
      <c r="M43" s="243"/>
      <c r="N43" s="242"/>
    </row>
    <row r="44" spans="1:14" ht="18.600000000000001" customHeight="1" x14ac:dyDescent="0.4">
      <c r="A44" s="182"/>
      <c r="B44" s="71" t="s">
        <v>5</v>
      </c>
      <c r="C44" s="10" t="s">
        <v>21</v>
      </c>
      <c r="D44" s="132" t="s">
        <v>82</v>
      </c>
      <c r="E44" s="11">
        <v>4</v>
      </c>
      <c r="F44" s="82">
        <v>3</v>
      </c>
      <c r="G44" s="74"/>
      <c r="H44" s="14"/>
      <c r="I44" s="74"/>
      <c r="J44" s="133" t="s">
        <v>90</v>
      </c>
      <c r="K44" s="56"/>
      <c r="L44" s="13"/>
      <c r="M44" s="265">
        <v>12</v>
      </c>
      <c r="N44" s="242"/>
    </row>
    <row r="45" spans="1:14" ht="18.600000000000001" customHeight="1" x14ac:dyDescent="0.4">
      <c r="A45" s="182"/>
      <c r="B45" s="73" t="s">
        <v>6</v>
      </c>
      <c r="C45" s="10" t="s">
        <v>21</v>
      </c>
      <c r="D45" s="132" t="s">
        <v>87</v>
      </c>
      <c r="E45" s="11">
        <v>4</v>
      </c>
      <c r="F45" s="82">
        <v>3</v>
      </c>
      <c r="G45" s="74"/>
      <c r="H45" s="14"/>
      <c r="I45" s="74"/>
      <c r="J45" s="259" t="s">
        <v>91</v>
      </c>
      <c r="K45" s="72"/>
      <c r="L45" s="13"/>
      <c r="M45" s="265"/>
      <c r="N45" s="242"/>
    </row>
    <row r="46" spans="1:14" ht="18.600000000000001" customHeight="1" x14ac:dyDescent="0.4">
      <c r="A46" s="182"/>
      <c r="B46" s="62" t="s">
        <v>28</v>
      </c>
      <c r="C46" s="10" t="s">
        <v>21</v>
      </c>
      <c r="D46" s="132" t="s">
        <v>83</v>
      </c>
      <c r="E46" s="11">
        <v>4</v>
      </c>
      <c r="F46" s="82">
        <v>3</v>
      </c>
      <c r="G46" s="74"/>
      <c r="H46" s="14"/>
      <c r="I46" s="74"/>
      <c r="J46" s="260"/>
      <c r="K46" s="56"/>
      <c r="L46" s="13"/>
      <c r="M46" s="265"/>
      <c r="N46" s="242"/>
    </row>
    <row r="47" spans="1:14" ht="18.600000000000001" customHeight="1" x14ac:dyDescent="0.4">
      <c r="A47" s="182"/>
      <c r="B47" s="62" t="s">
        <v>18</v>
      </c>
      <c r="C47" s="10" t="s">
        <v>21</v>
      </c>
      <c r="D47" s="87" t="s">
        <v>121</v>
      </c>
      <c r="E47" s="11">
        <v>4</v>
      </c>
      <c r="F47" s="82">
        <v>3</v>
      </c>
      <c r="G47" s="74"/>
      <c r="H47" s="14"/>
      <c r="I47" s="74"/>
      <c r="J47" s="260"/>
      <c r="K47" s="56"/>
      <c r="L47" s="13"/>
      <c r="M47" s="265"/>
      <c r="N47" s="242"/>
    </row>
    <row r="48" spans="1:14" ht="21.6" customHeight="1" thickBot="1" x14ac:dyDescent="0.45">
      <c r="A48" s="182"/>
      <c r="B48" s="21" t="s">
        <v>74</v>
      </c>
      <c r="C48" s="18" t="s">
        <v>21</v>
      </c>
      <c r="D48" s="97" t="s">
        <v>92</v>
      </c>
      <c r="E48" s="19">
        <v>4</v>
      </c>
      <c r="F48" s="83">
        <v>3</v>
      </c>
      <c r="G48" s="21"/>
      <c r="H48" s="81"/>
      <c r="I48" s="21"/>
      <c r="J48" s="261"/>
      <c r="K48" s="58"/>
      <c r="L48" s="27"/>
      <c r="M48" s="266"/>
      <c r="N48" s="242"/>
    </row>
    <row r="49" spans="1:14" ht="17.399999999999999" customHeight="1" x14ac:dyDescent="0.4">
      <c r="A49" s="182"/>
      <c r="B49" s="223" t="s">
        <v>5</v>
      </c>
      <c r="C49" s="6" t="s">
        <v>16</v>
      </c>
      <c r="D49" s="64" t="s">
        <v>17</v>
      </c>
      <c r="E49" s="7">
        <v>4</v>
      </c>
      <c r="F49" s="8">
        <v>4</v>
      </c>
      <c r="G49" s="54"/>
      <c r="H49" s="9"/>
      <c r="I49" s="63"/>
      <c r="J49" s="31"/>
      <c r="K49" s="136" t="s">
        <v>56</v>
      </c>
      <c r="L49" s="9"/>
      <c r="M49" s="267">
        <v>24</v>
      </c>
      <c r="N49" s="242"/>
    </row>
    <row r="50" spans="1:14" ht="15.6" x14ac:dyDescent="0.4">
      <c r="A50" s="182"/>
      <c r="B50" s="184"/>
      <c r="C50" s="10" t="s">
        <v>21</v>
      </c>
      <c r="D50" s="69" t="s">
        <v>59</v>
      </c>
      <c r="E50" s="11">
        <v>4</v>
      </c>
      <c r="F50" s="12">
        <v>4</v>
      </c>
      <c r="G50" s="56"/>
      <c r="H50" s="13"/>
      <c r="I50" s="56"/>
      <c r="J50" s="13"/>
      <c r="K50" s="268" t="s">
        <v>57</v>
      </c>
      <c r="L50" s="23"/>
      <c r="M50" s="265"/>
      <c r="N50" s="242"/>
    </row>
    <row r="51" spans="1:14" ht="15.6" x14ac:dyDescent="0.4">
      <c r="A51" s="182"/>
      <c r="B51" s="183" t="s">
        <v>7</v>
      </c>
      <c r="C51" s="10" t="s">
        <v>16</v>
      </c>
      <c r="D51" s="65" t="s">
        <v>86</v>
      </c>
      <c r="E51" s="11">
        <v>4</v>
      </c>
      <c r="F51" s="12">
        <v>4</v>
      </c>
      <c r="G51" s="56"/>
      <c r="H51" s="13"/>
      <c r="I51" s="56"/>
      <c r="J51" s="13"/>
      <c r="K51" s="269"/>
      <c r="L51" s="23"/>
      <c r="M51" s="265"/>
      <c r="N51" s="242"/>
    </row>
    <row r="52" spans="1:14" ht="15.6" x14ac:dyDescent="0.4">
      <c r="A52" s="182"/>
      <c r="B52" s="185"/>
      <c r="C52" s="10" t="s">
        <v>21</v>
      </c>
      <c r="D52" s="65" t="s">
        <v>77</v>
      </c>
      <c r="E52" s="11">
        <v>4</v>
      </c>
      <c r="F52" s="12">
        <v>4</v>
      </c>
      <c r="G52" s="56"/>
      <c r="H52" s="13"/>
      <c r="I52" s="56"/>
      <c r="J52" s="13"/>
      <c r="K52" s="269"/>
      <c r="L52" s="23"/>
      <c r="M52" s="265"/>
      <c r="N52" s="242"/>
    </row>
    <row r="53" spans="1:14" ht="15.6" x14ac:dyDescent="0.4">
      <c r="A53" s="182"/>
      <c r="B53" s="183" t="s">
        <v>6</v>
      </c>
      <c r="C53" s="10" t="s">
        <v>16</v>
      </c>
      <c r="D53" s="68" t="s">
        <v>38</v>
      </c>
      <c r="E53" s="11">
        <v>4</v>
      </c>
      <c r="F53" s="12">
        <v>4</v>
      </c>
      <c r="G53" s="56"/>
      <c r="H53" s="13"/>
      <c r="I53" s="56"/>
      <c r="J53" s="13"/>
      <c r="K53" s="269"/>
      <c r="L53" s="23"/>
      <c r="M53" s="265"/>
      <c r="N53" s="242"/>
    </row>
    <row r="54" spans="1:14" ht="15.6" x14ac:dyDescent="0.4">
      <c r="A54" s="182"/>
      <c r="B54" s="184"/>
      <c r="C54" s="10" t="s">
        <v>39</v>
      </c>
      <c r="D54" s="85" t="s">
        <v>106</v>
      </c>
      <c r="E54" s="11">
        <v>4</v>
      </c>
      <c r="F54" s="12">
        <v>4</v>
      </c>
      <c r="G54" s="56"/>
      <c r="H54" s="13"/>
      <c r="I54" s="56"/>
      <c r="J54" s="13"/>
      <c r="K54" s="269"/>
      <c r="L54" s="23"/>
      <c r="M54" s="265"/>
      <c r="N54" s="242"/>
    </row>
    <row r="55" spans="1:14" ht="15.6" x14ac:dyDescent="0.4">
      <c r="A55" s="182"/>
      <c r="B55" s="185"/>
      <c r="C55" s="10" t="s">
        <v>23</v>
      </c>
      <c r="D55" s="85" t="s">
        <v>60</v>
      </c>
      <c r="E55" s="11">
        <v>4</v>
      </c>
      <c r="F55" s="12">
        <v>4</v>
      </c>
      <c r="G55" s="56"/>
      <c r="H55" s="13"/>
      <c r="I55" s="56"/>
      <c r="J55" s="13"/>
      <c r="K55" s="269"/>
      <c r="L55" s="23"/>
      <c r="M55" s="265"/>
      <c r="N55" s="242"/>
    </row>
    <row r="56" spans="1:14" ht="15.6" x14ac:dyDescent="0.4">
      <c r="A56" s="182"/>
      <c r="B56" s="183" t="s">
        <v>28</v>
      </c>
      <c r="C56" s="10" t="s">
        <v>21</v>
      </c>
      <c r="D56" s="85" t="s">
        <v>61</v>
      </c>
      <c r="E56" s="11">
        <v>4</v>
      </c>
      <c r="F56" s="12">
        <v>4</v>
      </c>
      <c r="G56" s="56"/>
      <c r="H56" s="13"/>
      <c r="I56" s="56"/>
      <c r="J56" s="13"/>
      <c r="K56" s="269"/>
      <c r="L56" s="23"/>
      <c r="M56" s="265"/>
      <c r="N56" s="242"/>
    </row>
    <row r="57" spans="1:14" ht="17.399999999999999" x14ac:dyDescent="0.4">
      <c r="A57" s="182"/>
      <c r="B57" s="185"/>
      <c r="C57" s="10" t="s">
        <v>23</v>
      </c>
      <c r="D57" s="86" t="s">
        <v>85</v>
      </c>
      <c r="E57" s="11">
        <v>4</v>
      </c>
      <c r="F57" s="12">
        <v>4</v>
      </c>
      <c r="G57" s="24"/>
      <c r="H57" s="25"/>
      <c r="I57" s="24"/>
      <c r="J57" s="25"/>
      <c r="K57" s="269"/>
      <c r="L57" s="23"/>
      <c r="M57" s="265"/>
      <c r="N57" s="242"/>
    </row>
    <row r="58" spans="1:14" ht="17.399999999999999" x14ac:dyDescent="0.4">
      <c r="A58" s="182"/>
      <c r="B58" s="183" t="s">
        <v>18</v>
      </c>
      <c r="C58" s="10" t="s">
        <v>21</v>
      </c>
      <c r="D58" s="86" t="s">
        <v>108</v>
      </c>
      <c r="E58" s="11">
        <v>4</v>
      </c>
      <c r="F58" s="12">
        <v>4</v>
      </c>
      <c r="G58" s="24"/>
      <c r="H58" s="25"/>
      <c r="I58" s="24"/>
      <c r="J58" s="25"/>
      <c r="K58" s="269"/>
      <c r="L58" s="23"/>
      <c r="M58" s="265"/>
      <c r="N58" s="242"/>
    </row>
    <row r="59" spans="1:14" ht="17.399999999999999" x14ac:dyDescent="0.4">
      <c r="A59" s="182"/>
      <c r="B59" s="198"/>
      <c r="C59" s="10" t="s">
        <v>23</v>
      </c>
      <c r="D59" s="86" t="s">
        <v>93</v>
      </c>
      <c r="E59" s="11">
        <v>4</v>
      </c>
      <c r="F59" s="12">
        <v>4</v>
      </c>
      <c r="G59" s="24"/>
      <c r="H59" s="25"/>
      <c r="I59" s="24"/>
      <c r="J59" s="25"/>
      <c r="K59" s="269"/>
      <c r="L59" s="23"/>
      <c r="M59" s="265"/>
      <c r="N59" s="242"/>
    </row>
    <row r="60" spans="1:14" ht="15.6" x14ac:dyDescent="0.4">
      <c r="A60" s="182"/>
      <c r="B60" s="59" t="s">
        <v>74</v>
      </c>
      <c r="C60" s="10" t="s">
        <v>23</v>
      </c>
      <c r="D60" s="87" t="s">
        <v>62</v>
      </c>
      <c r="E60" s="11">
        <v>4</v>
      </c>
      <c r="F60" s="12">
        <v>4</v>
      </c>
      <c r="G60" s="56"/>
      <c r="H60" s="13"/>
      <c r="I60" s="56"/>
      <c r="J60" s="13"/>
      <c r="K60" s="269"/>
      <c r="L60" s="13"/>
      <c r="M60" s="265"/>
      <c r="N60" s="242"/>
    </row>
    <row r="61" spans="1:14" ht="15.6" x14ac:dyDescent="0.4">
      <c r="A61" s="182"/>
      <c r="B61" s="218" t="s">
        <v>63</v>
      </c>
      <c r="C61" s="15" t="s">
        <v>21</v>
      </c>
      <c r="D61" s="88" t="s">
        <v>79</v>
      </c>
      <c r="E61" s="16">
        <v>4</v>
      </c>
      <c r="F61" s="17">
        <v>4</v>
      </c>
      <c r="G61" s="53"/>
      <c r="H61" s="60"/>
      <c r="I61" s="53"/>
      <c r="J61" s="60"/>
      <c r="K61" s="269"/>
      <c r="L61" s="60"/>
      <c r="M61" s="265"/>
      <c r="N61" s="242"/>
    </row>
    <row r="62" spans="1:14" ht="18" thickBot="1" x14ac:dyDescent="0.45">
      <c r="A62" s="182"/>
      <c r="B62" s="219"/>
      <c r="C62" s="18" t="s">
        <v>23</v>
      </c>
      <c r="D62" s="89" t="s">
        <v>107</v>
      </c>
      <c r="E62" s="19">
        <v>4</v>
      </c>
      <c r="F62" s="20">
        <v>4</v>
      </c>
      <c r="G62" s="32"/>
      <c r="H62" s="33"/>
      <c r="I62" s="32"/>
      <c r="J62" s="33"/>
      <c r="K62" s="270"/>
      <c r="L62" s="27"/>
      <c r="M62" s="266"/>
      <c r="N62" s="242"/>
    </row>
    <row r="63" spans="1:14" ht="18" customHeight="1" x14ac:dyDescent="0.4">
      <c r="A63" s="182"/>
      <c r="B63" s="84" t="s">
        <v>5</v>
      </c>
      <c r="C63" s="6" t="s">
        <v>23</v>
      </c>
      <c r="D63" s="135" t="s">
        <v>125</v>
      </c>
      <c r="E63" s="7">
        <v>4</v>
      </c>
      <c r="F63" s="45">
        <v>4</v>
      </c>
      <c r="G63" s="121"/>
      <c r="H63" s="122"/>
      <c r="I63" s="121"/>
      <c r="J63" s="122"/>
      <c r="K63" s="123"/>
      <c r="L63" s="137" t="s">
        <v>70</v>
      </c>
      <c r="M63" s="263">
        <v>22</v>
      </c>
      <c r="N63" s="242"/>
    </row>
    <row r="64" spans="1:14" ht="18" customHeight="1" x14ac:dyDescent="0.4">
      <c r="A64" s="182"/>
      <c r="B64" s="218" t="s">
        <v>6</v>
      </c>
      <c r="C64" s="10" t="s">
        <v>21</v>
      </c>
      <c r="D64" s="86" t="s">
        <v>64</v>
      </c>
      <c r="E64" s="11">
        <v>4</v>
      </c>
      <c r="F64" s="46">
        <v>4</v>
      </c>
      <c r="G64" s="24"/>
      <c r="H64" s="25"/>
      <c r="I64" s="24"/>
      <c r="J64" s="25"/>
      <c r="K64" s="26"/>
      <c r="L64" s="262" t="s">
        <v>103</v>
      </c>
      <c r="M64" s="242"/>
      <c r="N64" s="242"/>
    </row>
    <row r="65" spans="1:14" ht="15.6" customHeight="1" x14ac:dyDescent="0.4">
      <c r="A65" s="182"/>
      <c r="B65" s="221"/>
      <c r="C65" s="10" t="s">
        <v>23</v>
      </c>
      <c r="D65" s="86" t="s">
        <v>123</v>
      </c>
      <c r="E65" s="11">
        <v>4</v>
      </c>
      <c r="F65" s="46">
        <v>4</v>
      </c>
      <c r="G65" s="24"/>
      <c r="H65" s="25"/>
      <c r="I65" s="24"/>
      <c r="J65" s="25"/>
      <c r="K65" s="103"/>
      <c r="L65" s="262"/>
      <c r="M65" s="242"/>
      <c r="N65" s="242"/>
    </row>
    <row r="66" spans="1:14" ht="15.6" customHeight="1" x14ac:dyDescent="0.4">
      <c r="A66" s="182"/>
      <c r="B66" s="190" t="s">
        <v>7</v>
      </c>
      <c r="C66" s="104" t="s">
        <v>39</v>
      </c>
      <c r="D66" s="86" t="s">
        <v>96</v>
      </c>
      <c r="E66" s="11">
        <v>4</v>
      </c>
      <c r="F66" s="46">
        <v>4</v>
      </c>
      <c r="G66" s="24"/>
      <c r="H66" s="25"/>
      <c r="I66" s="24"/>
      <c r="J66" s="25"/>
      <c r="K66" s="103"/>
      <c r="L66" s="262"/>
      <c r="M66" s="242"/>
      <c r="N66" s="242"/>
    </row>
    <row r="67" spans="1:14" ht="15.6" customHeight="1" x14ac:dyDescent="0.4">
      <c r="A67" s="182"/>
      <c r="B67" s="189"/>
      <c r="C67" s="104" t="s">
        <v>23</v>
      </c>
      <c r="D67" s="86" t="s">
        <v>97</v>
      </c>
      <c r="E67" s="11">
        <v>4</v>
      </c>
      <c r="F67" s="46">
        <v>4</v>
      </c>
      <c r="G67" s="24"/>
      <c r="H67" s="25"/>
      <c r="I67" s="24"/>
      <c r="J67" s="25"/>
      <c r="K67" s="103"/>
      <c r="L67" s="262"/>
      <c r="M67" s="242"/>
      <c r="N67" s="242"/>
    </row>
    <row r="68" spans="1:14" ht="18" customHeight="1" x14ac:dyDescent="0.4">
      <c r="A68" s="182"/>
      <c r="B68" s="74" t="s">
        <v>28</v>
      </c>
      <c r="C68" s="10" t="s">
        <v>23</v>
      </c>
      <c r="D68" s="87" t="s">
        <v>105</v>
      </c>
      <c r="E68" s="11">
        <v>4</v>
      </c>
      <c r="F68" s="46">
        <v>4</v>
      </c>
      <c r="G68" s="103"/>
      <c r="H68" s="13"/>
      <c r="I68" s="103"/>
      <c r="J68" s="13"/>
      <c r="K68" s="103"/>
      <c r="L68" s="262"/>
      <c r="M68" s="242"/>
      <c r="N68" s="242"/>
    </row>
    <row r="69" spans="1:14" ht="22.2" customHeight="1" x14ac:dyDescent="0.4">
      <c r="A69" s="182"/>
      <c r="B69" s="105" t="s">
        <v>18</v>
      </c>
      <c r="C69" s="15" t="s">
        <v>23</v>
      </c>
      <c r="D69" s="88" t="s">
        <v>98</v>
      </c>
      <c r="E69" s="16">
        <v>4</v>
      </c>
      <c r="F69" s="94">
        <v>4</v>
      </c>
      <c r="G69" s="53"/>
      <c r="H69" s="109"/>
      <c r="I69" s="53"/>
      <c r="J69" s="109"/>
      <c r="K69" s="103"/>
      <c r="L69" s="262"/>
      <c r="M69" s="242"/>
      <c r="N69" s="242"/>
    </row>
    <row r="70" spans="1:14" ht="18" customHeight="1" x14ac:dyDescent="0.4">
      <c r="A70" s="61"/>
      <c r="B70" s="218" t="s">
        <v>63</v>
      </c>
      <c r="C70" s="15" t="s">
        <v>21</v>
      </c>
      <c r="D70" s="70" t="s">
        <v>72</v>
      </c>
      <c r="E70" s="16">
        <v>4</v>
      </c>
      <c r="F70" s="94">
        <v>4</v>
      </c>
      <c r="G70" s="53"/>
      <c r="H70" s="109"/>
      <c r="I70" s="53"/>
      <c r="J70" s="109"/>
      <c r="K70" s="103"/>
      <c r="L70" s="262"/>
      <c r="M70" s="242"/>
      <c r="N70" s="264"/>
    </row>
    <row r="71" spans="1:14" ht="18" customHeight="1" x14ac:dyDescent="0.4">
      <c r="A71" s="61"/>
      <c r="B71" s="220"/>
      <c r="C71" s="15" t="s">
        <v>23</v>
      </c>
      <c r="D71" s="118" t="s">
        <v>84</v>
      </c>
      <c r="E71" s="16">
        <v>4</v>
      </c>
      <c r="F71" s="94">
        <v>4</v>
      </c>
      <c r="G71" s="119"/>
      <c r="H71" s="120"/>
      <c r="I71" s="119"/>
      <c r="J71" s="120"/>
      <c r="K71" s="53"/>
      <c r="L71" s="262"/>
      <c r="M71" s="242"/>
      <c r="N71" s="264"/>
    </row>
    <row r="72" spans="1:14" ht="15.6" x14ac:dyDescent="0.4">
      <c r="A72" s="102"/>
      <c r="B72" s="218" t="s">
        <v>25</v>
      </c>
      <c r="C72" s="90" t="s">
        <v>21</v>
      </c>
      <c r="D72" s="86" t="s">
        <v>68</v>
      </c>
      <c r="E72" s="11">
        <v>3</v>
      </c>
      <c r="F72" s="46">
        <v>2</v>
      </c>
      <c r="G72" s="51"/>
      <c r="H72" s="52"/>
      <c r="I72" s="74"/>
      <c r="J72" s="14"/>
      <c r="K72" s="74"/>
      <c r="L72" s="127" t="s">
        <v>69</v>
      </c>
      <c r="M72" s="264"/>
      <c r="N72" s="264"/>
    </row>
    <row r="73" spans="1:14" ht="16.2" thickBot="1" x14ac:dyDescent="0.45">
      <c r="A73" s="102"/>
      <c r="B73" s="222"/>
      <c r="C73" s="92" t="s">
        <v>23</v>
      </c>
      <c r="D73" s="93" t="s">
        <v>81</v>
      </c>
      <c r="E73" s="16">
        <v>3</v>
      </c>
      <c r="F73" s="94">
        <v>2</v>
      </c>
      <c r="G73" s="113"/>
      <c r="H73" s="124"/>
      <c r="I73" s="111"/>
      <c r="J73" s="112"/>
      <c r="K73" s="95"/>
      <c r="L73" s="128">
        <v>2</v>
      </c>
      <c r="M73" s="264"/>
      <c r="N73" s="264"/>
    </row>
    <row r="74" spans="1:14" ht="15.6" customHeight="1" x14ac:dyDescent="0.4">
      <c r="A74" s="224" t="s">
        <v>111</v>
      </c>
      <c r="B74" s="148" t="s">
        <v>109</v>
      </c>
      <c r="C74" s="149" t="s">
        <v>21</v>
      </c>
      <c r="D74" s="150" t="s">
        <v>115</v>
      </c>
      <c r="E74" s="7">
        <v>3</v>
      </c>
      <c r="F74" s="45">
        <v>2</v>
      </c>
      <c r="G74" s="175" t="s">
        <v>110</v>
      </c>
      <c r="H74" s="176"/>
      <c r="I74" s="176"/>
      <c r="J74" s="176"/>
      <c r="K74" s="176"/>
      <c r="L74" s="177"/>
      <c r="M74" s="142"/>
      <c r="N74" s="142"/>
    </row>
    <row r="75" spans="1:14" ht="15.6" customHeight="1" x14ac:dyDescent="0.4">
      <c r="A75" s="225"/>
      <c r="B75" s="178" t="s">
        <v>28</v>
      </c>
      <c r="C75" s="90" t="s">
        <v>21</v>
      </c>
      <c r="D75" s="151" t="s">
        <v>116</v>
      </c>
      <c r="E75" s="11">
        <v>4</v>
      </c>
      <c r="F75" s="46">
        <v>3</v>
      </c>
      <c r="G75" s="180" t="s">
        <v>112</v>
      </c>
      <c r="H75" s="170"/>
      <c r="I75" s="170"/>
      <c r="J75" s="170"/>
      <c r="K75" s="170"/>
      <c r="L75" s="171"/>
      <c r="M75" s="143"/>
      <c r="N75" s="143"/>
    </row>
    <row r="76" spans="1:14" ht="15.6" customHeight="1" x14ac:dyDescent="0.4">
      <c r="A76" s="225"/>
      <c r="B76" s="179"/>
      <c r="C76" s="92" t="s">
        <v>21</v>
      </c>
      <c r="D76" s="156" t="s">
        <v>118</v>
      </c>
      <c r="E76" s="16">
        <v>4</v>
      </c>
      <c r="F76" s="94">
        <v>3</v>
      </c>
      <c r="G76" s="125"/>
      <c r="H76" s="126"/>
      <c r="I76" s="169" t="s">
        <v>113</v>
      </c>
      <c r="J76" s="170"/>
      <c r="K76" s="170"/>
      <c r="L76" s="171"/>
      <c r="M76" s="143"/>
      <c r="N76" s="143"/>
    </row>
    <row r="77" spans="1:14" ht="15.6" customHeight="1" x14ac:dyDescent="0.4">
      <c r="A77" s="225"/>
      <c r="B77" s="152" t="s">
        <v>6</v>
      </c>
      <c r="C77" s="92" t="s">
        <v>21</v>
      </c>
      <c r="D77" s="156" t="s">
        <v>119</v>
      </c>
      <c r="E77" s="16">
        <v>4</v>
      </c>
      <c r="F77" s="94">
        <v>3</v>
      </c>
      <c r="G77" s="125"/>
      <c r="H77" s="126"/>
      <c r="I77" s="169" t="s">
        <v>113</v>
      </c>
      <c r="J77" s="170"/>
      <c r="K77" s="170"/>
      <c r="L77" s="171"/>
      <c r="M77" s="143"/>
      <c r="N77" s="143"/>
    </row>
    <row r="78" spans="1:14" ht="15.6" customHeight="1" x14ac:dyDescent="0.4">
      <c r="A78" s="225"/>
      <c r="B78" s="178" t="s">
        <v>18</v>
      </c>
      <c r="C78" s="90" t="s">
        <v>21</v>
      </c>
      <c r="D78" s="151" t="s">
        <v>114</v>
      </c>
      <c r="E78" s="11">
        <v>4</v>
      </c>
      <c r="F78" s="46">
        <v>3</v>
      </c>
      <c r="G78" s="125"/>
      <c r="H78" s="126"/>
      <c r="I78" s="169" t="s">
        <v>113</v>
      </c>
      <c r="J78" s="170"/>
      <c r="K78" s="170"/>
      <c r="L78" s="171"/>
      <c r="M78" s="143"/>
      <c r="N78" s="143"/>
    </row>
    <row r="79" spans="1:14" ht="15.6" customHeight="1" x14ac:dyDescent="0.4">
      <c r="A79" s="225"/>
      <c r="B79" s="179"/>
      <c r="C79" s="153" t="s">
        <v>39</v>
      </c>
      <c r="D79" s="157" t="s">
        <v>120</v>
      </c>
      <c r="E79" s="16">
        <v>4</v>
      </c>
      <c r="F79" s="94">
        <v>3</v>
      </c>
      <c r="G79" s="144"/>
      <c r="H79" s="145"/>
      <c r="I79" s="145"/>
      <c r="J79" s="172" t="s">
        <v>113</v>
      </c>
      <c r="K79" s="173"/>
      <c r="L79" s="174"/>
      <c r="M79" s="143"/>
      <c r="N79" s="143"/>
    </row>
    <row r="80" spans="1:14" ht="15.6" customHeight="1" thickBot="1" x14ac:dyDescent="0.45">
      <c r="A80" s="226"/>
      <c r="B80" s="179"/>
      <c r="C80" s="154" t="s">
        <v>23</v>
      </c>
      <c r="D80" s="155" t="s">
        <v>124</v>
      </c>
      <c r="E80" s="16">
        <v>4</v>
      </c>
      <c r="F80" s="94">
        <v>3</v>
      </c>
      <c r="G80" s="144"/>
      <c r="H80" s="145"/>
      <c r="I80" s="145" t="s">
        <v>122</v>
      </c>
      <c r="J80" s="172" t="s">
        <v>113</v>
      </c>
      <c r="K80" s="173"/>
      <c r="L80" s="174"/>
      <c r="M80" s="147"/>
      <c r="N80" s="147"/>
    </row>
    <row r="81" spans="1:14" ht="14.55" customHeight="1" thickBot="1" x14ac:dyDescent="0.45">
      <c r="A81" s="158" t="s">
        <v>127</v>
      </c>
      <c r="B81" s="159" t="s">
        <v>6</v>
      </c>
      <c r="C81" s="160" t="s">
        <v>21</v>
      </c>
      <c r="D81" s="161" t="s">
        <v>128</v>
      </c>
      <c r="E81" s="160">
        <v>4</v>
      </c>
      <c r="F81" s="162">
        <v>3</v>
      </c>
      <c r="G81" s="163"/>
      <c r="H81" s="164"/>
      <c r="I81" s="164"/>
      <c r="J81" s="165" t="s">
        <v>129</v>
      </c>
      <c r="K81" s="164"/>
      <c r="L81" s="166"/>
      <c r="M81" s="167"/>
      <c r="N81" s="168"/>
    </row>
    <row r="82" spans="1:14" ht="15" customHeight="1" x14ac:dyDescent="0.4">
      <c r="A82" s="209" t="s">
        <v>65</v>
      </c>
      <c r="B82" s="210"/>
      <c r="C82" s="210"/>
      <c r="D82" s="210"/>
      <c r="E82" s="210"/>
      <c r="F82" s="211"/>
      <c r="G82" s="54">
        <v>31</v>
      </c>
      <c r="H82" s="146">
        <v>31</v>
      </c>
      <c r="I82" s="54">
        <v>30</v>
      </c>
      <c r="J82" s="9">
        <v>30</v>
      </c>
      <c r="K82" s="28">
        <v>26</v>
      </c>
      <c r="L82" s="9">
        <v>26</v>
      </c>
      <c r="M82" s="28">
        <v>174</v>
      </c>
      <c r="N82" s="9">
        <v>84</v>
      </c>
    </row>
    <row r="83" spans="1:14" ht="15" customHeight="1" x14ac:dyDescent="0.4">
      <c r="A83" s="212" t="s">
        <v>31</v>
      </c>
      <c r="B83" s="213"/>
      <c r="C83" s="213"/>
      <c r="D83" s="213"/>
      <c r="E83" s="213"/>
      <c r="F83" s="214"/>
      <c r="G83" s="138">
        <v>3</v>
      </c>
      <c r="H83" s="139">
        <v>3</v>
      </c>
      <c r="I83" s="138">
        <v>3</v>
      </c>
      <c r="J83" s="13">
        <v>3</v>
      </c>
      <c r="K83" s="29">
        <v>3</v>
      </c>
      <c r="L83" s="13">
        <v>3</v>
      </c>
      <c r="M83" s="29">
        <v>18</v>
      </c>
      <c r="N83" s="13">
        <v>18</v>
      </c>
    </row>
    <row r="84" spans="1:14" ht="15" customHeight="1" thickBot="1" x14ac:dyDescent="0.45">
      <c r="A84" s="215" t="s">
        <v>66</v>
      </c>
      <c r="B84" s="216"/>
      <c r="C84" s="216"/>
      <c r="D84" s="216"/>
      <c r="E84" s="216"/>
      <c r="F84" s="217"/>
      <c r="G84" s="140">
        <v>34</v>
      </c>
      <c r="H84" s="141">
        <v>34</v>
      </c>
      <c r="I84" s="140">
        <v>33</v>
      </c>
      <c r="J84" s="27">
        <v>33</v>
      </c>
      <c r="K84" s="30">
        <v>29</v>
      </c>
      <c r="L84" s="27">
        <v>29</v>
      </c>
      <c r="M84" s="30">
        <v>192</v>
      </c>
      <c r="N84" s="27"/>
    </row>
    <row r="85" spans="1:14" ht="17.399999999999999" x14ac:dyDescent="0.4">
      <c r="A85" s="248" t="s">
        <v>117</v>
      </c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</row>
  </sheetData>
  <mergeCells count="77">
    <mergeCell ref="A85:N85"/>
    <mergeCell ref="N5:N8"/>
    <mergeCell ref="N9:N12"/>
    <mergeCell ref="N13:N16"/>
    <mergeCell ref="M21:M24"/>
    <mergeCell ref="N21:N24"/>
    <mergeCell ref="J45:J48"/>
    <mergeCell ref="L64:L71"/>
    <mergeCell ref="M63:M73"/>
    <mergeCell ref="N40:N73"/>
    <mergeCell ref="M44:M48"/>
    <mergeCell ref="M49:M62"/>
    <mergeCell ref="K50:K62"/>
    <mergeCell ref="M9:M12"/>
    <mergeCell ref="M13:M16"/>
    <mergeCell ref="M5:M8"/>
    <mergeCell ref="M40:M43"/>
    <mergeCell ref="I41:I43"/>
    <mergeCell ref="I37:J37"/>
    <mergeCell ref="M31:M34"/>
    <mergeCell ref="M35:M39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82:F82"/>
    <mergeCell ref="A83:F83"/>
    <mergeCell ref="A84:F84"/>
    <mergeCell ref="B51:B52"/>
    <mergeCell ref="B53:B55"/>
    <mergeCell ref="B56:B57"/>
    <mergeCell ref="B61:B62"/>
    <mergeCell ref="B70:B71"/>
    <mergeCell ref="B64:B65"/>
    <mergeCell ref="B66:B67"/>
    <mergeCell ref="B72:B73"/>
    <mergeCell ref="A40:A69"/>
    <mergeCell ref="B49:B50"/>
    <mergeCell ref="B58:B59"/>
    <mergeCell ref="A74:A80"/>
    <mergeCell ref="B78:B80"/>
    <mergeCell ref="N35:N39"/>
    <mergeCell ref="B37:B38"/>
    <mergeCell ref="I33:J33"/>
    <mergeCell ref="B25:B30"/>
    <mergeCell ref="M25:M30"/>
    <mergeCell ref="N25:N30"/>
    <mergeCell ref="N31:N34"/>
    <mergeCell ref="B31:B34"/>
    <mergeCell ref="G31:H31"/>
    <mergeCell ref="G35:H35"/>
    <mergeCell ref="M17:M18"/>
    <mergeCell ref="N17:N18"/>
    <mergeCell ref="M19:M20"/>
    <mergeCell ref="N19:N20"/>
    <mergeCell ref="B21:B24"/>
    <mergeCell ref="B75:B76"/>
    <mergeCell ref="G75:L75"/>
    <mergeCell ref="I76:L76"/>
    <mergeCell ref="A5:A38"/>
    <mergeCell ref="B17:B20"/>
    <mergeCell ref="B5:B8"/>
    <mergeCell ref="B9:B12"/>
    <mergeCell ref="B13:B16"/>
    <mergeCell ref="I78:L78"/>
    <mergeCell ref="J79:L79"/>
    <mergeCell ref="J80:L80"/>
    <mergeCell ref="I77:L77"/>
    <mergeCell ref="G74:L74"/>
  </mergeCells>
  <phoneticPr fontId="1" type="noConversion"/>
  <printOptions horizontalCentered="1"/>
  <pageMargins left="0.25" right="0.25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 신입생</vt:lpstr>
      <vt:lpstr>'2025 신입생'!Print_Area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2026-02-02T03:35:18Z</cp:lastPrinted>
  <dcterms:created xsi:type="dcterms:W3CDTF">2023-02-08T04:48:14Z</dcterms:created>
  <dcterms:modified xsi:type="dcterms:W3CDTF">2026-07-13T23:53:16Z</dcterms:modified>
</cp:coreProperties>
</file>