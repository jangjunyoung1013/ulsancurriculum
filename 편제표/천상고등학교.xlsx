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교육과정기획\교육과정 편제표\"/>
    </mc:Choice>
  </mc:AlternateContent>
  <xr:revisionPtr revIDLastSave="0" documentId="13_ncr:1_{5EED51E4-897D-409D-967B-4E05E2B7AA53}" xr6:coauthVersionLast="47" xr6:coauthVersionMax="47" xr10:uidLastSave="{00000000-0000-0000-0000-000000000000}"/>
  <bookViews>
    <workbookView xWindow="-108" yWindow="-108" windowWidth="23256" windowHeight="12456" xr2:uid="{2278A671-AA60-4A4D-94E6-709B0A6BE3E3}"/>
  </bookViews>
  <sheets>
    <sheet name="2026학년도 신입생 3개년 교육과정편제표(최종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1" l="1"/>
  <c r="M77" i="1" l="1"/>
  <c r="L76" i="1"/>
  <c r="L78" i="1" s="1"/>
  <c r="K76" i="1"/>
  <c r="K78" i="1" s="1"/>
  <c r="J76" i="1"/>
  <c r="J78" i="1" s="1"/>
  <c r="I76" i="1"/>
  <c r="I78" i="1" s="1"/>
  <c r="H76" i="1"/>
  <c r="H78" i="1" s="1"/>
  <c r="G76" i="1"/>
  <c r="G78" i="1" s="1"/>
  <c r="M59" i="1"/>
  <c r="M50" i="1"/>
  <c r="M46" i="1"/>
  <c r="M41" i="1"/>
  <c r="M35" i="1"/>
  <c r="M31" i="1"/>
  <c r="M25" i="1"/>
  <c r="M21" i="1"/>
  <c r="M19" i="1"/>
  <c r="F16" i="1"/>
  <c r="F15" i="1"/>
  <c r="M13" i="1"/>
  <c r="F12" i="1"/>
  <c r="F11" i="1"/>
  <c r="M9" i="1"/>
  <c r="F8" i="1"/>
  <c r="F7" i="1"/>
  <c r="M5" i="1"/>
  <c r="M76" i="1" l="1"/>
  <c r="M78" i="1"/>
</calcChain>
</file>

<file path=xl/sharedStrings.xml><?xml version="1.0" encoding="utf-8"?>
<sst xmlns="http://schemas.openxmlformats.org/spreadsheetml/2006/main" count="200" uniqueCount="118">
  <si>
    <t>구분</t>
    <phoneticPr fontId="2" type="noConversion"/>
  </si>
  <si>
    <t>교과
(군)</t>
    <phoneticPr fontId="2" type="noConversion"/>
  </si>
  <si>
    <t>세부과목</t>
    <phoneticPr fontId="2" type="noConversion"/>
  </si>
  <si>
    <t>기준
학점</t>
    <phoneticPr fontId="2" type="noConversion"/>
  </si>
  <si>
    <t>운영학점</t>
    <phoneticPr fontId="2" type="noConversion"/>
  </si>
  <si>
    <t>1학년</t>
    <phoneticPr fontId="2" type="noConversion"/>
  </si>
  <si>
    <t>2학년</t>
    <phoneticPr fontId="2" type="noConversion"/>
  </si>
  <si>
    <t>3학년</t>
    <phoneticPr fontId="2" type="noConversion"/>
  </si>
  <si>
    <t>이수  
학점</t>
    <phoneticPr fontId="2" type="noConversion"/>
  </si>
  <si>
    <t xml:space="preserve">필수이수      학점   </t>
    <phoneticPr fontId="2" type="noConversion"/>
  </si>
  <si>
    <t>1학기</t>
  </si>
  <si>
    <t>2학기</t>
  </si>
  <si>
    <t>국어</t>
  </si>
  <si>
    <t>공통</t>
  </si>
  <si>
    <t>공통국어1</t>
    <phoneticPr fontId="2" type="noConversion"/>
  </si>
  <si>
    <t>공통국어2</t>
    <phoneticPr fontId="2" type="noConversion"/>
  </si>
  <si>
    <t>일반</t>
  </si>
  <si>
    <t>문학</t>
  </si>
  <si>
    <t>독서와 작문</t>
    <phoneticPr fontId="2" type="noConversion"/>
  </si>
  <si>
    <t>수학</t>
  </si>
  <si>
    <t>공통수학1</t>
    <phoneticPr fontId="2" type="noConversion"/>
  </si>
  <si>
    <t>공통수학2</t>
    <phoneticPr fontId="2" type="noConversion"/>
  </si>
  <si>
    <t>대수</t>
    <phoneticPr fontId="2" type="noConversion"/>
  </si>
  <si>
    <t>미적분Ⅰ</t>
    <phoneticPr fontId="2" type="noConversion"/>
  </si>
  <si>
    <t>영어</t>
  </si>
  <si>
    <t>공통영어1</t>
    <phoneticPr fontId="2" type="noConversion"/>
  </si>
  <si>
    <t>공통영어2</t>
    <phoneticPr fontId="2" type="noConversion"/>
  </si>
  <si>
    <t>영어Ⅰ</t>
    <phoneticPr fontId="2" type="noConversion"/>
  </si>
  <si>
    <t>영어Ⅱ</t>
    <phoneticPr fontId="2" type="noConversion"/>
  </si>
  <si>
    <t>한국사</t>
    <phoneticPr fontId="2" type="noConversion"/>
  </si>
  <si>
    <t>한국사1</t>
    <phoneticPr fontId="2" type="noConversion"/>
  </si>
  <si>
    <t>한국사2</t>
    <phoneticPr fontId="2" type="noConversion"/>
  </si>
  <si>
    <t>사회</t>
  </si>
  <si>
    <t>통합사회1</t>
    <phoneticPr fontId="2" type="noConversion"/>
  </si>
  <si>
    <t>통합사회2</t>
    <phoneticPr fontId="2" type="noConversion"/>
  </si>
  <si>
    <t>과학</t>
    <phoneticPr fontId="2" type="noConversion"/>
  </si>
  <si>
    <t>공통</t>
    <phoneticPr fontId="2" type="noConversion"/>
  </si>
  <si>
    <t>통합과학1</t>
    <phoneticPr fontId="2" type="noConversion"/>
  </si>
  <si>
    <t>통합과학2</t>
    <phoneticPr fontId="2" type="noConversion"/>
  </si>
  <si>
    <t>과학탐구실험1</t>
    <phoneticPr fontId="2" type="noConversion"/>
  </si>
  <si>
    <t>과학탐구실험2</t>
    <phoneticPr fontId="2" type="noConversion"/>
  </si>
  <si>
    <t>체육</t>
    <phoneticPr fontId="2" type="noConversion"/>
  </si>
  <si>
    <t>체육1</t>
    <phoneticPr fontId="2" type="noConversion"/>
  </si>
  <si>
    <t>체육2</t>
    <phoneticPr fontId="2" type="noConversion"/>
  </si>
  <si>
    <t>진로</t>
    <phoneticPr fontId="2" type="noConversion"/>
  </si>
  <si>
    <t>스포츠 문화</t>
    <phoneticPr fontId="2" type="noConversion"/>
  </si>
  <si>
    <t>스포츠 과학</t>
    <phoneticPr fontId="2" type="noConversion"/>
  </si>
  <si>
    <t>융합</t>
    <phoneticPr fontId="2" type="noConversion"/>
  </si>
  <si>
    <t>스포츠 생활1</t>
    <phoneticPr fontId="2" type="noConversion"/>
  </si>
  <si>
    <t>일반</t>
    <phoneticPr fontId="2" type="noConversion"/>
  </si>
  <si>
    <t>교차집중(↔)</t>
    <phoneticPr fontId="2" type="noConversion"/>
  </si>
  <si>
    <t>교양</t>
    <phoneticPr fontId="2" type="noConversion"/>
  </si>
  <si>
    <t>사회</t>
    <phoneticPr fontId="2" type="noConversion"/>
  </si>
  <si>
    <t>세계시민과 지리, 세계사, 사회와 문화, 현대사회와 윤리</t>
    <phoneticPr fontId="2" type="noConversion"/>
  </si>
  <si>
    <t>택3</t>
    <phoneticPr fontId="2" type="noConversion"/>
  </si>
  <si>
    <t>물리학, 생명과학, 화학, 지구과학</t>
    <phoneticPr fontId="2" type="noConversion"/>
  </si>
  <si>
    <t>국어</t>
    <phoneticPr fontId="2" type="noConversion"/>
  </si>
  <si>
    <t>수학</t>
    <phoneticPr fontId="2" type="noConversion"/>
  </si>
  <si>
    <t>확률과 통계</t>
    <phoneticPr fontId="2" type="noConversion"/>
  </si>
  <si>
    <t>영어</t>
    <phoneticPr fontId="2" type="noConversion"/>
  </si>
  <si>
    <t>도시의 미래 탐구, 법과 사회, 윤리와 사상, 국제 관계의 이해</t>
    <phoneticPr fontId="2" type="noConversion"/>
  </si>
  <si>
    <t>역학과 에너지, 화학 반응의 세계, 생물의 유전, 행성우주과학</t>
    <phoneticPr fontId="2" type="noConversion"/>
  </si>
  <si>
    <t>제2외국어</t>
    <phoneticPr fontId="2" type="noConversion"/>
  </si>
  <si>
    <t>일본어, 중국어</t>
    <phoneticPr fontId="2" type="noConversion"/>
  </si>
  <si>
    <t>택1</t>
    <phoneticPr fontId="2" type="noConversion"/>
  </si>
  <si>
    <t>정보</t>
    <phoneticPr fontId="2" type="noConversion"/>
  </si>
  <si>
    <t>프로그래밍★</t>
    <phoneticPr fontId="2" type="noConversion"/>
  </si>
  <si>
    <t>일본어 회화, 중국어 회화</t>
    <phoneticPr fontId="2" type="noConversion"/>
  </si>
  <si>
    <t>정보 처리와 관리★</t>
    <phoneticPr fontId="2" type="noConversion"/>
  </si>
  <si>
    <t>화법과 언어</t>
    <phoneticPr fontId="2" type="noConversion"/>
  </si>
  <si>
    <t>택5</t>
    <phoneticPr fontId="2" type="noConversion"/>
  </si>
  <si>
    <t>문학과 영상</t>
    <phoneticPr fontId="2" type="noConversion"/>
  </si>
  <si>
    <t>미적분Ⅱ, 기하</t>
    <phoneticPr fontId="2" type="noConversion"/>
  </si>
  <si>
    <t>실용 통계</t>
    <phoneticPr fontId="2" type="noConversion"/>
  </si>
  <si>
    <t>심화 영어 독해와 작문, 영어 발표와 토론</t>
    <phoneticPr fontId="2" type="noConversion"/>
  </si>
  <si>
    <t>한국지리 탐구, 동아시아 역사 기행, 정치, 인문학과 윤리</t>
    <phoneticPr fontId="2" type="noConversion"/>
  </si>
  <si>
    <t>사회문제 탐구</t>
    <phoneticPr fontId="2" type="noConversion"/>
  </si>
  <si>
    <t>물질과 에너지, 전자기와 양자, 세포와 물질대사, 지구시스템과학</t>
    <phoneticPr fontId="2" type="noConversion"/>
  </si>
  <si>
    <t>융합과학 탐구, 과학의 역사와 문화, 기후변화와 환경생태</t>
    <phoneticPr fontId="2" type="noConversion"/>
  </si>
  <si>
    <t>주제 탐구 독서</t>
    <phoneticPr fontId="2" type="noConversion"/>
  </si>
  <si>
    <t>독서 토론과 글쓰기</t>
    <phoneticPr fontId="2" type="noConversion"/>
  </si>
  <si>
    <t>심화 영어, 영미 문학 읽기</t>
    <phoneticPr fontId="2" type="noConversion"/>
  </si>
  <si>
    <t>여행지리, 금융과 경제생활, 윤리문제 탐구, 역사로 탐구하는 현대 세계, 기후변화와 지속가능한 세계</t>
    <phoneticPr fontId="2" type="noConversion"/>
  </si>
  <si>
    <t>과학과제 연구*</t>
    <phoneticPr fontId="2" type="noConversion"/>
  </si>
  <si>
    <t>기술·가정</t>
    <phoneticPr fontId="2" type="noConversion"/>
  </si>
  <si>
    <t>지식 재산 일반</t>
    <phoneticPr fontId="2" type="noConversion"/>
  </si>
  <si>
    <t>인공지능 기초</t>
    <phoneticPr fontId="2" type="noConversion"/>
  </si>
  <si>
    <t xml:space="preserve">소프트웨어와 생활 </t>
    <phoneticPr fontId="2" type="noConversion"/>
  </si>
  <si>
    <t>이수학점 소계</t>
    <phoneticPr fontId="2" type="noConversion"/>
  </si>
  <si>
    <t>창의적 체험활동</t>
  </si>
  <si>
    <t>학기별 총 이수 학점</t>
    <phoneticPr fontId="2" type="noConversion"/>
  </si>
  <si>
    <t>스포츠 생활2</t>
    <phoneticPr fontId="2" type="noConversion"/>
  </si>
  <si>
    <t>예술</t>
    <phoneticPr fontId="2" type="noConversion"/>
  </si>
  <si>
    <t>경제</t>
    <phoneticPr fontId="2" type="noConversion"/>
  </si>
  <si>
    <t>소인수/2학년/1학기/3학점(순증)</t>
    <phoneticPr fontId="2" type="noConversion"/>
  </si>
  <si>
    <t>진로</t>
    <phoneticPr fontId="2" type="noConversion"/>
  </si>
  <si>
    <t>교양</t>
    <phoneticPr fontId="2" type="noConversion"/>
  </si>
  <si>
    <t>보건</t>
    <phoneticPr fontId="2" type="noConversion"/>
  </si>
  <si>
    <t>소인수/2학년/2학기/2학점(순증)</t>
    <phoneticPr fontId="2" type="noConversion"/>
  </si>
  <si>
    <t>공동/2학년/2학기/3학점(순증)</t>
    <phoneticPr fontId="2" type="noConversion"/>
  </si>
  <si>
    <r>
      <t xml:space="preserve">☞ 표기방법 안내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특목고 과목(보통교과 표6)을 진로선택과목으로 가져올 때 *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전문교과를 진로선택과목으로 가져올 때 ★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고시외과목은 ☆ 표기
 </t>
    </r>
    <r>
      <rPr>
        <b/>
        <sz val="12"/>
        <color theme="1"/>
        <rFont val="Segoe UI Symbol"/>
        <family val="2"/>
      </rPr>
      <t>◦</t>
    </r>
    <r>
      <rPr>
        <b/>
        <sz val="12"/>
        <color theme="1"/>
        <rFont val="맑은 고딕"/>
        <family val="2"/>
        <charset val="129"/>
        <scheme val="minor"/>
      </rPr>
      <t xml:space="preserve"> 교과특성화학교 관련 과목은 ■ 표기
☞ 교차집중표기법: 교차집중(↔)</t>
    </r>
    <phoneticPr fontId="2" type="noConversion"/>
  </si>
  <si>
    <t>언어생활 탐구</t>
    <phoneticPr fontId="2" type="noConversion"/>
  </si>
  <si>
    <t>미디어 영어, 세계 문화와 영어</t>
    <phoneticPr fontId="2" type="noConversion"/>
  </si>
  <si>
    <t>발명과 기업가 정신★</t>
    <phoneticPr fontId="2" type="noConversion"/>
  </si>
  <si>
    <t>물리학 실험＊</t>
    <phoneticPr fontId="2" type="noConversion"/>
  </si>
  <si>
    <t>경제 수학</t>
    <phoneticPr fontId="2" type="noConversion"/>
  </si>
  <si>
    <t>2026학년도 신입생 3개년 교육과정 편제표</t>
    <phoneticPr fontId="2" type="noConversion"/>
  </si>
  <si>
    <t>음악, 미술</t>
    <phoneticPr fontId="2" type="noConversion"/>
  </si>
  <si>
    <t>음악 감상과 비평, 미술 감상과 비평</t>
    <phoneticPr fontId="2" type="noConversion"/>
  </si>
  <si>
    <t>진로와 직업, 생태와 환경</t>
    <phoneticPr fontId="2" type="noConversion"/>
  </si>
  <si>
    <t>수학과제 탐구, 수학과 문화</t>
    <phoneticPr fontId="2" type="noConversion"/>
  </si>
  <si>
    <t>학교
지정
교육
과정</t>
    <phoneticPr fontId="2" type="noConversion"/>
  </si>
  <si>
    <t xml:space="preserve">학생  선택
교육
과정 </t>
    <phoneticPr fontId="2" type="noConversion"/>
  </si>
  <si>
    <t>공동/2학년/1,2학기/3학점(순증)</t>
    <phoneticPr fontId="2" type="noConversion"/>
  </si>
  <si>
    <t>진로</t>
  </si>
  <si>
    <t>인공지능 수학</t>
    <phoneticPr fontId="2" type="noConversion"/>
  </si>
  <si>
    <t>소인수/3학년/1학기/3학점(순증)</t>
    <phoneticPr fontId="2" type="noConversion"/>
  </si>
  <si>
    <t xml:space="preserve">천상고등학교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</si>
</sst>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8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2"/>
      <color theme="1"/>
      <name val="Segoe UI Symbol"/>
      <family val="2"/>
    </font>
    <font>
      <b/>
      <sz val="20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25">
    <xf numFmtId="0" fontId="0" fillId="0" borderId="0" xfId="0">
      <alignment vertical="center"/>
    </xf>
    <xf numFmtId="176" fontId="9" fillId="2" borderId="13" xfId="0" applyNumberFormat="1" applyFont="1" applyFill="1" applyBorder="1" applyAlignment="1">
      <alignment horizontal="center" vertical="center" shrinkToFit="1"/>
    </xf>
    <xf numFmtId="176" fontId="9" fillId="2" borderId="15" xfId="0" applyNumberFormat="1" applyFont="1" applyFill="1" applyBorder="1" applyAlignment="1">
      <alignment horizontal="center" vertical="center" shrinkToFit="1"/>
    </xf>
    <xf numFmtId="176" fontId="9" fillId="2" borderId="16" xfId="0" applyNumberFormat="1" applyFont="1" applyFill="1" applyBorder="1" applyAlignment="1">
      <alignment horizontal="center" vertical="center" shrinkToFit="1"/>
    </xf>
    <xf numFmtId="176" fontId="9" fillId="2" borderId="17" xfId="0" applyNumberFormat="1" applyFont="1" applyFill="1" applyBorder="1" applyAlignment="1">
      <alignment horizontal="center" vertical="center" shrinkToFit="1"/>
    </xf>
    <xf numFmtId="176" fontId="5" fillId="3" borderId="21" xfId="0" applyNumberFormat="1" applyFont="1" applyFill="1" applyBorder="1" applyAlignment="1">
      <alignment horizontal="left" vertical="center" wrapText="1"/>
    </xf>
    <xf numFmtId="176" fontId="4" fillId="0" borderId="24" xfId="0" applyNumberFormat="1" applyFont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6" fontId="5" fillId="3" borderId="27" xfId="0" applyNumberFormat="1" applyFont="1" applyFill="1" applyBorder="1" applyAlignment="1">
      <alignment horizontal="left" vertical="center" wrapText="1"/>
    </xf>
    <xf numFmtId="176" fontId="4" fillId="0" borderId="29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5" fillId="3" borderId="36" xfId="0" applyFont="1" applyFill="1" applyBorder="1" applyAlignment="1">
      <alignment horizontal="left" vertical="center"/>
    </xf>
    <xf numFmtId="176" fontId="4" fillId="0" borderId="39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left" vertical="center" wrapText="1"/>
    </xf>
    <xf numFmtId="176" fontId="4" fillId="0" borderId="46" xfId="0" applyNumberFormat="1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left" vertical="center" wrapText="1"/>
    </xf>
    <xf numFmtId="176" fontId="5" fillId="0" borderId="36" xfId="0" applyNumberFormat="1" applyFont="1" applyBorder="1" applyAlignment="1">
      <alignment horizontal="left" vertical="center" wrapText="1"/>
    </xf>
    <xf numFmtId="176" fontId="4" fillId="0" borderId="41" xfId="0" applyNumberFormat="1" applyFont="1" applyBorder="1" applyAlignment="1">
      <alignment horizontal="center" vertical="center" wrapText="1"/>
    </xf>
    <xf numFmtId="176" fontId="5" fillId="3" borderId="42" xfId="0" applyNumberFormat="1" applyFont="1" applyFill="1" applyBorder="1" applyAlignment="1">
      <alignment horizontal="left" vertical="center" wrapText="1"/>
    </xf>
    <xf numFmtId="176" fontId="5" fillId="3" borderId="36" xfId="0" applyNumberFormat="1" applyFont="1" applyFill="1" applyBorder="1" applyAlignment="1">
      <alignment horizontal="left" vertical="center" shrinkToFit="1"/>
    </xf>
    <xf numFmtId="176" fontId="5" fillId="3" borderId="51" xfId="0" applyNumberFormat="1" applyFont="1" applyFill="1" applyBorder="1" applyAlignment="1">
      <alignment horizontal="left" vertical="center" wrapText="1"/>
    </xf>
    <xf numFmtId="176" fontId="4" fillId="0" borderId="52" xfId="0" applyNumberFormat="1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176" fontId="4" fillId="0" borderId="54" xfId="0" applyNumberFormat="1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176" fontId="5" fillId="3" borderId="50" xfId="0" applyNumberFormat="1" applyFont="1" applyFill="1" applyBorder="1" applyAlignment="1">
      <alignment horizontal="left" vertical="center" wrapText="1"/>
    </xf>
    <xf numFmtId="176" fontId="5" fillId="3" borderId="21" xfId="0" applyNumberFormat="1" applyFont="1" applyFill="1" applyBorder="1" applyAlignment="1">
      <alignment horizontal="left" vertical="center" shrinkToFit="1"/>
    </xf>
    <xf numFmtId="176" fontId="5" fillId="3" borderId="32" xfId="0" applyNumberFormat="1" applyFont="1" applyFill="1" applyBorder="1" applyAlignment="1">
      <alignment horizontal="left" vertical="center" shrinkToFit="1"/>
    </xf>
    <xf numFmtId="176" fontId="5" fillId="3" borderId="42" xfId="0" applyNumberFormat="1" applyFont="1" applyFill="1" applyBorder="1" applyAlignment="1">
      <alignment horizontal="left" vertical="center" shrinkToFit="1"/>
    </xf>
    <xf numFmtId="176" fontId="4" fillId="0" borderId="62" xfId="0" applyNumberFormat="1" applyFont="1" applyBorder="1" applyAlignment="1">
      <alignment horizontal="center" vertical="center" wrapText="1"/>
    </xf>
    <xf numFmtId="176" fontId="4" fillId="0" borderId="63" xfId="0" applyNumberFormat="1" applyFont="1" applyBorder="1" applyAlignment="1">
      <alignment horizontal="center" vertical="center" wrapText="1"/>
    </xf>
    <xf numFmtId="176" fontId="4" fillId="0" borderId="56" xfId="0" applyNumberFormat="1" applyFont="1" applyBorder="1" applyAlignment="1">
      <alignment horizontal="center" vertical="center" wrapText="1"/>
    </xf>
    <xf numFmtId="176" fontId="3" fillId="3" borderId="67" xfId="0" applyNumberFormat="1" applyFont="1" applyFill="1" applyBorder="1" applyAlignment="1">
      <alignment horizontal="center" vertical="center" wrapText="1"/>
    </xf>
    <xf numFmtId="176" fontId="4" fillId="4" borderId="63" xfId="0" applyNumberFormat="1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176" fontId="4" fillId="0" borderId="80" xfId="0" applyNumberFormat="1" applyFont="1" applyBorder="1" applyAlignment="1">
      <alignment horizontal="center" vertical="center" wrapText="1"/>
    </xf>
    <xf numFmtId="176" fontId="3" fillId="0" borderId="82" xfId="0" applyNumberFormat="1" applyFont="1" applyBorder="1" applyAlignment="1">
      <alignment horizontal="center" vertical="center" wrapText="1"/>
    </xf>
    <xf numFmtId="0" fontId="4" fillId="3" borderId="71" xfId="0" applyFont="1" applyFill="1" applyBorder="1">
      <alignment vertical="center"/>
    </xf>
    <xf numFmtId="176" fontId="4" fillId="3" borderId="46" xfId="0" applyNumberFormat="1" applyFont="1" applyFill="1" applyBorder="1" applyAlignment="1">
      <alignment vertical="center" wrapText="1" shrinkToFit="1"/>
    </xf>
    <xf numFmtId="176" fontId="4" fillId="3" borderId="45" xfId="0" applyNumberFormat="1" applyFont="1" applyFill="1" applyBorder="1" applyAlignment="1">
      <alignment vertical="center" wrapText="1" shrinkToFit="1"/>
    </xf>
    <xf numFmtId="0" fontId="4" fillId="3" borderId="73" xfId="0" applyFont="1" applyFill="1" applyBorder="1">
      <alignment vertical="center"/>
    </xf>
    <xf numFmtId="176" fontId="4" fillId="0" borderId="72" xfId="0" applyNumberFormat="1" applyFont="1" applyBorder="1" applyAlignment="1">
      <alignment horizontal="center" vertical="center" wrapText="1"/>
    </xf>
    <xf numFmtId="176" fontId="4" fillId="3" borderId="29" xfId="0" applyNumberFormat="1" applyFont="1" applyFill="1" applyBorder="1" applyAlignment="1">
      <alignment vertical="center" wrapText="1" shrinkToFit="1"/>
    </xf>
    <xf numFmtId="176" fontId="4" fillId="3" borderId="56" xfId="0" applyNumberFormat="1" applyFont="1" applyFill="1" applyBorder="1" applyAlignment="1">
      <alignment vertical="center" wrapText="1" shrinkToFit="1"/>
    </xf>
    <xf numFmtId="0" fontId="4" fillId="3" borderId="28" xfId="0" applyFont="1" applyFill="1" applyBorder="1">
      <alignment vertical="center"/>
    </xf>
    <xf numFmtId="176" fontId="4" fillId="3" borderId="39" xfId="0" applyNumberFormat="1" applyFont="1" applyFill="1" applyBorder="1" applyAlignment="1">
      <alignment vertical="center" wrapText="1" shrinkToFit="1"/>
    </xf>
    <xf numFmtId="176" fontId="4" fillId="3" borderId="80" xfId="0" applyNumberFormat="1" applyFont="1" applyFill="1" applyBorder="1" applyAlignment="1">
      <alignment vertical="center" wrapText="1" shrinkToFit="1"/>
    </xf>
    <xf numFmtId="0" fontId="4" fillId="3" borderId="73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/>
    </xf>
    <xf numFmtId="176" fontId="14" fillId="3" borderId="42" xfId="0" applyNumberFormat="1" applyFont="1" applyFill="1" applyBorder="1" applyAlignment="1">
      <alignment horizontal="center" vertical="center" wrapText="1" shrinkToFit="1"/>
    </xf>
    <xf numFmtId="176" fontId="12" fillId="0" borderId="42" xfId="0" applyNumberFormat="1" applyFont="1" applyBorder="1" applyAlignment="1">
      <alignment vertical="center" wrapText="1" shrinkToFit="1"/>
    </xf>
    <xf numFmtId="0" fontId="4" fillId="4" borderId="63" xfId="0" applyFont="1" applyFill="1" applyBorder="1" applyAlignment="1">
      <alignment horizontal="center" vertical="center" wrapText="1"/>
    </xf>
    <xf numFmtId="176" fontId="4" fillId="3" borderId="85" xfId="0" applyNumberFormat="1" applyFont="1" applyFill="1" applyBorder="1" applyAlignment="1">
      <alignment horizontal="center" vertical="center" wrapText="1"/>
    </xf>
    <xf numFmtId="176" fontId="3" fillId="3" borderId="48" xfId="0" applyNumberFormat="1" applyFont="1" applyFill="1" applyBorder="1" applyAlignment="1">
      <alignment horizontal="center" vertical="center" wrapText="1" shrinkToFit="1"/>
    </xf>
    <xf numFmtId="176" fontId="12" fillId="0" borderId="50" xfId="0" applyNumberFormat="1" applyFont="1" applyBorder="1" applyAlignment="1">
      <alignment vertical="center" wrapText="1" shrinkToFit="1"/>
    </xf>
    <xf numFmtId="0" fontId="4" fillId="3" borderId="86" xfId="0" applyFont="1" applyFill="1" applyBorder="1" applyAlignment="1">
      <alignment horizontal="center" vertical="center" wrapText="1"/>
    </xf>
    <xf numFmtId="176" fontId="14" fillId="3" borderId="43" xfId="0" applyNumberFormat="1" applyFont="1" applyFill="1" applyBorder="1" applyAlignment="1">
      <alignment horizontal="center" vertical="center" wrapText="1" shrinkToFit="1"/>
    </xf>
    <xf numFmtId="176" fontId="12" fillId="0" borderId="43" xfId="0" applyNumberFormat="1" applyFont="1" applyBorder="1" applyAlignment="1">
      <alignment vertical="center" wrapText="1" shrinkToFit="1"/>
    </xf>
    <xf numFmtId="0" fontId="4" fillId="3" borderId="71" xfId="0" applyFont="1" applyFill="1" applyBorder="1" applyAlignment="1">
      <alignment horizontal="center" vertical="center" wrapText="1"/>
    </xf>
    <xf numFmtId="176" fontId="3" fillId="3" borderId="67" xfId="0" applyNumberFormat="1" applyFont="1" applyFill="1" applyBorder="1" applyAlignment="1">
      <alignment horizontal="center" vertical="center" wrapText="1" shrinkToFit="1"/>
    </xf>
    <xf numFmtId="176" fontId="12" fillId="0" borderId="67" xfId="0" applyNumberFormat="1" applyFont="1" applyBorder="1" applyAlignment="1">
      <alignment vertical="center" wrapText="1" shrinkToFit="1"/>
    </xf>
    <xf numFmtId="0" fontId="4" fillId="3" borderId="59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176" fontId="3" fillId="0" borderId="26" xfId="0" applyNumberFormat="1" applyFont="1" applyBorder="1" applyAlignment="1">
      <alignment horizontal="center" vertical="center" shrinkToFit="1"/>
    </xf>
    <xf numFmtId="176" fontId="5" fillId="0" borderId="19" xfId="0" applyNumberFormat="1" applyFont="1" applyBorder="1" applyAlignment="1">
      <alignment horizontal="left" vertical="center" wrapText="1"/>
    </xf>
    <xf numFmtId="0" fontId="4" fillId="3" borderId="24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vertical="center" wrapText="1"/>
    </xf>
    <xf numFmtId="0" fontId="4" fillId="4" borderId="63" xfId="0" applyFont="1" applyFill="1" applyBorder="1" applyAlignment="1">
      <alignment horizontal="center" vertical="center"/>
    </xf>
    <xf numFmtId="176" fontId="5" fillId="3" borderId="71" xfId="0" applyNumberFormat="1" applyFont="1" applyFill="1" applyBorder="1" applyAlignment="1">
      <alignment vertical="center" wrapText="1"/>
    </xf>
    <xf numFmtId="176" fontId="3" fillId="0" borderId="48" xfId="0" applyNumberFormat="1" applyFont="1" applyBorder="1" applyAlignment="1">
      <alignment horizontal="center" vertical="center" shrinkToFit="1"/>
    </xf>
    <xf numFmtId="176" fontId="5" fillId="0" borderId="48" xfId="0" applyNumberFormat="1" applyFont="1" applyBorder="1" applyAlignment="1">
      <alignment horizontal="left" vertical="center" wrapText="1"/>
    </xf>
    <xf numFmtId="0" fontId="4" fillId="3" borderId="56" xfId="0" applyFont="1" applyFill="1" applyBorder="1" applyAlignment="1">
      <alignment vertical="center" wrapText="1"/>
    </xf>
    <xf numFmtId="176" fontId="5" fillId="3" borderId="90" xfId="0" applyNumberFormat="1" applyFont="1" applyFill="1" applyBorder="1" applyAlignment="1">
      <alignment vertical="center" wrapText="1"/>
    </xf>
    <xf numFmtId="176" fontId="5" fillId="0" borderId="42" xfId="0" applyNumberFormat="1" applyFont="1" applyBorder="1" applyAlignment="1">
      <alignment horizontal="left" vertical="center" wrapText="1"/>
    </xf>
    <xf numFmtId="0" fontId="4" fillId="3" borderId="29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vertical="center" wrapText="1"/>
    </xf>
    <xf numFmtId="176" fontId="5" fillId="3" borderId="73" xfId="0" applyNumberFormat="1" applyFont="1" applyFill="1" applyBorder="1" applyAlignment="1">
      <alignment horizontal="center" vertical="center" wrapText="1"/>
    </xf>
    <xf numFmtId="176" fontId="3" fillId="0" borderId="27" xfId="0" applyNumberFormat="1" applyFont="1" applyBorder="1" applyAlignment="1">
      <alignment horizontal="center" vertical="center" wrapText="1"/>
    </xf>
    <xf numFmtId="0" fontId="4" fillId="3" borderId="39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  <xf numFmtId="176" fontId="3" fillId="0" borderId="82" xfId="0" applyNumberFormat="1" applyFont="1" applyBorder="1" applyAlignment="1">
      <alignment horizontal="center" vertical="center" shrinkToFit="1"/>
    </xf>
    <xf numFmtId="176" fontId="5" fillId="0" borderId="82" xfId="0" applyNumberFormat="1" applyFont="1" applyBorder="1" applyAlignment="1">
      <alignment horizontal="left" vertical="center" wrapText="1"/>
    </xf>
    <xf numFmtId="0" fontId="4" fillId="3" borderId="29" xfId="0" applyFont="1" applyFill="1" applyBorder="1">
      <alignment vertical="center"/>
    </xf>
    <xf numFmtId="0" fontId="4" fillId="3" borderId="80" xfId="0" applyFont="1" applyFill="1" applyBorder="1" applyAlignment="1">
      <alignment vertical="center" wrapText="1"/>
    </xf>
    <xf numFmtId="176" fontId="3" fillId="3" borderId="42" xfId="0" applyNumberFormat="1" applyFont="1" applyFill="1" applyBorder="1" applyAlignment="1">
      <alignment horizontal="center" vertical="center" shrinkToFit="1"/>
    </xf>
    <xf numFmtId="176" fontId="5" fillId="0" borderId="26" xfId="0" applyNumberFormat="1" applyFont="1" applyBorder="1" applyAlignment="1">
      <alignment horizontal="left" vertical="center" wrapText="1"/>
    </xf>
    <xf numFmtId="0" fontId="4" fillId="3" borderId="76" xfId="0" applyFont="1" applyFill="1" applyBorder="1">
      <alignment vertical="center"/>
    </xf>
    <xf numFmtId="0" fontId="4" fillId="3" borderId="77" xfId="0" applyFont="1" applyFill="1" applyBorder="1" applyAlignment="1">
      <alignment vertical="center" wrapText="1"/>
    </xf>
    <xf numFmtId="176" fontId="4" fillId="0" borderId="76" xfId="0" applyNumberFormat="1" applyFont="1" applyBorder="1" applyAlignment="1">
      <alignment vertical="center" wrapText="1"/>
    </xf>
    <xf numFmtId="176" fontId="4" fillId="0" borderId="77" xfId="0" applyNumberFormat="1" applyFont="1" applyBorder="1" applyAlignment="1">
      <alignment vertical="center" wrapText="1"/>
    </xf>
    <xf numFmtId="176" fontId="3" fillId="3" borderId="36" xfId="0" applyNumberFormat="1" applyFont="1" applyFill="1" applyBorder="1" applyAlignment="1">
      <alignment horizontal="center" vertical="center" shrinkToFit="1"/>
    </xf>
    <xf numFmtId="176" fontId="5" fillId="0" borderId="36" xfId="0" applyNumberFormat="1" applyFont="1" applyBorder="1" applyAlignment="1">
      <alignment horizontal="left" vertical="center" wrapText="1" shrinkToFit="1"/>
    </xf>
    <xf numFmtId="0" fontId="5" fillId="3" borderId="71" xfId="0" applyFont="1" applyFill="1" applyBorder="1" applyAlignment="1">
      <alignment horizontal="center" vertical="center"/>
    </xf>
    <xf numFmtId="0" fontId="4" fillId="4" borderId="92" xfId="0" applyFont="1" applyFill="1" applyBorder="1" applyAlignment="1">
      <alignment horizontal="center" vertical="center" wrapText="1"/>
    </xf>
    <xf numFmtId="0" fontId="5" fillId="3" borderId="90" xfId="0" applyFont="1" applyFill="1" applyBorder="1" applyAlignment="1">
      <alignment horizontal="center" vertical="center"/>
    </xf>
    <xf numFmtId="0" fontId="4" fillId="3" borderId="93" xfId="0" applyFont="1" applyFill="1" applyBorder="1" applyAlignment="1">
      <alignment horizontal="center" vertical="center" wrapText="1"/>
    </xf>
    <xf numFmtId="176" fontId="3" fillId="3" borderId="82" xfId="0" applyNumberFormat="1" applyFont="1" applyFill="1" applyBorder="1" applyAlignment="1">
      <alignment horizontal="center" vertical="center" wrapText="1"/>
    </xf>
    <xf numFmtId="0" fontId="5" fillId="0" borderId="50" xfId="0" applyFont="1" applyBorder="1" applyAlignment="1">
      <alignment horizontal="left" vertical="center"/>
    </xf>
    <xf numFmtId="0" fontId="4" fillId="3" borderId="72" xfId="0" applyFont="1" applyFill="1" applyBorder="1">
      <alignment vertical="center"/>
    </xf>
    <xf numFmtId="0" fontId="4" fillId="3" borderId="28" xfId="0" applyFont="1" applyFill="1" applyBorder="1" applyAlignment="1">
      <alignment horizontal="center" vertical="center" wrapText="1"/>
    </xf>
    <xf numFmtId="176" fontId="12" fillId="0" borderId="42" xfId="0" applyNumberFormat="1" applyFont="1" applyBorder="1" applyAlignment="1">
      <alignment horizontal="left" vertical="center" wrapText="1" shrinkToFit="1"/>
    </xf>
    <xf numFmtId="176" fontId="12" fillId="0" borderId="36" xfId="0" applyNumberFormat="1" applyFont="1" applyBorder="1" applyAlignment="1">
      <alignment horizontal="left" vertical="center" wrapText="1" shrinkToFit="1"/>
    </xf>
    <xf numFmtId="176" fontId="5" fillId="3" borderId="43" xfId="0" applyNumberFormat="1" applyFont="1" applyFill="1" applyBorder="1" applyAlignment="1">
      <alignment horizontal="left" vertical="center" wrapText="1" shrinkToFit="1"/>
    </xf>
    <xf numFmtId="176" fontId="5" fillId="3" borderId="90" xfId="0" applyNumberFormat="1" applyFont="1" applyFill="1" applyBorder="1" applyAlignment="1">
      <alignment horizontal="center" vertical="center" wrapText="1"/>
    </xf>
    <xf numFmtId="176" fontId="3" fillId="3" borderId="50" xfId="0" applyNumberFormat="1" applyFont="1" applyFill="1" applyBorder="1" applyAlignment="1">
      <alignment horizontal="center" vertical="center" wrapText="1" shrinkToFit="1"/>
    </xf>
    <xf numFmtId="0" fontId="4" fillId="3" borderId="81" xfId="0" applyFont="1" applyFill="1" applyBorder="1" applyAlignment="1">
      <alignment horizontal="center" vertical="center"/>
    </xf>
    <xf numFmtId="0" fontId="4" fillId="3" borderId="78" xfId="0" applyFont="1" applyFill="1" applyBorder="1">
      <alignment vertical="center"/>
    </xf>
    <xf numFmtId="176" fontId="15" fillId="3" borderId="94" xfId="0" applyNumberFormat="1" applyFont="1" applyFill="1" applyBorder="1" applyAlignment="1">
      <alignment horizontal="center" vertical="center" wrapText="1"/>
    </xf>
    <xf numFmtId="176" fontId="15" fillId="3" borderId="50" xfId="0" applyNumberFormat="1" applyFont="1" applyFill="1" applyBorder="1" applyAlignment="1">
      <alignment horizontal="center" vertical="center" wrapText="1"/>
    </xf>
    <xf numFmtId="176" fontId="15" fillId="3" borderId="35" xfId="0" applyNumberFormat="1" applyFont="1" applyFill="1" applyBorder="1" applyAlignment="1">
      <alignment horizontal="center" vertical="center" wrapText="1"/>
    </xf>
    <xf numFmtId="176" fontId="15" fillId="3" borderId="5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5" fillId="3" borderId="100" xfId="0" applyNumberFormat="1" applyFont="1" applyFill="1" applyBorder="1" applyAlignment="1">
      <alignment horizontal="center" vertical="center" wrapText="1"/>
    </xf>
    <xf numFmtId="176" fontId="15" fillId="3" borderId="101" xfId="0" applyNumberFormat="1" applyFont="1" applyFill="1" applyBorder="1" applyAlignment="1">
      <alignment horizontal="center" vertical="center" wrapText="1"/>
    </xf>
    <xf numFmtId="176" fontId="15" fillId="3" borderId="102" xfId="0" applyNumberFormat="1" applyFont="1" applyFill="1" applyBorder="1" applyAlignment="1">
      <alignment horizontal="center" vertical="center" wrapText="1"/>
    </xf>
    <xf numFmtId="176" fontId="15" fillId="3" borderId="10" xfId="0" applyNumberFormat="1" applyFont="1" applyFill="1" applyBorder="1" applyAlignment="1">
      <alignment horizontal="center" vertical="center" wrapText="1"/>
    </xf>
    <xf numFmtId="176" fontId="3" fillId="3" borderId="36" xfId="0" applyNumberFormat="1" applyFont="1" applyFill="1" applyBorder="1" applyAlignment="1">
      <alignment horizontal="center" vertical="center" wrapText="1" shrinkToFit="1"/>
    </xf>
    <xf numFmtId="0" fontId="4" fillId="3" borderId="52" xfId="0" applyFont="1" applyFill="1" applyBorder="1" applyAlignment="1">
      <alignment horizontal="center" vertical="center"/>
    </xf>
    <xf numFmtId="176" fontId="4" fillId="0" borderId="53" xfId="0" applyNumberFormat="1" applyFont="1" applyBorder="1" applyAlignment="1">
      <alignment horizontal="center" vertical="center" wrapText="1"/>
    </xf>
    <xf numFmtId="176" fontId="4" fillId="0" borderId="52" xfId="0" applyNumberFormat="1" applyFont="1" applyBorder="1" applyAlignment="1">
      <alignment vertical="center" wrapText="1"/>
    </xf>
    <xf numFmtId="176" fontId="4" fillId="0" borderId="53" xfId="0" applyNumberFormat="1" applyFont="1" applyBorder="1" applyAlignment="1">
      <alignment vertical="center" wrapText="1"/>
    </xf>
    <xf numFmtId="0" fontId="4" fillId="3" borderId="52" xfId="0" applyFont="1" applyFill="1" applyBorder="1">
      <alignment vertical="center"/>
    </xf>
    <xf numFmtId="0" fontId="4" fillId="3" borderId="53" xfId="0" applyFont="1" applyFill="1" applyBorder="1" applyAlignment="1">
      <alignment vertical="center" wrapText="1"/>
    </xf>
    <xf numFmtId="0" fontId="4" fillId="3" borderId="91" xfId="0" applyFont="1" applyFill="1" applyBorder="1" applyAlignment="1">
      <alignment vertical="center" wrapText="1"/>
    </xf>
    <xf numFmtId="0" fontId="4" fillId="3" borderId="53" xfId="0" applyFont="1" applyFill="1" applyBorder="1">
      <alignment vertical="center"/>
    </xf>
    <xf numFmtId="176" fontId="5" fillId="3" borderId="4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04" xfId="0" applyFont="1" applyFill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/>
    </xf>
    <xf numFmtId="176" fontId="5" fillId="3" borderId="82" xfId="0" applyNumberFormat="1" applyFont="1" applyFill="1" applyBorder="1" applyAlignment="1">
      <alignment horizontal="left" vertical="center" wrapText="1"/>
    </xf>
    <xf numFmtId="0" fontId="5" fillId="3" borderId="82" xfId="0" applyFont="1" applyFill="1" applyBorder="1" applyAlignment="1">
      <alignment horizontal="center" vertical="center" wrapText="1"/>
    </xf>
    <xf numFmtId="0" fontId="5" fillId="3" borderId="109" xfId="0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/>
    </xf>
    <xf numFmtId="176" fontId="5" fillId="3" borderId="43" xfId="0" applyNumberFormat="1" applyFont="1" applyFill="1" applyBorder="1" applyAlignment="1">
      <alignment horizontal="left" vertical="center" wrapText="1"/>
    </xf>
    <xf numFmtId="0" fontId="5" fillId="3" borderId="4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/>
    </xf>
    <xf numFmtId="176" fontId="15" fillId="3" borderId="31" xfId="0" applyNumberFormat="1" applyFont="1" applyFill="1" applyBorder="1" applyAlignment="1">
      <alignment horizontal="center" vertical="center" wrapText="1"/>
    </xf>
    <xf numFmtId="176" fontId="16" fillId="0" borderId="35" xfId="0" applyNumberFormat="1" applyFont="1" applyBorder="1" applyAlignment="1">
      <alignment horizontal="center" vertical="center" wrapText="1"/>
    </xf>
    <xf numFmtId="176" fontId="17" fillId="0" borderId="100" xfId="0" applyNumberFormat="1" applyFont="1" applyBorder="1" applyAlignment="1">
      <alignment horizontal="center" vertical="center" wrapText="1"/>
    </xf>
    <xf numFmtId="176" fontId="16" fillId="0" borderId="31" xfId="0" applyNumberFormat="1" applyFont="1" applyBorder="1" applyAlignment="1">
      <alignment horizontal="center" vertical="center" wrapText="1"/>
    </xf>
    <xf numFmtId="0" fontId="5" fillId="0" borderId="111" xfId="0" applyFont="1" applyBorder="1" applyAlignment="1">
      <alignment horizontal="center" vertical="center"/>
    </xf>
    <xf numFmtId="176" fontId="5" fillId="3" borderId="113" xfId="0" applyNumberFormat="1" applyFont="1" applyFill="1" applyBorder="1" applyAlignment="1">
      <alignment horizontal="left" vertical="center" wrapText="1"/>
    </xf>
    <xf numFmtId="0" fontId="5" fillId="3" borderId="113" xfId="0" applyFont="1" applyFill="1" applyBorder="1" applyAlignment="1">
      <alignment horizontal="center" vertical="center" wrapText="1"/>
    </xf>
    <xf numFmtId="0" fontId="5" fillId="3" borderId="112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0" fontId="5" fillId="3" borderId="47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vertical="center" wrapText="1"/>
    </xf>
    <xf numFmtId="0" fontId="5" fillId="3" borderId="83" xfId="0" applyFont="1" applyFill="1" applyBorder="1" applyAlignment="1">
      <alignment horizontal="center" vertical="center" wrapText="1"/>
    </xf>
    <xf numFmtId="176" fontId="5" fillId="3" borderId="23" xfId="0" applyNumberFormat="1" applyFont="1" applyFill="1" applyBorder="1" applyAlignment="1">
      <alignment horizontal="center" vertical="center" wrapText="1"/>
    </xf>
    <xf numFmtId="176" fontId="5" fillId="3" borderId="28" xfId="0" applyNumberFormat="1" applyFont="1" applyFill="1" applyBorder="1" applyAlignment="1">
      <alignment horizontal="center" vertical="center" wrapText="1"/>
    </xf>
    <xf numFmtId="176" fontId="5" fillId="3" borderId="34" xfId="0" applyNumberFormat="1" applyFont="1" applyFill="1" applyBorder="1" applyAlignment="1">
      <alignment horizontal="center" vertical="center" wrapText="1"/>
    </xf>
    <xf numFmtId="176" fontId="5" fillId="3" borderId="38" xfId="0" applyNumberFormat="1" applyFont="1" applyFill="1" applyBorder="1" applyAlignment="1">
      <alignment horizontal="center" vertical="center" wrapText="1"/>
    </xf>
    <xf numFmtId="176" fontId="5" fillId="3" borderId="45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/>
    </xf>
    <xf numFmtId="176" fontId="5" fillId="3" borderId="41" xfId="0" applyNumberFormat="1" applyFont="1" applyFill="1" applyBorder="1" applyAlignment="1">
      <alignment horizontal="center" vertical="center" wrapText="1"/>
    </xf>
    <xf numFmtId="176" fontId="5" fillId="3" borderId="54" xfId="0" applyNumberFormat="1" applyFont="1" applyFill="1" applyBorder="1" applyAlignment="1">
      <alignment horizontal="center" vertical="center" wrapText="1"/>
    </xf>
    <xf numFmtId="176" fontId="5" fillId="3" borderId="53" xfId="0" applyNumberFormat="1" applyFont="1" applyFill="1" applyBorder="1" applyAlignment="1">
      <alignment horizontal="center" vertical="center" wrapText="1"/>
    </xf>
    <xf numFmtId="176" fontId="5" fillId="3" borderId="56" xfId="0" applyNumberFormat="1" applyFont="1" applyFill="1" applyBorder="1" applyAlignment="1">
      <alignment horizontal="center" vertical="center" wrapText="1"/>
    </xf>
    <xf numFmtId="0" fontId="5" fillId="3" borderId="75" xfId="0" applyFont="1" applyFill="1" applyBorder="1" applyAlignment="1">
      <alignment horizontal="center" vertical="center" wrapText="1"/>
    </xf>
    <xf numFmtId="0" fontId="5" fillId="3" borderId="53" xfId="0" applyFont="1" applyFill="1" applyBorder="1" applyAlignment="1">
      <alignment horizontal="center" vertical="center" wrapText="1"/>
    </xf>
    <xf numFmtId="0" fontId="5" fillId="3" borderId="69" xfId="0" applyFont="1" applyFill="1" applyBorder="1" applyAlignment="1">
      <alignment horizontal="center" vertical="center" wrapText="1"/>
    </xf>
    <xf numFmtId="0" fontId="5" fillId="3" borderId="89" xfId="0" applyFont="1" applyFill="1" applyBorder="1" applyAlignment="1">
      <alignment horizontal="center" vertical="center" wrapText="1"/>
    </xf>
    <xf numFmtId="176" fontId="5" fillId="3" borderId="84" xfId="0" applyNumberFormat="1" applyFont="1" applyFill="1" applyBorder="1" applyAlignment="1">
      <alignment horizontal="center" vertical="center" wrapText="1"/>
    </xf>
    <xf numFmtId="176" fontId="5" fillId="3" borderId="12" xfId="0" applyNumberFormat="1" applyFont="1" applyFill="1" applyBorder="1" applyAlignment="1">
      <alignment horizontal="center" vertical="center" wrapText="1"/>
    </xf>
    <xf numFmtId="176" fontId="4" fillId="3" borderId="72" xfId="0" applyNumberFormat="1" applyFont="1" applyFill="1" applyBorder="1" applyAlignment="1">
      <alignment horizontal="center" vertical="center" wrapText="1"/>
    </xf>
    <xf numFmtId="176" fontId="12" fillId="0" borderId="36" xfId="0" applyNumberFormat="1" applyFont="1" applyBorder="1" applyAlignment="1">
      <alignment horizontal="left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176" fontId="3" fillId="3" borderId="113" xfId="0" applyNumberFormat="1" applyFont="1" applyFill="1" applyBorder="1" applyAlignment="1">
      <alignment horizontal="center" vertical="center" wrapText="1"/>
    </xf>
    <xf numFmtId="176" fontId="3" fillId="3" borderId="110" xfId="0" applyNumberFormat="1" applyFont="1" applyFill="1" applyBorder="1" applyAlignment="1">
      <alignment horizontal="center" vertical="center" wrapText="1"/>
    </xf>
    <xf numFmtId="176" fontId="3" fillId="3" borderId="64" xfId="0" applyNumberFormat="1" applyFont="1" applyFill="1" applyBorder="1" applyAlignment="1">
      <alignment horizontal="center" vertical="center" wrapText="1"/>
    </xf>
    <xf numFmtId="176" fontId="3" fillId="3" borderId="57" xfId="0" applyNumberFormat="1" applyFont="1" applyFill="1" applyBorder="1" applyAlignment="1">
      <alignment horizontal="center" vertical="center" wrapText="1"/>
    </xf>
    <xf numFmtId="176" fontId="12" fillId="0" borderId="42" xfId="0" applyNumberFormat="1" applyFont="1" applyBorder="1" applyAlignment="1">
      <alignment horizontal="left" vertical="center" shrinkToFit="1"/>
    </xf>
    <xf numFmtId="176" fontId="12" fillId="0" borderId="32" xfId="0" applyNumberFormat="1" applyFont="1" applyBorder="1" applyAlignment="1">
      <alignment horizontal="left" vertical="center" shrinkToFit="1"/>
    </xf>
    <xf numFmtId="0" fontId="5" fillId="0" borderId="54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 wrapText="1"/>
    </xf>
    <xf numFmtId="176" fontId="12" fillId="0" borderId="32" xfId="0" applyNumberFormat="1" applyFont="1" applyBorder="1" applyAlignment="1">
      <alignment horizontal="left" vertical="center" wrapText="1"/>
    </xf>
    <xf numFmtId="0" fontId="5" fillId="3" borderId="80" xfId="0" applyFont="1" applyFill="1" applyBorder="1" applyAlignment="1">
      <alignment horizontal="center" vertical="center" wrapText="1"/>
    </xf>
    <xf numFmtId="176" fontId="3" fillId="0" borderId="48" xfId="0" applyNumberFormat="1" applyFont="1" applyBorder="1" applyAlignment="1">
      <alignment horizontal="center" vertical="center" wrapText="1"/>
    </xf>
    <xf numFmtId="176" fontId="3" fillId="3" borderId="43" xfId="0" applyNumberFormat="1" applyFont="1" applyFill="1" applyBorder="1" applyAlignment="1">
      <alignment horizontal="center" vertical="center" shrinkToFit="1"/>
    </xf>
    <xf numFmtId="176" fontId="3" fillId="3" borderId="48" xfId="0" applyNumberFormat="1" applyFont="1" applyFill="1" applyBorder="1" applyAlignment="1">
      <alignment horizontal="center" vertical="center" shrinkToFit="1"/>
    </xf>
    <xf numFmtId="0" fontId="5" fillId="3" borderId="74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176" fontId="5" fillId="3" borderId="79" xfId="0" applyNumberFormat="1" applyFont="1" applyFill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0" borderId="55" xfId="0" applyNumberFormat="1" applyFont="1" applyBorder="1" applyAlignment="1">
      <alignment horizontal="center" vertical="center" wrapText="1"/>
    </xf>
    <xf numFmtId="176" fontId="4" fillId="0" borderId="77" xfId="0" applyNumberFormat="1" applyFont="1" applyBorder="1" applyAlignment="1">
      <alignment horizontal="center" vertical="center" wrapText="1"/>
    </xf>
    <xf numFmtId="176" fontId="4" fillId="0" borderId="91" xfId="0" applyNumberFormat="1" applyFont="1" applyBorder="1" applyAlignment="1">
      <alignment horizontal="center" vertical="center" wrapText="1"/>
    </xf>
    <xf numFmtId="0" fontId="4" fillId="3" borderId="76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91" xfId="0" applyFont="1" applyFill="1" applyBorder="1" applyAlignment="1">
      <alignment horizontal="center" vertical="center" wrapText="1"/>
    </xf>
    <xf numFmtId="176" fontId="3" fillId="3" borderId="48" xfId="0" applyNumberFormat="1" applyFont="1" applyFill="1" applyBorder="1" applyAlignment="1">
      <alignment horizontal="center" vertical="center" wrapText="1"/>
    </xf>
    <xf numFmtId="176" fontId="3" fillId="3" borderId="50" xfId="0" applyNumberFormat="1" applyFont="1" applyFill="1" applyBorder="1" applyAlignment="1">
      <alignment horizontal="center" vertical="center" wrapText="1"/>
    </xf>
    <xf numFmtId="176" fontId="3" fillId="3" borderId="27" xfId="0" applyNumberFormat="1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176" fontId="3" fillId="3" borderId="26" xfId="0" applyNumberFormat="1" applyFont="1" applyFill="1" applyBorder="1" applyAlignment="1">
      <alignment horizontal="center" vertical="center" wrapText="1"/>
    </xf>
    <xf numFmtId="176" fontId="3" fillId="3" borderId="43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76" fontId="4" fillId="0" borderId="40" xfId="0" applyNumberFormat="1" applyFont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3" borderId="81" xfId="0" applyFont="1" applyFill="1" applyBorder="1" applyAlignment="1">
      <alignment horizontal="center" vertical="center" wrapText="1"/>
    </xf>
    <xf numFmtId="176" fontId="3" fillId="3" borderId="42" xfId="0" applyNumberFormat="1" applyFont="1" applyFill="1" applyBorder="1" applyAlignment="1">
      <alignment horizontal="center" vertical="center" wrapText="1"/>
    </xf>
    <xf numFmtId="176" fontId="3" fillId="3" borderId="32" xfId="0" applyNumberFormat="1" applyFont="1" applyFill="1" applyBorder="1" applyAlignment="1">
      <alignment horizontal="center" vertical="center" wrapText="1"/>
    </xf>
    <xf numFmtId="0" fontId="5" fillId="3" borderId="65" xfId="0" applyFont="1" applyFill="1" applyBorder="1" applyAlignment="1">
      <alignment horizontal="center" vertical="center" wrapText="1"/>
    </xf>
    <xf numFmtId="176" fontId="5" fillId="3" borderId="91" xfId="0" applyNumberFormat="1" applyFont="1" applyFill="1" applyBorder="1" applyAlignment="1">
      <alignment horizontal="center" vertical="center" wrapText="1"/>
    </xf>
    <xf numFmtId="176" fontId="5" fillId="3" borderId="27" xfId="0" applyNumberFormat="1" applyFont="1" applyFill="1" applyBorder="1" applyAlignment="1">
      <alignment horizontal="left" vertical="center" shrinkToFit="1"/>
    </xf>
    <xf numFmtId="176" fontId="5" fillId="3" borderId="50" xfId="0" applyNumberFormat="1" applyFont="1" applyFill="1" applyBorder="1" applyAlignment="1">
      <alignment horizontal="left" vertical="center" shrinkToFit="1"/>
    </xf>
    <xf numFmtId="176" fontId="4" fillId="0" borderId="59" xfId="0" applyNumberFormat="1" applyFont="1" applyBorder="1" applyAlignment="1">
      <alignment horizontal="center" vertical="center" wrapText="1"/>
    </xf>
    <xf numFmtId="176" fontId="3" fillId="3" borderId="36" xfId="0" applyNumberFormat="1" applyFont="1" applyFill="1" applyBorder="1" applyAlignment="1">
      <alignment horizontal="center" vertical="center" wrapText="1"/>
    </xf>
    <xf numFmtId="176" fontId="3" fillId="0" borderId="42" xfId="0" applyNumberFormat="1" applyFont="1" applyBorder="1" applyAlignment="1">
      <alignment horizontal="center" vertical="center" wrapText="1"/>
    </xf>
    <xf numFmtId="176" fontId="3" fillId="0" borderId="26" xfId="0" applyNumberFormat="1" applyFont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176" fontId="3" fillId="0" borderId="36" xfId="0" applyNumberFormat="1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3" fillId="0" borderId="6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21" fillId="0" borderId="104" xfId="0" applyFont="1" applyBorder="1" applyAlignment="1">
      <alignment vertical="center"/>
    </xf>
    <xf numFmtId="0" fontId="21" fillId="0" borderId="109" xfId="0" applyFont="1" applyBorder="1" applyAlignment="1">
      <alignment vertical="center"/>
    </xf>
    <xf numFmtId="0" fontId="21" fillId="0" borderId="112" xfId="0" applyFont="1" applyBorder="1" applyAlignment="1">
      <alignment vertical="center"/>
    </xf>
    <xf numFmtId="176" fontId="16" fillId="0" borderId="127" xfId="0" applyNumberFormat="1" applyFont="1" applyBorder="1" applyAlignment="1">
      <alignment vertical="center" wrapText="1"/>
    </xf>
    <xf numFmtId="176" fontId="16" fillId="0" borderId="123" xfId="0" applyNumberFormat="1" applyFont="1" applyBorder="1" applyAlignment="1">
      <alignment vertical="center" wrapText="1"/>
    </xf>
    <xf numFmtId="176" fontId="17" fillId="0" borderId="124" xfId="0" applyNumberFormat="1" applyFont="1" applyBorder="1" applyAlignment="1">
      <alignment vertical="center" wrapText="1"/>
    </xf>
    <xf numFmtId="176" fontId="5" fillId="0" borderId="43" xfId="0" applyNumberFormat="1" applyFont="1" applyBorder="1" applyAlignment="1">
      <alignment horizontal="left" vertical="center" wrapText="1" shrinkToFit="1"/>
    </xf>
    <xf numFmtId="176" fontId="3" fillId="0" borderId="50" xfId="0" applyNumberFormat="1" applyFont="1" applyBorder="1" applyAlignment="1">
      <alignment horizontal="center" vertical="center" wrapText="1"/>
    </xf>
    <xf numFmtId="176" fontId="3" fillId="3" borderId="43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0" fontId="4" fillId="0" borderId="63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120" xfId="0" applyFont="1" applyBorder="1" applyAlignment="1">
      <alignment horizontal="right" vertical="center"/>
    </xf>
    <xf numFmtId="0" fontId="4" fillId="0" borderId="75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0" fontId="18" fillId="0" borderId="128" xfId="0" applyFont="1" applyBorder="1" applyAlignment="1">
      <alignment horizontal="left" vertical="center" wrapText="1"/>
    </xf>
    <xf numFmtId="0" fontId="18" fillId="0" borderId="129" xfId="0" applyFont="1" applyBorder="1" applyAlignment="1">
      <alignment horizontal="left" vertical="center" wrapText="1"/>
    </xf>
    <xf numFmtId="0" fontId="18" fillId="0" borderId="130" xfId="0" applyFont="1" applyBorder="1" applyAlignment="1">
      <alignment horizontal="left" vertical="center" wrapText="1"/>
    </xf>
    <xf numFmtId="0" fontId="4" fillId="3" borderId="121" xfId="0" applyFont="1" applyFill="1" applyBorder="1" applyAlignment="1">
      <alignment horizontal="center" vertical="center" wrapText="1"/>
    </xf>
    <xf numFmtId="0" fontId="4" fillId="3" borderId="114" xfId="0" applyFont="1" applyFill="1" applyBorder="1" applyAlignment="1">
      <alignment horizontal="center" vertical="center" wrapText="1"/>
    </xf>
    <xf numFmtId="0" fontId="4" fillId="3" borderId="95" xfId="0" applyFont="1" applyFill="1" applyBorder="1" applyAlignment="1">
      <alignment horizontal="center" vertical="center" wrapText="1"/>
    </xf>
    <xf numFmtId="0" fontId="4" fillId="3" borderId="98" xfId="0" applyFont="1" applyFill="1" applyBorder="1" applyAlignment="1">
      <alignment horizontal="center" vertical="center" wrapText="1"/>
    </xf>
    <xf numFmtId="176" fontId="3" fillId="3" borderId="19" xfId="0" applyNumberFormat="1" applyFont="1" applyFill="1" applyBorder="1" applyAlignment="1">
      <alignment horizontal="center" vertical="center" wrapText="1"/>
    </xf>
    <xf numFmtId="176" fontId="3" fillId="3" borderId="26" xfId="0" applyNumberFormat="1" applyFont="1" applyFill="1" applyBorder="1" applyAlignment="1">
      <alignment horizontal="center" vertical="center" wrapText="1"/>
    </xf>
    <xf numFmtId="176" fontId="3" fillId="3" borderId="32" xfId="0" applyNumberFormat="1" applyFont="1" applyFill="1" applyBorder="1" applyAlignment="1">
      <alignment horizontal="center" vertical="center" wrapText="1"/>
    </xf>
    <xf numFmtId="176" fontId="3" fillId="3" borderId="36" xfId="0" applyNumberFormat="1" applyFont="1" applyFill="1" applyBorder="1" applyAlignment="1">
      <alignment horizontal="center" vertical="center" wrapText="1"/>
    </xf>
    <xf numFmtId="176" fontId="3" fillId="3" borderId="20" xfId="0" applyNumberFormat="1" applyFont="1" applyFill="1" applyBorder="1" applyAlignment="1">
      <alignment horizontal="center" vertical="center" wrapText="1"/>
    </xf>
    <xf numFmtId="176" fontId="4" fillId="0" borderId="25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2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109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93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176" fontId="7" fillId="2" borderId="10" xfId="0" applyNumberFormat="1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176" fontId="8" fillId="2" borderId="11" xfId="0" applyNumberFormat="1" applyFont="1" applyFill="1" applyBorder="1" applyAlignment="1">
      <alignment horizontal="center" vertical="center" wrapText="1"/>
    </xf>
    <xf numFmtId="176" fontId="8" fillId="2" borderId="6" xfId="0" applyNumberFormat="1" applyFont="1" applyFill="1" applyBorder="1" applyAlignment="1">
      <alignment horizontal="center" vertical="center" wrapText="1"/>
    </xf>
    <xf numFmtId="176" fontId="8" fillId="2" borderId="12" xfId="0" applyNumberFormat="1" applyFont="1" applyFill="1" applyBorder="1" applyAlignment="1">
      <alignment horizontal="center" vertical="center" wrapText="1"/>
    </xf>
    <xf numFmtId="176" fontId="3" fillId="0" borderId="42" xfId="0" applyNumberFormat="1" applyFont="1" applyBorder="1" applyAlignment="1">
      <alignment horizontal="center" vertical="center" wrapText="1"/>
    </xf>
    <xf numFmtId="176" fontId="3" fillId="0" borderId="26" xfId="0" applyNumberFormat="1" applyFont="1" applyBorder="1" applyAlignment="1">
      <alignment horizontal="center" vertical="center" wrapText="1"/>
    </xf>
    <xf numFmtId="176" fontId="3" fillId="0" borderId="32" xfId="0" applyNumberFormat="1" applyFont="1" applyBorder="1" applyAlignment="1">
      <alignment horizontal="center" vertical="center" wrapText="1"/>
    </xf>
    <xf numFmtId="176" fontId="3" fillId="0" borderId="36" xfId="0" applyNumberFormat="1" applyFont="1" applyBorder="1" applyAlignment="1">
      <alignment horizontal="center" vertical="center" wrapText="1"/>
    </xf>
    <xf numFmtId="176" fontId="3" fillId="0" borderId="43" xfId="0" applyNumberFormat="1" applyFont="1" applyBorder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6" fontId="3" fillId="3" borderId="42" xfId="0" applyNumberFormat="1" applyFont="1" applyFill="1" applyBorder="1" applyAlignment="1">
      <alignment horizontal="center" vertical="center" wrapText="1"/>
    </xf>
    <xf numFmtId="176" fontId="3" fillId="3" borderId="43" xfId="0" applyNumberFormat="1" applyFont="1" applyFill="1" applyBorder="1" applyAlignment="1">
      <alignment horizontal="center" vertical="center" wrapText="1"/>
    </xf>
    <xf numFmtId="176" fontId="9" fillId="2" borderId="7" xfId="0" applyNumberFormat="1" applyFont="1" applyFill="1" applyBorder="1" applyAlignment="1">
      <alignment horizontal="center" vertical="center" wrapText="1"/>
    </xf>
    <xf numFmtId="176" fontId="9" fillId="2" borderId="8" xfId="0" applyNumberFormat="1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1" fillId="2" borderId="10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176" fontId="3" fillId="3" borderId="48" xfId="0" applyNumberFormat="1" applyFont="1" applyFill="1" applyBorder="1" applyAlignment="1">
      <alignment horizontal="center" vertical="center" wrapText="1"/>
    </xf>
    <xf numFmtId="176" fontId="3" fillId="3" borderId="50" xfId="0" applyNumberFormat="1" applyFont="1" applyFill="1" applyBorder="1" applyAlignment="1">
      <alignment horizontal="center" vertical="center" wrapText="1"/>
    </xf>
    <xf numFmtId="176" fontId="10" fillId="0" borderId="57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23" xfId="0" applyFont="1" applyBorder="1" applyAlignment="1">
      <alignment horizontal="center" vertical="center"/>
    </xf>
    <xf numFmtId="176" fontId="3" fillId="3" borderId="48" xfId="0" applyNumberFormat="1" applyFont="1" applyFill="1" applyBorder="1" applyAlignment="1">
      <alignment horizontal="center" vertical="center" shrinkToFit="1"/>
    </xf>
    <xf numFmtId="176" fontId="3" fillId="3" borderId="50" xfId="0" applyNumberFormat="1" applyFont="1" applyFill="1" applyBorder="1" applyAlignment="1">
      <alignment horizontal="center" vertical="center" shrinkToFit="1"/>
    </xf>
    <xf numFmtId="176" fontId="10" fillId="0" borderId="21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76" fontId="3" fillId="3" borderId="27" xfId="0" applyNumberFormat="1" applyFont="1" applyFill="1" applyBorder="1" applyAlignment="1">
      <alignment horizontal="center" vertical="center" wrapText="1"/>
    </xf>
    <xf numFmtId="176" fontId="5" fillId="4" borderId="60" xfId="0" applyNumberFormat="1" applyFont="1" applyFill="1" applyBorder="1" applyAlignment="1">
      <alignment horizontal="center" vertical="center" wrapText="1"/>
    </xf>
    <xf numFmtId="176" fontId="5" fillId="4" borderId="61" xfId="0" applyNumberFormat="1" applyFont="1" applyFill="1" applyBorder="1" applyAlignment="1">
      <alignment horizontal="center" vertical="center" wrapText="1"/>
    </xf>
    <xf numFmtId="176" fontId="4" fillId="0" borderId="51" xfId="0" applyNumberFormat="1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76" fontId="3" fillId="3" borderId="66" xfId="0" applyNumberFormat="1" applyFont="1" applyFill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/>
    </xf>
    <xf numFmtId="0" fontId="4" fillId="0" borderId="124" xfId="0" applyFont="1" applyBorder="1" applyAlignment="1">
      <alignment horizontal="center" vertical="center"/>
    </xf>
    <xf numFmtId="176" fontId="5" fillId="3" borderId="43" xfId="0" applyNumberFormat="1" applyFont="1" applyFill="1" applyBorder="1" applyAlignment="1">
      <alignment horizontal="left" vertical="center" shrinkToFit="1"/>
    </xf>
    <xf numFmtId="176" fontId="5" fillId="3" borderId="26" xfId="0" applyNumberFormat="1" applyFont="1" applyFill="1" applyBorder="1" applyAlignment="1">
      <alignment horizontal="left" vertical="center" shrinkToFit="1"/>
    </xf>
    <xf numFmtId="0" fontId="5" fillId="3" borderId="74" xfId="0" applyFont="1" applyFill="1" applyBorder="1" applyAlignment="1">
      <alignment horizontal="center" vertical="center" wrapText="1"/>
    </xf>
    <xf numFmtId="0" fontId="5" fillId="3" borderId="65" xfId="0" applyFont="1" applyFill="1" applyBorder="1" applyAlignment="1">
      <alignment horizontal="center" vertical="center" wrapText="1"/>
    </xf>
    <xf numFmtId="176" fontId="5" fillId="3" borderId="75" xfId="0" applyNumberFormat="1" applyFont="1" applyFill="1" applyBorder="1" applyAlignment="1">
      <alignment horizontal="center" vertical="center" wrapText="1"/>
    </xf>
    <xf numFmtId="176" fontId="5" fillId="3" borderId="91" xfId="0" applyNumberFormat="1" applyFont="1" applyFill="1" applyBorder="1" applyAlignment="1">
      <alignment horizontal="center" vertical="center" wrapText="1"/>
    </xf>
    <xf numFmtId="176" fontId="5" fillId="3" borderId="27" xfId="0" applyNumberFormat="1" applyFont="1" applyFill="1" applyBorder="1" applyAlignment="1">
      <alignment horizontal="left" vertical="center" shrinkToFit="1"/>
    </xf>
    <xf numFmtId="176" fontId="5" fillId="3" borderId="50" xfId="0" applyNumberFormat="1" applyFont="1" applyFill="1" applyBorder="1" applyAlignment="1">
      <alignment horizontal="left" vertical="center" shrinkToFi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 wrapText="1"/>
    </xf>
    <xf numFmtId="176" fontId="5" fillId="3" borderId="77" xfId="0" applyNumberFormat="1" applyFont="1" applyFill="1" applyBorder="1" applyAlignment="1">
      <alignment horizontal="center" vertical="center" wrapText="1"/>
    </xf>
    <xf numFmtId="176" fontId="5" fillId="3" borderId="79" xfId="0" applyNumberFormat="1" applyFont="1" applyFill="1" applyBorder="1" applyAlignment="1">
      <alignment horizontal="center" vertical="center" wrapText="1"/>
    </xf>
    <xf numFmtId="176" fontId="5" fillId="3" borderId="66" xfId="0" applyNumberFormat="1" applyFont="1" applyFill="1" applyBorder="1" applyAlignment="1">
      <alignment horizontal="left" vertical="center" shrinkToFit="1"/>
    </xf>
    <xf numFmtId="0" fontId="5" fillId="3" borderId="115" xfId="0" applyFont="1" applyFill="1" applyBorder="1" applyAlignment="1">
      <alignment horizontal="center" vertical="center" wrapText="1"/>
    </xf>
    <xf numFmtId="176" fontId="5" fillId="3" borderId="116" xfId="0" applyNumberFormat="1" applyFont="1" applyFill="1" applyBorder="1" applyAlignment="1">
      <alignment horizontal="center" vertical="center" wrapText="1"/>
    </xf>
    <xf numFmtId="176" fontId="4" fillId="0" borderId="117" xfId="0" applyNumberFormat="1" applyFont="1" applyBorder="1" applyAlignment="1">
      <alignment horizontal="center" vertical="center" wrapText="1"/>
    </xf>
    <xf numFmtId="176" fontId="4" fillId="0" borderId="59" xfId="0" applyNumberFormat="1" applyFont="1" applyBorder="1" applyAlignment="1">
      <alignment horizontal="center" vertical="center" wrapText="1"/>
    </xf>
    <xf numFmtId="176" fontId="4" fillId="0" borderId="118" xfId="0" applyNumberFormat="1" applyFont="1" applyBorder="1" applyAlignment="1">
      <alignment horizontal="center" vertical="center" wrapText="1"/>
    </xf>
    <xf numFmtId="176" fontId="4" fillId="0" borderId="116" xfId="0" applyNumberFormat="1" applyFont="1" applyBorder="1" applyAlignment="1">
      <alignment horizontal="center" vertical="center" wrapText="1"/>
    </xf>
    <xf numFmtId="176" fontId="4" fillId="0" borderId="58" xfId="0" applyNumberFormat="1" applyFont="1" applyBorder="1" applyAlignment="1">
      <alignment horizontal="center" vertical="center"/>
    </xf>
    <xf numFmtId="0" fontId="13" fillId="0" borderId="12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176" fontId="12" fillId="0" borderId="119" xfId="0" applyNumberFormat="1" applyFont="1" applyBorder="1" applyAlignment="1">
      <alignment horizontal="left" vertical="center" wrapText="1" shrinkToFit="1"/>
    </xf>
    <xf numFmtId="176" fontId="12" fillId="0" borderId="50" xfId="0" applyNumberFormat="1" applyFont="1" applyBorder="1" applyAlignment="1">
      <alignment horizontal="left" vertical="center" wrapText="1" shrinkToFit="1"/>
    </xf>
    <xf numFmtId="0" fontId="5" fillId="3" borderId="77" xfId="0" applyFont="1" applyFill="1" applyBorder="1" applyAlignment="1">
      <alignment horizontal="center" vertical="center" wrapText="1"/>
    </xf>
    <xf numFmtId="0" fontId="5" fillId="3" borderId="79" xfId="0" applyFont="1" applyFill="1" applyBorder="1" applyAlignment="1">
      <alignment horizontal="center" vertical="center" wrapText="1"/>
    </xf>
    <xf numFmtId="176" fontId="12" fillId="0" borderId="48" xfId="0" applyNumberFormat="1" applyFont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76" fontId="4" fillId="0" borderId="55" xfId="0" applyNumberFormat="1" applyFont="1" applyBorder="1" applyAlignment="1">
      <alignment horizontal="center" vertical="center" wrapText="1"/>
    </xf>
    <xf numFmtId="176" fontId="4" fillId="0" borderId="91" xfId="0" applyNumberFormat="1" applyFont="1" applyBorder="1" applyAlignment="1">
      <alignment horizontal="center" vertical="center" wrapText="1"/>
    </xf>
    <xf numFmtId="176" fontId="4" fillId="0" borderId="76" xfId="0" applyNumberFormat="1" applyFont="1" applyBorder="1" applyAlignment="1">
      <alignment horizontal="center" vertical="center" wrapText="1"/>
    </xf>
    <xf numFmtId="176" fontId="4" fillId="0" borderId="40" xfId="0" applyNumberFormat="1" applyFont="1" applyBorder="1" applyAlignment="1">
      <alignment horizontal="center" vertical="center" wrapText="1"/>
    </xf>
    <xf numFmtId="176" fontId="4" fillId="0" borderId="77" xfId="0" applyNumberFormat="1" applyFont="1" applyBorder="1" applyAlignment="1">
      <alignment horizontal="center" vertical="center" wrapText="1"/>
    </xf>
    <xf numFmtId="176" fontId="4" fillId="0" borderId="79" xfId="0" applyNumberFormat="1" applyFont="1" applyBorder="1" applyAlignment="1">
      <alignment horizontal="center" vertical="center" wrapText="1"/>
    </xf>
    <xf numFmtId="0" fontId="4" fillId="3" borderId="92" xfId="0" applyFont="1" applyFill="1" applyBorder="1" applyAlignment="1">
      <alignment horizontal="center" vertical="center" wrapText="1"/>
    </xf>
    <xf numFmtId="0" fontId="4" fillId="3" borderId="90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3" borderId="81" xfId="0" applyFont="1" applyFill="1" applyBorder="1" applyAlignment="1">
      <alignment horizontal="center" vertical="center" wrapText="1"/>
    </xf>
    <xf numFmtId="0" fontId="4" fillId="3" borderId="117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118" xfId="0" applyFont="1" applyFill="1" applyBorder="1" applyAlignment="1">
      <alignment horizontal="center" vertical="center"/>
    </xf>
    <xf numFmtId="0" fontId="4" fillId="3" borderId="91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77" xfId="0" applyFont="1" applyFill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176" fontId="3" fillId="0" borderId="20" xfId="0" applyNumberFormat="1" applyFont="1" applyBorder="1" applyAlignment="1">
      <alignment horizontal="center" vertical="center" wrapText="1"/>
    </xf>
    <xf numFmtId="176" fontId="3" fillId="0" borderId="48" xfId="0" applyNumberFormat="1" applyFont="1" applyBorder="1" applyAlignment="1">
      <alignment horizontal="center" vertical="center" wrapText="1"/>
    </xf>
    <xf numFmtId="176" fontId="4" fillId="0" borderId="88" xfId="0" applyNumberFormat="1" applyFont="1" applyBorder="1" applyAlignment="1">
      <alignment horizontal="center" vertical="center"/>
    </xf>
    <xf numFmtId="0" fontId="13" fillId="0" borderId="125" xfId="0" applyFont="1" applyBorder="1" applyAlignment="1">
      <alignment horizontal="center" vertical="center"/>
    </xf>
    <xf numFmtId="176" fontId="3" fillId="0" borderId="50" xfId="0" applyNumberFormat="1" applyFont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 wrapText="1"/>
    </xf>
    <xf numFmtId="0" fontId="4" fillId="3" borderId="91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/>
    </xf>
    <xf numFmtId="0" fontId="4" fillId="3" borderId="90" xfId="0" applyFont="1" applyFill="1" applyBorder="1" applyAlignment="1">
      <alignment horizontal="center" vertical="center"/>
    </xf>
    <xf numFmtId="0" fontId="5" fillId="0" borderId="95" xfId="0" applyFont="1" applyBorder="1" applyAlignment="1">
      <alignment horizontal="center" vertical="center" wrapText="1"/>
    </xf>
    <xf numFmtId="0" fontId="5" fillId="0" borderId="96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wrapText="1"/>
    </xf>
    <xf numFmtId="176" fontId="3" fillId="3" borderId="132" xfId="0" applyNumberFormat="1" applyFont="1" applyFill="1" applyBorder="1" applyAlignment="1">
      <alignment horizontal="center" vertical="center" wrapText="1"/>
    </xf>
    <xf numFmtId="176" fontId="15" fillId="3" borderId="98" xfId="0" applyNumberFormat="1" applyFont="1" applyFill="1" applyBorder="1" applyAlignment="1">
      <alignment horizontal="center" vertical="center" wrapText="1"/>
    </xf>
    <xf numFmtId="176" fontId="15" fillId="3" borderId="99" xfId="0" applyNumberFormat="1" applyFont="1" applyFill="1" applyBorder="1" applyAlignment="1">
      <alignment horizontal="center" vertical="center" wrapText="1"/>
    </xf>
    <xf numFmtId="176" fontId="15" fillId="3" borderId="114" xfId="0" applyNumberFormat="1" applyFont="1" applyFill="1" applyBorder="1" applyAlignment="1">
      <alignment horizontal="center" vertical="center" wrapText="1"/>
    </xf>
    <xf numFmtId="176" fontId="15" fillId="3" borderId="103" xfId="0" applyNumberFormat="1" applyFont="1" applyFill="1" applyBorder="1" applyAlignment="1">
      <alignment horizontal="center" vertical="center" wrapText="1"/>
    </xf>
    <xf numFmtId="176" fontId="15" fillId="3" borderId="41" xfId="0" applyNumberFormat="1" applyFont="1" applyFill="1" applyBorder="1" applyAlignment="1">
      <alignment horizontal="center" vertical="center" wrapText="1"/>
    </xf>
    <xf numFmtId="176" fontId="15" fillId="3" borderId="95" xfId="0" applyNumberFormat="1" applyFont="1" applyFill="1" applyBorder="1" applyAlignment="1">
      <alignment horizontal="center" vertical="center" wrapText="1"/>
    </xf>
    <xf numFmtId="176" fontId="15" fillId="3" borderId="96" xfId="0" applyNumberFormat="1" applyFont="1" applyFill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0" fontId="5" fillId="0" borderId="106" xfId="0" applyFont="1" applyBorder="1" applyAlignment="1">
      <alignment horizontal="center" vertical="center" wrapText="1"/>
    </xf>
    <xf numFmtId="0" fontId="5" fillId="0" borderId="107" xfId="0" applyFont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5" fillId="0" borderId="13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20" xfId="0" applyFont="1" applyBorder="1" applyAlignment="1">
      <alignment horizontal="center" vertical="center" wrapText="1"/>
    </xf>
    <xf numFmtId="0" fontId="4" fillId="3" borderId="88" xfId="0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3" borderId="126" xfId="0" applyFont="1" applyFill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3" fillId="3" borderId="43" xfId="0" applyNumberFormat="1" applyFont="1" applyFill="1" applyBorder="1" applyAlignment="1">
      <alignment horizontal="center" vertical="center" shrinkToFit="1"/>
    </xf>
    <xf numFmtId="176" fontId="12" fillId="0" borderId="43" xfId="0" applyNumberFormat="1" applyFont="1" applyBorder="1" applyAlignment="1">
      <alignment horizontal="left" vertical="center" wrapText="1"/>
    </xf>
    <xf numFmtId="0" fontId="13" fillId="0" borderId="12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BD26-78BB-466B-844D-44B53DB50434}">
  <sheetPr>
    <tabColor rgb="FFFFFF00"/>
    <pageSetUpPr fitToPage="1"/>
  </sheetPr>
  <dimension ref="A1:N79"/>
  <sheetViews>
    <sheetView tabSelected="1" view="pageBreakPreview" zoomScale="70" zoomScaleNormal="75" zoomScaleSheetLayoutView="70" workbookViewId="0">
      <selection sqref="A1:N1"/>
    </sheetView>
  </sheetViews>
  <sheetFormatPr defaultRowHeight="27.6" x14ac:dyDescent="0.4"/>
  <cols>
    <col min="1" max="1" width="6.8984375" style="128" customWidth="1"/>
    <col min="2" max="2" width="8.5" style="129" customWidth="1"/>
    <col min="3" max="3" width="6.59765625" style="130" customWidth="1"/>
    <col min="4" max="4" width="105.8984375" style="131" customWidth="1"/>
    <col min="5" max="6" width="5" style="128" customWidth="1"/>
    <col min="7" max="8" width="6.796875" style="132" customWidth="1"/>
    <col min="9" max="12" width="6.796875" style="133" customWidth="1"/>
    <col min="13" max="13" width="7.296875" style="134" customWidth="1"/>
    <col min="14" max="14" width="9.296875" customWidth="1"/>
  </cols>
  <sheetData>
    <row r="1" spans="1:14" ht="42" customHeight="1" x14ac:dyDescent="0.4">
      <c r="A1" s="290" t="s">
        <v>106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2"/>
    </row>
    <row r="2" spans="1:14" ht="25.8" thickBot="1" x14ac:dyDescent="0.45">
      <c r="A2" s="240"/>
      <c r="B2" s="241"/>
      <c r="C2" s="242"/>
      <c r="D2" s="243"/>
      <c r="E2" s="241"/>
      <c r="F2" s="241"/>
      <c r="G2" s="257" t="s">
        <v>117</v>
      </c>
      <c r="H2" s="257"/>
      <c r="I2" s="257"/>
      <c r="J2" s="257"/>
      <c r="K2" s="257"/>
      <c r="L2" s="257"/>
      <c r="M2" s="257"/>
      <c r="N2" s="258"/>
    </row>
    <row r="3" spans="1:14" ht="25.8" thickTop="1" x14ac:dyDescent="0.4">
      <c r="A3" s="293" t="s">
        <v>0</v>
      </c>
      <c r="B3" s="295" t="s">
        <v>1</v>
      </c>
      <c r="C3" s="297" t="s">
        <v>2</v>
      </c>
      <c r="D3" s="297"/>
      <c r="E3" s="299" t="s">
        <v>3</v>
      </c>
      <c r="F3" s="301" t="s">
        <v>4</v>
      </c>
      <c r="G3" s="312" t="s">
        <v>5</v>
      </c>
      <c r="H3" s="313"/>
      <c r="I3" s="312" t="s">
        <v>6</v>
      </c>
      <c r="J3" s="313"/>
      <c r="K3" s="312" t="s">
        <v>7</v>
      </c>
      <c r="L3" s="313"/>
      <c r="M3" s="314" t="s">
        <v>8</v>
      </c>
      <c r="N3" s="316" t="s">
        <v>9</v>
      </c>
    </row>
    <row r="4" spans="1:14" ht="26.25" customHeight="1" thickBot="1" x14ac:dyDescent="0.45">
      <c r="A4" s="294"/>
      <c r="B4" s="296"/>
      <c r="C4" s="298"/>
      <c r="D4" s="298"/>
      <c r="E4" s="300"/>
      <c r="F4" s="302"/>
      <c r="G4" s="1" t="s">
        <v>10</v>
      </c>
      <c r="H4" s="3" t="s">
        <v>11</v>
      </c>
      <c r="I4" s="2" t="s">
        <v>10</v>
      </c>
      <c r="J4" s="3" t="s">
        <v>11</v>
      </c>
      <c r="K4" s="2" t="s">
        <v>10</v>
      </c>
      <c r="L4" s="4" t="s">
        <v>11</v>
      </c>
      <c r="M4" s="315"/>
      <c r="N4" s="317"/>
    </row>
    <row r="5" spans="1:14" ht="27" customHeight="1" x14ac:dyDescent="0.4">
      <c r="A5" s="274" t="s">
        <v>111</v>
      </c>
      <c r="B5" s="278" t="s">
        <v>12</v>
      </c>
      <c r="C5" s="282" t="s">
        <v>13</v>
      </c>
      <c r="D5" s="5" t="s">
        <v>14</v>
      </c>
      <c r="E5" s="168">
        <v>4</v>
      </c>
      <c r="F5" s="174">
        <v>4</v>
      </c>
      <c r="G5" s="6">
        <v>4</v>
      </c>
      <c r="H5" s="7"/>
      <c r="I5" s="8"/>
      <c r="J5" s="9"/>
      <c r="K5" s="8"/>
      <c r="L5" s="9"/>
      <c r="M5" s="283">
        <f>SUM(G5:L8)</f>
        <v>16</v>
      </c>
      <c r="N5" s="287">
        <v>8</v>
      </c>
    </row>
    <row r="6" spans="1:14" ht="27" customHeight="1" x14ac:dyDescent="0.4">
      <c r="A6" s="275"/>
      <c r="B6" s="279"/>
      <c r="C6" s="279"/>
      <c r="D6" s="10" t="s">
        <v>15</v>
      </c>
      <c r="E6" s="222">
        <v>4</v>
      </c>
      <c r="F6" s="175">
        <v>4</v>
      </c>
      <c r="G6" s="11"/>
      <c r="H6" s="12">
        <v>4</v>
      </c>
      <c r="I6" s="13"/>
      <c r="J6" s="14"/>
      <c r="K6" s="13"/>
      <c r="L6" s="14"/>
      <c r="M6" s="284"/>
      <c r="N6" s="288"/>
    </row>
    <row r="7" spans="1:14" ht="27" customHeight="1" x14ac:dyDescent="0.4">
      <c r="A7" s="276"/>
      <c r="B7" s="280"/>
      <c r="C7" s="220" t="s">
        <v>16</v>
      </c>
      <c r="D7" s="10" t="s">
        <v>17</v>
      </c>
      <c r="E7" s="219">
        <v>4</v>
      </c>
      <c r="F7" s="176">
        <f>SUM(G7:L7)</f>
        <v>4</v>
      </c>
      <c r="G7" s="11"/>
      <c r="H7" s="12"/>
      <c r="I7" s="13">
        <v>4</v>
      </c>
      <c r="J7" s="14"/>
      <c r="K7" s="13"/>
      <c r="L7" s="14"/>
      <c r="M7" s="285"/>
      <c r="N7" s="289"/>
    </row>
    <row r="8" spans="1:14" ht="27" customHeight="1" x14ac:dyDescent="0.4">
      <c r="A8" s="276"/>
      <c r="B8" s="281"/>
      <c r="C8" s="233" t="s">
        <v>16</v>
      </c>
      <c r="D8" s="15" t="s">
        <v>18</v>
      </c>
      <c r="E8" s="169">
        <v>4</v>
      </c>
      <c r="F8" s="177">
        <f t="shared" ref="F8:F16" si="0">SUM(G8:L8)</f>
        <v>4</v>
      </c>
      <c r="G8" s="16"/>
      <c r="H8" s="17"/>
      <c r="I8" s="18"/>
      <c r="J8" s="19">
        <v>4</v>
      </c>
      <c r="K8" s="239"/>
      <c r="L8" s="20"/>
      <c r="M8" s="286"/>
      <c r="N8" s="289"/>
    </row>
    <row r="9" spans="1:14" ht="27" customHeight="1" x14ac:dyDescent="0.4">
      <c r="A9" s="276"/>
      <c r="B9" s="303" t="s">
        <v>19</v>
      </c>
      <c r="C9" s="307" t="s">
        <v>13</v>
      </c>
      <c r="D9" s="21" t="s">
        <v>20</v>
      </c>
      <c r="E9" s="170">
        <v>4</v>
      </c>
      <c r="F9" s="178">
        <v>4</v>
      </c>
      <c r="G9" s="22">
        <v>4</v>
      </c>
      <c r="H9" s="23"/>
      <c r="I9" s="24"/>
      <c r="J9" s="25"/>
      <c r="K9" s="24"/>
      <c r="L9" s="25"/>
      <c r="M9" s="308">
        <f>SUM(G9:L12)</f>
        <v>16</v>
      </c>
      <c r="N9" s="288">
        <v>8</v>
      </c>
    </row>
    <row r="10" spans="1:14" ht="27" customHeight="1" x14ac:dyDescent="0.4">
      <c r="A10" s="276"/>
      <c r="B10" s="304"/>
      <c r="C10" s="304"/>
      <c r="D10" s="26" t="s">
        <v>21</v>
      </c>
      <c r="E10" s="171">
        <v>4</v>
      </c>
      <c r="F10" s="179">
        <v>4</v>
      </c>
      <c r="G10" s="11"/>
      <c r="H10" s="12">
        <v>4</v>
      </c>
      <c r="I10" s="13"/>
      <c r="J10" s="14"/>
      <c r="K10" s="13"/>
      <c r="L10" s="14"/>
      <c r="M10" s="284"/>
      <c r="N10" s="288"/>
    </row>
    <row r="11" spans="1:14" ht="27" customHeight="1" x14ac:dyDescent="0.4">
      <c r="A11" s="276"/>
      <c r="B11" s="305"/>
      <c r="C11" s="235" t="s">
        <v>16</v>
      </c>
      <c r="D11" s="26" t="s">
        <v>22</v>
      </c>
      <c r="E11" s="171">
        <v>4</v>
      </c>
      <c r="F11" s="179">
        <f t="shared" si="0"/>
        <v>4</v>
      </c>
      <c r="G11" s="11"/>
      <c r="H11" s="12"/>
      <c r="I11" s="13">
        <v>4</v>
      </c>
      <c r="J11" s="14"/>
      <c r="K11" s="13"/>
      <c r="L11" s="14"/>
      <c r="M11" s="285"/>
      <c r="N11" s="289"/>
    </row>
    <row r="12" spans="1:14" ht="27" customHeight="1" x14ac:dyDescent="0.4">
      <c r="A12" s="276"/>
      <c r="B12" s="306"/>
      <c r="C12" s="203" t="s">
        <v>16</v>
      </c>
      <c r="D12" s="27" t="s">
        <v>23</v>
      </c>
      <c r="E12" s="207">
        <v>4</v>
      </c>
      <c r="F12" s="180">
        <f t="shared" si="0"/>
        <v>4</v>
      </c>
      <c r="G12" s="223"/>
      <c r="H12" s="28"/>
      <c r="I12" s="239"/>
      <c r="J12" s="20">
        <v>4</v>
      </c>
      <c r="K12" s="239"/>
      <c r="L12" s="20"/>
      <c r="M12" s="286"/>
      <c r="N12" s="309"/>
    </row>
    <row r="13" spans="1:14" ht="27" customHeight="1" x14ac:dyDescent="0.4">
      <c r="A13" s="276"/>
      <c r="B13" s="310" t="s">
        <v>24</v>
      </c>
      <c r="C13" s="311" t="s">
        <v>13</v>
      </c>
      <c r="D13" s="29" t="s">
        <v>25</v>
      </c>
      <c r="E13" s="170">
        <v>4</v>
      </c>
      <c r="F13" s="178">
        <v>4</v>
      </c>
      <c r="G13" s="22">
        <v>4</v>
      </c>
      <c r="H13" s="23"/>
      <c r="I13" s="24"/>
      <c r="J13" s="25"/>
      <c r="K13" s="24"/>
      <c r="L13" s="25"/>
      <c r="M13" s="308">
        <f>SUM(G13:L16)</f>
        <v>16</v>
      </c>
      <c r="N13" s="289">
        <v>8</v>
      </c>
    </row>
    <row r="14" spans="1:14" ht="27" customHeight="1" x14ac:dyDescent="0.4">
      <c r="A14" s="276"/>
      <c r="B14" s="279"/>
      <c r="C14" s="279"/>
      <c r="D14" s="5" t="s">
        <v>26</v>
      </c>
      <c r="E14" s="171">
        <v>4</v>
      </c>
      <c r="F14" s="179">
        <v>4</v>
      </c>
      <c r="G14" s="11"/>
      <c r="H14" s="12">
        <v>4</v>
      </c>
      <c r="I14" s="13"/>
      <c r="J14" s="14"/>
      <c r="K14" s="13"/>
      <c r="L14" s="14"/>
      <c r="M14" s="284"/>
      <c r="N14" s="288"/>
    </row>
    <row r="15" spans="1:14" ht="27" customHeight="1" x14ac:dyDescent="0.4">
      <c r="A15" s="276"/>
      <c r="B15" s="280"/>
      <c r="C15" s="220" t="s">
        <v>16</v>
      </c>
      <c r="D15" s="10" t="s">
        <v>27</v>
      </c>
      <c r="E15" s="171">
        <v>4</v>
      </c>
      <c r="F15" s="179">
        <f t="shared" si="0"/>
        <v>4</v>
      </c>
      <c r="G15" s="11"/>
      <c r="H15" s="12"/>
      <c r="I15" s="13">
        <v>4</v>
      </c>
      <c r="J15" s="14"/>
      <c r="K15" s="13"/>
      <c r="L15" s="14"/>
      <c r="M15" s="285"/>
      <c r="N15" s="289"/>
    </row>
    <row r="16" spans="1:14" ht="27" customHeight="1" x14ac:dyDescent="0.4">
      <c r="A16" s="276"/>
      <c r="B16" s="281"/>
      <c r="C16" s="217" t="s">
        <v>16</v>
      </c>
      <c r="D16" s="30" t="s">
        <v>28</v>
      </c>
      <c r="E16" s="207">
        <v>4</v>
      </c>
      <c r="F16" s="180">
        <f t="shared" si="0"/>
        <v>4</v>
      </c>
      <c r="G16" s="223"/>
      <c r="H16" s="28"/>
      <c r="I16" s="239"/>
      <c r="J16" s="20">
        <v>4</v>
      </c>
      <c r="K16" s="239"/>
      <c r="L16" s="20"/>
      <c r="M16" s="286"/>
      <c r="N16" s="289"/>
    </row>
    <row r="17" spans="1:14" ht="27" customHeight="1" x14ac:dyDescent="0.4">
      <c r="A17" s="276"/>
      <c r="B17" s="328" t="s">
        <v>29</v>
      </c>
      <c r="C17" s="318" t="s">
        <v>13</v>
      </c>
      <c r="D17" s="29" t="s">
        <v>30</v>
      </c>
      <c r="E17" s="170">
        <v>3</v>
      </c>
      <c r="F17" s="178">
        <v>3</v>
      </c>
      <c r="G17" s="22">
        <v>3</v>
      </c>
      <c r="H17" s="23"/>
      <c r="I17" s="24"/>
      <c r="J17" s="25"/>
      <c r="K17" s="24"/>
      <c r="L17" s="25"/>
      <c r="M17" s="286">
        <v>6</v>
      </c>
      <c r="N17" s="327">
        <v>6</v>
      </c>
    </row>
    <row r="18" spans="1:14" ht="27" customHeight="1" x14ac:dyDescent="0.4">
      <c r="A18" s="276"/>
      <c r="B18" s="329"/>
      <c r="C18" s="319"/>
      <c r="D18" s="31" t="s">
        <v>31</v>
      </c>
      <c r="E18" s="222">
        <v>3</v>
      </c>
      <c r="F18" s="175">
        <v>3</v>
      </c>
      <c r="G18" s="32"/>
      <c r="H18" s="17">
        <v>3</v>
      </c>
      <c r="I18" s="33"/>
      <c r="J18" s="19"/>
      <c r="K18" s="33"/>
      <c r="L18" s="34"/>
      <c r="M18" s="326"/>
      <c r="N18" s="327"/>
    </row>
    <row r="19" spans="1:14" ht="27" customHeight="1" x14ac:dyDescent="0.4">
      <c r="A19" s="276"/>
      <c r="B19" s="311" t="s">
        <v>32</v>
      </c>
      <c r="C19" s="311" t="s">
        <v>13</v>
      </c>
      <c r="D19" s="29" t="s">
        <v>33</v>
      </c>
      <c r="E19" s="170">
        <v>4</v>
      </c>
      <c r="F19" s="181">
        <v>4</v>
      </c>
      <c r="G19" s="210">
        <v>4</v>
      </c>
      <c r="H19" s="35"/>
      <c r="I19" s="238"/>
      <c r="J19" s="36"/>
      <c r="K19" s="238"/>
      <c r="L19" s="37"/>
      <c r="M19" s="330">
        <f>SUM(G19:L20)</f>
        <v>8</v>
      </c>
      <c r="N19" s="309">
        <v>8</v>
      </c>
    </row>
    <row r="20" spans="1:14" ht="27" customHeight="1" x14ac:dyDescent="0.4">
      <c r="A20" s="276"/>
      <c r="B20" s="319"/>
      <c r="C20" s="319"/>
      <c r="D20" s="38" t="s">
        <v>34</v>
      </c>
      <c r="E20" s="207">
        <v>4</v>
      </c>
      <c r="F20" s="180">
        <v>4</v>
      </c>
      <c r="G20" s="223"/>
      <c r="H20" s="28">
        <v>4</v>
      </c>
      <c r="I20" s="239"/>
      <c r="J20" s="20"/>
      <c r="K20" s="239"/>
      <c r="L20" s="20"/>
      <c r="M20" s="331"/>
      <c r="N20" s="288"/>
    </row>
    <row r="21" spans="1:14" ht="27" customHeight="1" x14ac:dyDescent="0.4">
      <c r="A21" s="276"/>
      <c r="B21" s="318" t="s">
        <v>35</v>
      </c>
      <c r="C21" s="318" t="s">
        <v>36</v>
      </c>
      <c r="D21" s="39" t="s">
        <v>37</v>
      </c>
      <c r="E21" s="170">
        <v>4</v>
      </c>
      <c r="F21" s="178">
        <v>4</v>
      </c>
      <c r="G21" s="22">
        <v>4</v>
      </c>
      <c r="H21" s="23"/>
      <c r="I21" s="24"/>
      <c r="J21" s="25"/>
      <c r="K21" s="24"/>
      <c r="L21" s="25"/>
      <c r="M21" s="320">
        <f>SUM(G21:L24)</f>
        <v>10</v>
      </c>
      <c r="N21" s="322">
        <v>10</v>
      </c>
    </row>
    <row r="22" spans="1:14" ht="27" customHeight="1" x14ac:dyDescent="0.4">
      <c r="A22" s="276"/>
      <c r="B22" s="318"/>
      <c r="C22" s="318"/>
      <c r="D22" s="40" t="s">
        <v>38</v>
      </c>
      <c r="E22" s="171">
        <v>4</v>
      </c>
      <c r="F22" s="179">
        <v>4</v>
      </c>
      <c r="G22" s="11"/>
      <c r="H22" s="12">
        <v>4</v>
      </c>
      <c r="I22" s="13"/>
      <c r="J22" s="14"/>
      <c r="K22" s="13"/>
      <c r="L22" s="14"/>
      <c r="M22" s="321"/>
      <c r="N22" s="323"/>
    </row>
    <row r="23" spans="1:14" ht="27" customHeight="1" x14ac:dyDescent="0.4">
      <c r="A23" s="276"/>
      <c r="B23" s="318"/>
      <c r="C23" s="318"/>
      <c r="D23" s="40" t="s">
        <v>39</v>
      </c>
      <c r="E23" s="222">
        <v>1</v>
      </c>
      <c r="F23" s="175">
        <v>1</v>
      </c>
      <c r="G23" s="11">
        <v>1</v>
      </c>
      <c r="H23" s="12"/>
      <c r="I23" s="13"/>
      <c r="J23" s="14"/>
      <c r="K23" s="13"/>
      <c r="L23" s="14"/>
      <c r="M23" s="321"/>
      <c r="N23" s="323"/>
    </row>
    <row r="24" spans="1:14" ht="27" customHeight="1" x14ac:dyDescent="0.4">
      <c r="A24" s="276"/>
      <c r="B24" s="319"/>
      <c r="C24" s="319"/>
      <c r="D24" s="231" t="s">
        <v>40</v>
      </c>
      <c r="E24" s="169">
        <v>1</v>
      </c>
      <c r="F24" s="182">
        <v>1</v>
      </c>
      <c r="G24" s="223"/>
      <c r="H24" s="28">
        <v>1</v>
      </c>
      <c r="I24" s="239"/>
      <c r="J24" s="20"/>
      <c r="K24" s="239"/>
      <c r="L24" s="20"/>
      <c r="M24" s="321"/>
      <c r="N24" s="323"/>
    </row>
    <row r="25" spans="1:14" ht="27" customHeight="1" x14ac:dyDescent="0.4">
      <c r="A25" s="276"/>
      <c r="B25" s="318" t="s">
        <v>41</v>
      </c>
      <c r="C25" s="216" t="s">
        <v>16</v>
      </c>
      <c r="D25" s="41" t="s">
        <v>42</v>
      </c>
      <c r="E25" s="170">
        <v>3</v>
      </c>
      <c r="F25" s="178">
        <v>2</v>
      </c>
      <c r="G25" s="22">
        <v>2</v>
      </c>
      <c r="H25" s="23"/>
      <c r="I25" s="24"/>
      <c r="J25" s="25"/>
      <c r="K25" s="24"/>
      <c r="L25" s="25"/>
      <c r="M25" s="324">
        <f>SUM(G25:L30)</f>
        <v>10</v>
      </c>
      <c r="N25" s="309">
        <v>10</v>
      </c>
    </row>
    <row r="26" spans="1:14" ht="27" customHeight="1" x14ac:dyDescent="0.4">
      <c r="A26" s="276"/>
      <c r="B26" s="318"/>
      <c r="C26" s="218" t="s">
        <v>16</v>
      </c>
      <c r="D26" s="39" t="s">
        <v>43</v>
      </c>
      <c r="E26" s="171">
        <v>3</v>
      </c>
      <c r="F26" s="179">
        <v>2</v>
      </c>
      <c r="G26" s="11"/>
      <c r="H26" s="12">
        <v>2</v>
      </c>
      <c r="I26" s="13"/>
      <c r="J26" s="14"/>
      <c r="K26" s="13"/>
      <c r="L26" s="14"/>
      <c r="M26" s="325"/>
      <c r="N26" s="327"/>
    </row>
    <row r="27" spans="1:14" ht="27" customHeight="1" x14ac:dyDescent="0.4">
      <c r="A27" s="276"/>
      <c r="B27" s="318"/>
      <c r="C27" s="218" t="s">
        <v>44</v>
      </c>
      <c r="D27" s="230" t="s">
        <v>45</v>
      </c>
      <c r="E27" s="171">
        <v>2</v>
      </c>
      <c r="F27" s="179">
        <v>1</v>
      </c>
      <c r="G27" s="11"/>
      <c r="H27" s="12"/>
      <c r="I27" s="13">
        <v>1</v>
      </c>
      <c r="J27" s="14"/>
      <c r="K27" s="13"/>
      <c r="L27" s="14"/>
      <c r="M27" s="325"/>
      <c r="N27" s="327"/>
    </row>
    <row r="28" spans="1:14" ht="27" customHeight="1" x14ac:dyDescent="0.4">
      <c r="A28" s="276"/>
      <c r="B28" s="318"/>
      <c r="C28" s="227" t="s">
        <v>44</v>
      </c>
      <c r="D28" s="230" t="s">
        <v>46</v>
      </c>
      <c r="E28" s="171">
        <v>2</v>
      </c>
      <c r="F28" s="179">
        <v>1</v>
      </c>
      <c r="G28" s="11"/>
      <c r="H28" s="12"/>
      <c r="I28" s="13"/>
      <c r="J28" s="14">
        <v>1</v>
      </c>
      <c r="K28" s="13"/>
      <c r="L28" s="14"/>
      <c r="M28" s="325"/>
      <c r="N28" s="327"/>
    </row>
    <row r="29" spans="1:14" ht="27" customHeight="1" x14ac:dyDescent="0.4">
      <c r="A29" s="276"/>
      <c r="B29" s="318"/>
      <c r="C29" s="216" t="s">
        <v>47</v>
      </c>
      <c r="D29" s="40" t="s">
        <v>48</v>
      </c>
      <c r="E29" s="171">
        <v>3</v>
      </c>
      <c r="F29" s="179">
        <v>2</v>
      </c>
      <c r="G29" s="11"/>
      <c r="H29" s="12"/>
      <c r="I29" s="13"/>
      <c r="J29" s="14"/>
      <c r="K29" s="13">
        <v>2</v>
      </c>
      <c r="L29" s="14"/>
      <c r="M29" s="325"/>
      <c r="N29" s="327"/>
    </row>
    <row r="30" spans="1:14" ht="27" customHeight="1" thickBot="1" x14ac:dyDescent="0.45">
      <c r="A30" s="276"/>
      <c r="B30" s="318"/>
      <c r="C30" s="233" t="s">
        <v>47</v>
      </c>
      <c r="D30" s="231" t="s">
        <v>91</v>
      </c>
      <c r="E30" s="207">
        <v>3</v>
      </c>
      <c r="F30" s="180">
        <v>2</v>
      </c>
      <c r="G30" s="232"/>
      <c r="H30" s="17"/>
      <c r="I30" s="239"/>
      <c r="J30" s="20"/>
      <c r="K30" s="239"/>
      <c r="L30" s="19">
        <v>2</v>
      </c>
      <c r="M30" s="326"/>
      <c r="N30" s="327"/>
    </row>
    <row r="31" spans="1:14" ht="15" customHeight="1" thickBot="1" x14ac:dyDescent="0.45">
      <c r="A31" s="276"/>
      <c r="B31" s="310" t="s">
        <v>92</v>
      </c>
      <c r="C31" s="311" t="s">
        <v>49</v>
      </c>
      <c r="D31" s="341" t="s">
        <v>107</v>
      </c>
      <c r="E31" s="343">
        <v>3</v>
      </c>
      <c r="F31" s="345">
        <v>2</v>
      </c>
      <c r="G31" s="333" t="s">
        <v>50</v>
      </c>
      <c r="H31" s="334"/>
      <c r="I31" s="261"/>
      <c r="J31" s="259"/>
      <c r="K31" s="261"/>
      <c r="L31" s="259"/>
      <c r="M31" s="335">
        <f>SUM(G31:L34)</f>
        <v>10</v>
      </c>
      <c r="N31" s="289">
        <v>10</v>
      </c>
    </row>
    <row r="32" spans="1:14" ht="15" customHeight="1" thickBot="1" x14ac:dyDescent="0.45">
      <c r="A32" s="276"/>
      <c r="B32" s="279"/>
      <c r="C32" s="279"/>
      <c r="D32" s="342"/>
      <c r="E32" s="344"/>
      <c r="F32" s="346"/>
      <c r="G32" s="42">
        <v>2</v>
      </c>
      <c r="H32" s="43">
        <v>2</v>
      </c>
      <c r="I32" s="269"/>
      <c r="J32" s="260"/>
      <c r="K32" s="262"/>
      <c r="L32" s="263"/>
      <c r="M32" s="336"/>
      <c r="N32" s="289"/>
    </row>
    <row r="33" spans="1:14" ht="15" customHeight="1" thickBot="1" x14ac:dyDescent="0.45">
      <c r="A33" s="276"/>
      <c r="B33" s="280"/>
      <c r="C33" s="332" t="s">
        <v>44</v>
      </c>
      <c r="D33" s="347" t="s">
        <v>108</v>
      </c>
      <c r="E33" s="349">
        <v>3</v>
      </c>
      <c r="F33" s="351">
        <v>3</v>
      </c>
      <c r="G33" s="356"/>
      <c r="H33" s="358"/>
      <c r="I33" s="333" t="s">
        <v>50</v>
      </c>
      <c r="J33" s="334"/>
      <c r="K33" s="264"/>
      <c r="L33" s="266"/>
      <c r="M33" s="336"/>
      <c r="N33" s="289"/>
    </row>
    <row r="34" spans="1:14" ht="15" customHeight="1" thickBot="1" x14ac:dyDescent="0.45">
      <c r="A34" s="276"/>
      <c r="B34" s="332"/>
      <c r="C34" s="319"/>
      <c r="D34" s="348"/>
      <c r="E34" s="350"/>
      <c r="F34" s="352"/>
      <c r="G34" s="357"/>
      <c r="H34" s="359"/>
      <c r="I34" s="254">
        <v>3</v>
      </c>
      <c r="J34" s="256">
        <v>3</v>
      </c>
      <c r="K34" s="265"/>
      <c r="L34" s="267"/>
      <c r="M34" s="337"/>
      <c r="N34" s="289"/>
    </row>
    <row r="35" spans="1:14" ht="15" customHeight="1" thickBot="1" x14ac:dyDescent="0.45">
      <c r="A35" s="276"/>
      <c r="B35" s="311" t="s">
        <v>51</v>
      </c>
      <c r="C35" s="311" t="s">
        <v>49</v>
      </c>
      <c r="D35" s="341" t="s">
        <v>109</v>
      </c>
      <c r="E35" s="343">
        <v>3</v>
      </c>
      <c r="F35" s="345">
        <v>2</v>
      </c>
      <c r="G35" s="333" t="s">
        <v>50</v>
      </c>
      <c r="H35" s="334"/>
      <c r="I35" s="268"/>
      <c r="J35" s="270"/>
      <c r="K35" s="261"/>
      <c r="L35" s="259"/>
      <c r="M35" s="324">
        <f>SUM(G35:L36)</f>
        <v>4</v>
      </c>
      <c r="N35" s="327">
        <v>16</v>
      </c>
    </row>
    <row r="36" spans="1:14" ht="15" customHeight="1" thickBot="1" x14ac:dyDescent="0.45">
      <c r="A36" s="277"/>
      <c r="B36" s="338"/>
      <c r="C36" s="338"/>
      <c r="D36" s="353"/>
      <c r="E36" s="354"/>
      <c r="F36" s="355"/>
      <c r="G36" s="43">
        <v>2</v>
      </c>
      <c r="H36" s="43">
        <v>2</v>
      </c>
      <c r="I36" s="269"/>
      <c r="J36" s="260"/>
      <c r="K36" s="269"/>
      <c r="L36" s="260"/>
      <c r="M36" s="339"/>
      <c r="N36" s="340"/>
    </row>
    <row r="37" spans="1:14" ht="15" customHeight="1" thickBot="1" x14ac:dyDescent="0.45">
      <c r="A37" s="416" t="s">
        <v>112</v>
      </c>
      <c r="B37" s="282" t="s">
        <v>52</v>
      </c>
      <c r="C37" s="311" t="s">
        <v>49</v>
      </c>
      <c r="D37" s="367" t="s">
        <v>53</v>
      </c>
      <c r="E37" s="368">
        <v>4</v>
      </c>
      <c r="F37" s="369">
        <v>4</v>
      </c>
      <c r="G37" s="356"/>
      <c r="H37" s="358"/>
      <c r="I37" s="46" t="s">
        <v>54</v>
      </c>
      <c r="J37" s="376"/>
      <c r="K37" s="380"/>
      <c r="L37" s="382"/>
      <c r="M37" s="360">
        <v>12</v>
      </c>
      <c r="N37" s="361"/>
    </row>
    <row r="38" spans="1:14" ht="15" customHeight="1" x14ac:dyDescent="0.4">
      <c r="A38" s="417"/>
      <c r="B38" s="279"/>
      <c r="C38" s="318"/>
      <c r="D38" s="367"/>
      <c r="E38" s="368"/>
      <c r="F38" s="369"/>
      <c r="G38" s="370"/>
      <c r="H38" s="371"/>
      <c r="I38" s="48">
        <v>4</v>
      </c>
      <c r="J38" s="377"/>
      <c r="K38" s="381"/>
      <c r="L38" s="383"/>
      <c r="M38" s="325"/>
      <c r="N38" s="361"/>
    </row>
    <row r="39" spans="1:14" ht="15" customHeight="1" x14ac:dyDescent="0.4">
      <c r="A39" s="417"/>
      <c r="B39" s="318" t="s">
        <v>35</v>
      </c>
      <c r="C39" s="332" t="s">
        <v>49</v>
      </c>
      <c r="D39" s="363" t="s">
        <v>55</v>
      </c>
      <c r="E39" s="349">
        <v>4</v>
      </c>
      <c r="F39" s="365">
        <v>4</v>
      </c>
      <c r="G39" s="372"/>
      <c r="H39" s="374"/>
      <c r="I39" s="244">
        <v>4</v>
      </c>
      <c r="J39" s="378"/>
      <c r="K39" s="384"/>
      <c r="L39" s="386"/>
      <c r="M39" s="325"/>
      <c r="N39" s="361"/>
    </row>
    <row r="40" spans="1:14" ht="15" customHeight="1" thickBot="1" x14ac:dyDescent="0.45">
      <c r="A40" s="417"/>
      <c r="B40" s="319"/>
      <c r="C40" s="319"/>
      <c r="D40" s="364"/>
      <c r="E40" s="350"/>
      <c r="F40" s="366"/>
      <c r="G40" s="373"/>
      <c r="H40" s="375"/>
      <c r="I40" s="225">
        <v>4</v>
      </c>
      <c r="J40" s="379"/>
      <c r="K40" s="385"/>
      <c r="L40" s="387"/>
      <c r="M40" s="326"/>
      <c r="N40" s="362"/>
    </row>
    <row r="41" spans="1:14" ht="27" customHeight="1" thickBot="1" x14ac:dyDescent="0.45">
      <c r="A41" s="417"/>
      <c r="B41" s="234" t="s">
        <v>56</v>
      </c>
      <c r="C41" s="234" t="s">
        <v>47</v>
      </c>
      <c r="D41" s="197" t="s">
        <v>101</v>
      </c>
      <c r="E41" s="170">
        <v>4</v>
      </c>
      <c r="F41" s="199">
        <v>4</v>
      </c>
      <c r="G41" s="210"/>
      <c r="H41" s="44"/>
      <c r="I41" s="53"/>
      <c r="J41" s="46" t="s">
        <v>54</v>
      </c>
      <c r="K41" s="54"/>
      <c r="L41" s="55"/>
      <c r="M41" s="419">
        <f>SUM(G41:L45)</f>
        <v>12</v>
      </c>
      <c r="N41" s="421"/>
    </row>
    <row r="42" spans="1:14" ht="27" customHeight="1" x14ac:dyDescent="0.4">
      <c r="A42" s="417"/>
      <c r="B42" s="236" t="s">
        <v>57</v>
      </c>
      <c r="C42" s="236" t="s">
        <v>49</v>
      </c>
      <c r="D42" s="198" t="s">
        <v>58</v>
      </c>
      <c r="E42" s="171">
        <v>4</v>
      </c>
      <c r="F42" s="200">
        <v>4</v>
      </c>
      <c r="G42" s="16"/>
      <c r="H42" s="17"/>
      <c r="I42" s="56"/>
      <c r="J42" s="57">
        <v>4</v>
      </c>
      <c r="K42" s="58"/>
      <c r="L42" s="59"/>
      <c r="M42" s="419"/>
      <c r="N42" s="361"/>
    </row>
    <row r="43" spans="1:14" ht="27" customHeight="1" x14ac:dyDescent="0.4">
      <c r="A43" s="417"/>
      <c r="B43" s="236" t="s">
        <v>59</v>
      </c>
      <c r="C43" s="236" t="s">
        <v>47</v>
      </c>
      <c r="D43" s="198" t="s">
        <v>102</v>
      </c>
      <c r="E43" s="171">
        <v>4</v>
      </c>
      <c r="F43" s="200">
        <v>4</v>
      </c>
      <c r="G43" s="11"/>
      <c r="H43" s="51"/>
      <c r="I43" s="60"/>
      <c r="J43" s="190">
        <v>4</v>
      </c>
      <c r="K43" s="61"/>
      <c r="L43" s="62"/>
      <c r="M43" s="420"/>
      <c r="N43" s="361"/>
    </row>
    <row r="44" spans="1:14" ht="27" customHeight="1" x14ac:dyDescent="0.4">
      <c r="A44" s="417"/>
      <c r="B44" s="227" t="s">
        <v>52</v>
      </c>
      <c r="C44" s="227" t="s">
        <v>44</v>
      </c>
      <c r="D44" s="201" t="s">
        <v>60</v>
      </c>
      <c r="E44" s="171">
        <v>4</v>
      </c>
      <c r="F44" s="202">
        <v>4</v>
      </c>
      <c r="G44" s="11"/>
      <c r="H44" s="51"/>
      <c r="I44" s="63"/>
      <c r="J44" s="190">
        <v>4</v>
      </c>
      <c r="K44" s="49"/>
      <c r="L44" s="47"/>
      <c r="M44" s="420"/>
      <c r="N44" s="361"/>
    </row>
    <row r="45" spans="1:14" ht="27" customHeight="1" thickBot="1" x14ac:dyDescent="0.45">
      <c r="A45" s="417"/>
      <c r="B45" s="233" t="s">
        <v>35</v>
      </c>
      <c r="C45" s="233" t="s">
        <v>44</v>
      </c>
      <c r="D45" s="118" t="s">
        <v>61</v>
      </c>
      <c r="E45" s="169">
        <v>4</v>
      </c>
      <c r="F45" s="185">
        <v>4</v>
      </c>
      <c r="G45" s="209"/>
      <c r="H45" s="141"/>
      <c r="I45" s="64"/>
      <c r="J45" s="190"/>
      <c r="K45" s="49"/>
      <c r="L45" s="50"/>
      <c r="M45" s="420"/>
      <c r="N45" s="361"/>
    </row>
    <row r="46" spans="1:14" ht="27" customHeight="1" thickBot="1" x14ac:dyDescent="0.45">
      <c r="A46" s="417"/>
      <c r="B46" s="66" t="s">
        <v>62</v>
      </c>
      <c r="C46" s="221" t="s">
        <v>49</v>
      </c>
      <c r="D46" s="67" t="s">
        <v>63</v>
      </c>
      <c r="E46" s="206">
        <v>4</v>
      </c>
      <c r="F46" s="184">
        <v>3</v>
      </c>
      <c r="G46" s="22"/>
      <c r="H46" s="212"/>
      <c r="I46" s="68" t="s">
        <v>64</v>
      </c>
      <c r="J46" s="69"/>
      <c r="K46" s="214"/>
      <c r="L46" s="47"/>
      <c r="M46" s="324">
        <f>SUM(G46:L49)</f>
        <v>6</v>
      </c>
      <c r="N46" s="421"/>
    </row>
    <row r="47" spans="1:14" ht="27" customHeight="1" thickBot="1" x14ac:dyDescent="0.45">
      <c r="A47" s="417"/>
      <c r="B47" s="70" t="s">
        <v>65</v>
      </c>
      <c r="C47" s="233" t="s">
        <v>44</v>
      </c>
      <c r="D47" s="71" t="s">
        <v>66</v>
      </c>
      <c r="E47" s="169">
        <v>4</v>
      </c>
      <c r="F47" s="185">
        <v>3</v>
      </c>
      <c r="G47" s="210"/>
      <c r="H47" s="44"/>
      <c r="I47" s="244">
        <v>3</v>
      </c>
      <c r="J47" s="72"/>
      <c r="K47" s="49"/>
      <c r="L47" s="50"/>
      <c r="M47" s="325"/>
      <c r="N47" s="361"/>
    </row>
    <row r="48" spans="1:14" ht="27" customHeight="1" thickBot="1" x14ac:dyDescent="0.45">
      <c r="A48" s="417"/>
      <c r="B48" s="73" t="s">
        <v>62</v>
      </c>
      <c r="C48" s="221" t="s">
        <v>44</v>
      </c>
      <c r="D48" s="74" t="s">
        <v>67</v>
      </c>
      <c r="E48" s="206">
        <v>4</v>
      </c>
      <c r="F48" s="184">
        <v>3</v>
      </c>
      <c r="G48" s="210"/>
      <c r="H48" s="44"/>
      <c r="I48" s="75"/>
      <c r="J48" s="68" t="s">
        <v>64</v>
      </c>
      <c r="K48" s="214"/>
      <c r="L48" s="47"/>
      <c r="M48" s="325"/>
      <c r="N48" s="361"/>
    </row>
    <row r="49" spans="1:14" ht="27" customHeight="1" thickBot="1" x14ac:dyDescent="0.45">
      <c r="A49" s="417"/>
      <c r="B49" s="76" t="s">
        <v>65</v>
      </c>
      <c r="C49" s="45" t="s">
        <v>44</v>
      </c>
      <c r="D49" s="77" t="s">
        <v>68</v>
      </c>
      <c r="E49" s="172">
        <v>4</v>
      </c>
      <c r="F49" s="186">
        <v>3</v>
      </c>
      <c r="G49" s="16"/>
      <c r="H49" s="17"/>
      <c r="I49" s="244"/>
      <c r="J49" s="225">
        <v>3</v>
      </c>
      <c r="K49" s="78"/>
      <c r="L49" s="79"/>
      <c r="M49" s="339"/>
      <c r="N49" s="424"/>
    </row>
    <row r="50" spans="1:14" ht="27" customHeight="1" thickBot="1" x14ac:dyDescent="0.45">
      <c r="A50" s="417"/>
      <c r="B50" s="388" t="s">
        <v>56</v>
      </c>
      <c r="C50" s="80" t="s">
        <v>49</v>
      </c>
      <c r="D50" s="81" t="s">
        <v>69</v>
      </c>
      <c r="E50" s="168">
        <v>4</v>
      </c>
      <c r="F50" s="187">
        <v>4</v>
      </c>
      <c r="G50" s="6"/>
      <c r="H50" s="7"/>
      <c r="I50" s="82"/>
      <c r="J50" s="83"/>
      <c r="K50" s="84" t="s">
        <v>70</v>
      </c>
      <c r="L50" s="85"/>
      <c r="M50" s="390">
        <f>SUM(G50:L58)</f>
        <v>20</v>
      </c>
      <c r="N50" s="391"/>
    </row>
    <row r="51" spans="1:14" ht="27" customHeight="1" x14ac:dyDescent="0.4">
      <c r="A51" s="417"/>
      <c r="B51" s="389"/>
      <c r="C51" s="86" t="s">
        <v>44</v>
      </c>
      <c r="D51" s="87" t="s">
        <v>71</v>
      </c>
      <c r="E51" s="169">
        <v>4</v>
      </c>
      <c r="F51" s="185">
        <v>4</v>
      </c>
      <c r="G51" s="210"/>
      <c r="H51" s="44"/>
      <c r="I51" s="214"/>
      <c r="J51" s="88"/>
      <c r="K51" s="48">
        <v>4</v>
      </c>
      <c r="L51" s="89"/>
      <c r="M51" s="360"/>
      <c r="N51" s="361"/>
    </row>
    <row r="52" spans="1:14" ht="27" customHeight="1" x14ac:dyDescent="0.4">
      <c r="A52" s="417"/>
      <c r="B52" s="307" t="s">
        <v>57</v>
      </c>
      <c r="C52" s="234" t="s">
        <v>44</v>
      </c>
      <c r="D52" s="90" t="s">
        <v>72</v>
      </c>
      <c r="E52" s="170">
        <v>4</v>
      </c>
      <c r="F52" s="229">
        <v>4</v>
      </c>
      <c r="G52" s="11"/>
      <c r="H52" s="12"/>
      <c r="I52" s="91"/>
      <c r="J52" s="92"/>
      <c r="K52" s="48">
        <v>4</v>
      </c>
      <c r="L52" s="93"/>
      <c r="M52" s="325"/>
      <c r="N52" s="361"/>
    </row>
    <row r="53" spans="1:14" ht="27" customHeight="1" x14ac:dyDescent="0.4">
      <c r="A53" s="417"/>
      <c r="B53" s="389"/>
      <c r="C53" s="94" t="s">
        <v>47</v>
      </c>
      <c r="D53" s="26" t="s">
        <v>73</v>
      </c>
      <c r="E53" s="222">
        <v>4</v>
      </c>
      <c r="F53" s="175">
        <v>4</v>
      </c>
      <c r="G53" s="11"/>
      <c r="H53" s="51"/>
      <c r="I53" s="95"/>
      <c r="J53" s="96"/>
      <c r="K53" s="48">
        <v>4</v>
      </c>
      <c r="L53" s="93"/>
      <c r="M53" s="325"/>
      <c r="N53" s="361"/>
    </row>
    <row r="54" spans="1:14" ht="27" customHeight="1" x14ac:dyDescent="0.4">
      <c r="A54" s="417"/>
      <c r="B54" s="52" t="s">
        <v>59</v>
      </c>
      <c r="C54" s="97" t="s">
        <v>44</v>
      </c>
      <c r="D54" s="98" t="s">
        <v>74</v>
      </c>
      <c r="E54" s="173">
        <v>4</v>
      </c>
      <c r="F54" s="188">
        <v>4</v>
      </c>
      <c r="G54" s="16"/>
      <c r="H54" s="17"/>
      <c r="I54" s="99"/>
      <c r="J54" s="100"/>
      <c r="K54" s="48">
        <v>4</v>
      </c>
      <c r="L54" s="93"/>
      <c r="M54" s="325"/>
      <c r="N54" s="361"/>
    </row>
    <row r="55" spans="1:14" ht="27" customHeight="1" x14ac:dyDescent="0.4">
      <c r="A55" s="417"/>
      <c r="B55" s="307" t="s">
        <v>52</v>
      </c>
      <c r="C55" s="101" t="s">
        <v>44</v>
      </c>
      <c r="D55" s="102" t="s">
        <v>75</v>
      </c>
      <c r="E55" s="170">
        <v>4</v>
      </c>
      <c r="F55" s="181">
        <v>4</v>
      </c>
      <c r="G55" s="11"/>
      <c r="H55" s="51"/>
      <c r="I55" s="99"/>
      <c r="J55" s="100"/>
      <c r="K55" s="48">
        <v>4</v>
      </c>
      <c r="L55" s="93"/>
      <c r="M55" s="325"/>
      <c r="N55" s="361"/>
    </row>
    <row r="56" spans="1:14" ht="27" customHeight="1" x14ac:dyDescent="0.4">
      <c r="A56" s="417"/>
      <c r="B56" s="389"/>
      <c r="C56" s="205" t="s">
        <v>47</v>
      </c>
      <c r="D56" s="87" t="s">
        <v>76</v>
      </c>
      <c r="E56" s="207">
        <v>4</v>
      </c>
      <c r="F56" s="208">
        <v>4</v>
      </c>
      <c r="G56" s="209"/>
      <c r="H56" s="211"/>
      <c r="I56" s="103"/>
      <c r="J56" s="104"/>
      <c r="K56" s="48"/>
      <c r="L56" s="93"/>
      <c r="M56" s="325"/>
      <c r="N56" s="361"/>
    </row>
    <row r="57" spans="1:14" ht="27" customHeight="1" x14ac:dyDescent="0.4">
      <c r="A57" s="417"/>
      <c r="B57" s="307" t="s">
        <v>35</v>
      </c>
      <c r="C57" s="204" t="s">
        <v>44</v>
      </c>
      <c r="D57" s="251" t="s">
        <v>77</v>
      </c>
      <c r="E57" s="206">
        <v>4</v>
      </c>
      <c r="F57" s="181">
        <v>4</v>
      </c>
      <c r="G57" s="105"/>
      <c r="H57" s="106"/>
      <c r="I57" s="103"/>
      <c r="J57" s="104"/>
      <c r="K57" s="48"/>
      <c r="L57" s="93"/>
      <c r="M57" s="325"/>
      <c r="N57" s="361"/>
    </row>
    <row r="58" spans="1:14" ht="27" customHeight="1" thickBot="1" x14ac:dyDescent="0.45">
      <c r="A58" s="417"/>
      <c r="B58" s="392"/>
      <c r="C58" s="107" t="s">
        <v>47</v>
      </c>
      <c r="D58" s="108" t="s">
        <v>78</v>
      </c>
      <c r="E58" s="169">
        <v>4</v>
      </c>
      <c r="F58" s="208">
        <v>4</v>
      </c>
      <c r="G58" s="142"/>
      <c r="H58" s="143"/>
      <c r="I58" s="144"/>
      <c r="J58" s="145"/>
      <c r="K58" s="225"/>
      <c r="L58" s="56"/>
      <c r="M58" s="326"/>
      <c r="N58" s="362"/>
    </row>
    <row r="59" spans="1:14" ht="27" customHeight="1" thickBot="1" x14ac:dyDescent="0.45">
      <c r="A59" s="417"/>
      <c r="B59" s="307" t="s">
        <v>56</v>
      </c>
      <c r="C59" s="234" t="s">
        <v>44</v>
      </c>
      <c r="D59" s="90" t="s">
        <v>79</v>
      </c>
      <c r="E59" s="228">
        <v>4</v>
      </c>
      <c r="F59" s="183">
        <v>4</v>
      </c>
      <c r="G59" s="210"/>
      <c r="H59" s="212"/>
      <c r="I59" s="214"/>
      <c r="J59" s="215"/>
      <c r="K59" s="109"/>
      <c r="L59" s="110" t="s">
        <v>70</v>
      </c>
      <c r="M59" s="324">
        <f>SUM(G59:L65)</f>
        <v>20</v>
      </c>
      <c r="N59" s="421"/>
    </row>
    <row r="60" spans="1:14" ht="27" customHeight="1" x14ac:dyDescent="0.4">
      <c r="A60" s="417"/>
      <c r="B60" s="392"/>
      <c r="C60" s="237" t="s">
        <v>47</v>
      </c>
      <c r="D60" s="27" t="s">
        <v>80</v>
      </c>
      <c r="E60" s="169">
        <v>4</v>
      </c>
      <c r="F60" s="182">
        <v>4</v>
      </c>
      <c r="G60" s="210"/>
      <c r="H60" s="12"/>
      <c r="I60" s="214"/>
      <c r="J60" s="64"/>
      <c r="K60" s="111"/>
      <c r="L60" s="112">
        <v>4</v>
      </c>
      <c r="M60" s="360"/>
      <c r="N60" s="361"/>
    </row>
    <row r="61" spans="1:14" ht="27" customHeight="1" x14ac:dyDescent="0.4">
      <c r="A61" s="417"/>
      <c r="B61" s="252" t="s">
        <v>57</v>
      </c>
      <c r="C61" s="237" t="s">
        <v>47</v>
      </c>
      <c r="D61" s="191" t="s">
        <v>110</v>
      </c>
      <c r="E61" s="207">
        <v>4</v>
      </c>
      <c r="F61" s="189">
        <v>4</v>
      </c>
      <c r="G61" s="11"/>
      <c r="H61" s="12"/>
      <c r="I61" s="49"/>
      <c r="J61" s="92"/>
      <c r="K61" s="93"/>
      <c r="L61" s="48">
        <v>4</v>
      </c>
      <c r="M61" s="360"/>
      <c r="N61" s="361"/>
    </row>
    <row r="62" spans="1:14" ht="27" customHeight="1" x14ac:dyDescent="0.4">
      <c r="A62" s="417"/>
      <c r="B62" s="52" t="s">
        <v>59</v>
      </c>
      <c r="C62" s="113" t="s">
        <v>44</v>
      </c>
      <c r="D62" s="114" t="s">
        <v>81</v>
      </c>
      <c r="E62" s="207">
        <v>4</v>
      </c>
      <c r="F62" s="188">
        <v>4</v>
      </c>
      <c r="G62" s="11"/>
      <c r="H62" s="51"/>
      <c r="I62" s="49"/>
      <c r="J62" s="100"/>
      <c r="K62" s="93"/>
      <c r="L62" s="48">
        <v>4</v>
      </c>
      <c r="M62" s="360"/>
      <c r="N62" s="361"/>
    </row>
    <row r="63" spans="1:14" ht="16.95" customHeight="1" x14ac:dyDescent="0.4">
      <c r="A63" s="417"/>
      <c r="B63" s="307" t="s">
        <v>52</v>
      </c>
      <c r="C63" s="422" t="s">
        <v>47</v>
      </c>
      <c r="D63" s="423" t="s">
        <v>82</v>
      </c>
      <c r="E63" s="343">
        <v>4</v>
      </c>
      <c r="F63" s="345">
        <v>4</v>
      </c>
      <c r="G63" s="372"/>
      <c r="H63" s="374"/>
      <c r="I63" s="384"/>
      <c r="J63" s="393"/>
      <c r="K63" s="395"/>
      <c r="L63" s="48">
        <v>4</v>
      </c>
      <c r="M63" s="360"/>
      <c r="N63" s="361"/>
    </row>
    <row r="64" spans="1:14" ht="16.95" customHeight="1" x14ac:dyDescent="0.4">
      <c r="A64" s="417"/>
      <c r="B64" s="389"/>
      <c r="C64" s="328"/>
      <c r="D64" s="367"/>
      <c r="E64" s="350"/>
      <c r="F64" s="352"/>
      <c r="G64" s="370"/>
      <c r="H64" s="371"/>
      <c r="I64" s="381"/>
      <c r="J64" s="394"/>
      <c r="K64" s="396"/>
      <c r="L64" s="116"/>
      <c r="M64" s="360"/>
      <c r="N64" s="361"/>
    </row>
    <row r="65" spans="1:14" ht="27" customHeight="1" x14ac:dyDescent="0.4">
      <c r="A65" s="417"/>
      <c r="B65" s="307" t="s">
        <v>35</v>
      </c>
      <c r="C65" s="101" t="s">
        <v>44</v>
      </c>
      <c r="D65" s="117" t="s">
        <v>83</v>
      </c>
      <c r="E65" s="228">
        <v>4</v>
      </c>
      <c r="F65" s="229">
        <v>4</v>
      </c>
      <c r="G65" s="16"/>
      <c r="H65" s="212"/>
      <c r="I65" s="213"/>
      <c r="J65" s="100"/>
      <c r="K65" s="56"/>
      <c r="L65" s="48">
        <v>4</v>
      </c>
      <c r="M65" s="360"/>
      <c r="N65" s="361"/>
    </row>
    <row r="66" spans="1:14" ht="27" customHeight="1" thickBot="1" x14ac:dyDescent="0.45">
      <c r="A66" s="417"/>
      <c r="B66" s="392"/>
      <c r="C66" s="107" t="s">
        <v>47</v>
      </c>
      <c r="D66" s="118" t="s">
        <v>78</v>
      </c>
      <c r="E66" s="169">
        <v>4</v>
      </c>
      <c r="F66" s="175">
        <v>4</v>
      </c>
      <c r="G66" s="32"/>
      <c r="H66" s="141"/>
      <c r="I66" s="140"/>
      <c r="J66" s="145"/>
      <c r="K66" s="115"/>
      <c r="L66" s="225"/>
      <c r="M66" s="284"/>
      <c r="N66" s="362"/>
    </row>
    <row r="67" spans="1:14" ht="27" customHeight="1" thickBot="1" x14ac:dyDescent="0.45">
      <c r="A67" s="417"/>
      <c r="B67" s="66" t="s">
        <v>84</v>
      </c>
      <c r="C67" s="221" t="s">
        <v>47</v>
      </c>
      <c r="D67" s="119" t="s">
        <v>85</v>
      </c>
      <c r="E67" s="228">
        <v>4</v>
      </c>
      <c r="F67" s="181">
        <v>4</v>
      </c>
      <c r="G67" s="16"/>
      <c r="H67" s="212"/>
      <c r="I67" s="65"/>
      <c r="J67" s="146"/>
      <c r="K67" s="68" t="s">
        <v>64</v>
      </c>
      <c r="L67" s="120"/>
      <c r="M67" s="324">
        <f>SUM(G67:L70)</f>
        <v>8</v>
      </c>
      <c r="N67" s="361"/>
    </row>
    <row r="68" spans="1:14" ht="27" customHeight="1" thickBot="1" x14ac:dyDescent="0.45">
      <c r="A68" s="417"/>
      <c r="B68" s="121" t="s">
        <v>65</v>
      </c>
      <c r="C68" s="233" t="s">
        <v>44</v>
      </c>
      <c r="D68" s="30" t="s">
        <v>86</v>
      </c>
      <c r="E68" s="169">
        <v>4</v>
      </c>
      <c r="F68" s="182">
        <v>4</v>
      </c>
      <c r="G68" s="209"/>
      <c r="H68" s="211"/>
      <c r="I68" s="213"/>
      <c r="J68" s="100"/>
      <c r="K68" s="122">
        <v>4</v>
      </c>
      <c r="L68" s="123"/>
      <c r="M68" s="360"/>
      <c r="N68" s="361"/>
    </row>
    <row r="69" spans="1:14" ht="27" customHeight="1" thickBot="1" x14ac:dyDescent="0.45">
      <c r="A69" s="417"/>
      <c r="B69" s="73" t="s">
        <v>84</v>
      </c>
      <c r="C69" s="226" t="s">
        <v>44</v>
      </c>
      <c r="D69" s="119" t="s">
        <v>103</v>
      </c>
      <c r="E69" s="228">
        <v>4</v>
      </c>
      <c r="F69" s="183">
        <v>4</v>
      </c>
      <c r="G69" s="11"/>
      <c r="H69" s="51"/>
      <c r="I69" s="213"/>
      <c r="J69" s="100"/>
      <c r="K69" s="123"/>
      <c r="L69" s="68" t="s">
        <v>64</v>
      </c>
      <c r="M69" s="360"/>
      <c r="N69" s="361"/>
    </row>
    <row r="70" spans="1:14" ht="27" customHeight="1" thickBot="1" x14ac:dyDescent="0.45">
      <c r="A70" s="417"/>
      <c r="B70" s="139" t="s">
        <v>65</v>
      </c>
      <c r="C70" s="233" t="s">
        <v>47</v>
      </c>
      <c r="D70" s="30" t="s">
        <v>87</v>
      </c>
      <c r="E70" s="169">
        <v>4</v>
      </c>
      <c r="F70" s="177">
        <v>4</v>
      </c>
      <c r="G70" s="142"/>
      <c r="H70" s="143"/>
      <c r="I70" s="144"/>
      <c r="J70" s="147"/>
      <c r="K70" s="224"/>
      <c r="L70" s="122">
        <v>4</v>
      </c>
      <c r="M70" s="284"/>
      <c r="N70" s="362"/>
    </row>
    <row r="71" spans="1:14" ht="27" customHeight="1" thickTop="1" x14ac:dyDescent="0.4">
      <c r="A71" s="417"/>
      <c r="B71" s="194" t="s">
        <v>52</v>
      </c>
      <c r="C71" s="192" t="s">
        <v>44</v>
      </c>
      <c r="D71" s="148" t="s">
        <v>93</v>
      </c>
      <c r="E71" s="149">
        <v>4</v>
      </c>
      <c r="F71" s="150">
        <v>3</v>
      </c>
      <c r="G71" s="408" t="s">
        <v>94</v>
      </c>
      <c r="H71" s="409"/>
      <c r="I71" s="409"/>
      <c r="J71" s="409"/>
      <c r="K71" s="409"/>
      <c r="L71" s="410"/>
      <c r="M71" s="151">
        <v>3</v>
      </c>
      <c r="N71" s="245"/>
    </row>
    <row r="72" spans="1:14" ht="27" customHeight="1" x14ac:dyDescent="0.4">
      <c r="A72" s="417"/>
      <c r="B72" s="195" t="s">
        <v>35</v>
      </c>
      <c r="C72" s="113" t="s">
        <v>47</v>
      </c>
      <c r="D72" s="152" t="s">
        <v>104</v>
      </c>
      <c r="E72" s="153">
        <v>4</v>
      </c>
      <c r="F72" s="154">
        <v>3</v>
      </c>
      <c r="G72" s="397" t="s">
        <v>113</v>
      </c>
      <c r="H72" s="411"/>
      <c r="I72" s="411"/>
      <c r="J72" s="411"/>
      <c r="K72" s="411"/>
      <c r="L72" s="412"/>
      <c r="M72" s="155">
        <v>3</v>
      </c>
      <c r="N72" s="246"/>
    </row>
    <row r="73" spans="1:14" ht="27" customHeight="1" x14ac:dyDescent="0.4">
      <c r="A73" s="417"/>
      <c r="B73" s="196" t="s">
        <v>96</v>
      </c>
      <c r="C73" s="221" t="s">
        <v>95</v>
      </c>
      <c r="D73" s="156" t="s">
        <v>97</v>
      </c>
      <c r="E73" s="157">
        <v>3</v>
      </c>
      <c r="F73" s="158">
        <v>2</v>
      </c>
      <c r="G73" s="397" t="s">
        <v>98</v>
      </c>
      <c r="H73" s="398"/>
      <c r="I73" s="398"/>
      <c r="J73" s="398"/>
      <c r="K73" s="398"/>
      <c r="L73" s="399"/>
      <c r="M73" s="159">
        <v>2</v>
      </c>
      <c r="N73" s="246"/>
    </row>
    <row r="74" spans="1:14" ht="26.4" customHeight="1" x14ac:dyDescent="0.4">
      <c r="A74" s="417"/>
      <c r="B74" s="311" t="s">
        <v>19</v>
      </c>
      <c r="C74" s="253" t="s">
        <v>114</v>
      </c>
      <c r="D74" s="156" t="s">
        <v>115</v>
      </c>
      <c r="E74" s="157">
        <v>4</v>
      </c>
      <c r="F74" s="158">
        <v>3</v>
      </c>
      <c r="G74" s="397" t="s">
        <v>116</v>
      </c>
      <c r="H74" s="398"/>
      <c r="I74" s="398"/>
      <c r="J74" s="398"/>
      <c r="K74" s="398"/>
      <c r="L74" s="399"/>
      <c r="M74" s="159">
        <v>3</v>
      </c>
      <c r="N74" s="255"/>
    </row>
    <row r="75" spans="1:14" ht="27" customHeight="1" thickBot="1" x14ac:dyDescent="0.45">
      <c r="A75" s="418"/>
      <c r="B75" s="400"/>
      <c r="C75" s="193" t="s">
        <v>44</v>
      </c>
      <c r="D75" s="165" t="s">
        <v>105</v>
      </c>
      <c r="E75" s="166">
        <v>4</v>
      </c>
      <c r="F75" s="167">
        <v>3</v>
      </c>
      <c r="G75" s="413" t="s">
        <v>99</v>
      </c>
      <c r="H75" s="414"/>
      <c r="I75" s="414"/>
      <c r="J75" s="414"/>
      <c r="K75" s="414"/>
      <c r="L75" s="415"/>
      <c r="M75" s="164">
        <v>3</v>
      </c>
      <c r="N75" s="247"/>
    </row>
    <row r="76" spans="1:14" ht="21.6" thickTop="1" x14ac:dyDescent="0.4">
      <c r="A76" s="403" t="s">
        <v>88</v>
      </c>
      <c r="B76" s="404"/>
      <c r="C76" s="404"/>
      <c r="D76" s="404"/>
      <c r="E76" s="404"/>
      <c r="F76" s="405"/>
      <c r="G76" s="160">
        <f t="shared" ref="G76:L76" si="1">SUM(G5:G70)</f>
        <v>30</v>
      </c>
      <c r="H76" s="124">
        <f t="shared" si="1"/>
        <v>30</v>
      </c>
      <c r="I76" s="160">
        <f t="shared" si="1"/>
        <v>31</v>
      </c>
      <c r="J76" s="124">
        <f t="shared" si="1"/>
        <v>31</v>
      </c>
      <c r="K76" s="160">
        <f t="shared" si="1"/>
        <v>26</v>
      </c>
      <c r="L76" s="125">
        <f t="shared" si="1"/>
        <v>26</v>
      </c>
      <c r="M76" s="163">
        <f>SUM(G76:L76)</f>
        <v>174</v>
      </c>
      <c r="N76" s="248"/>
    </row>
    <row r="77" spans="1:14" ht="21" x14ac:dyDescent="0.4">
      <c r="A77" s="406" t="s">
        <v>89</v>
      </c>
      <c r="B77" s="407"/>
      <c r="C77" s="407"/>
      <c r="D77" s="407"/>
      <c r="E77" s="407"/>
      <c r="F77" s="407"/>
      <c r="G77" s="126">
        <v>3</v>
      </c>
      <c r="H77" s="124">
        <v>3</v>
      </c>
      <c r="I77" s="127">
        <v>3</v>
      </c>
      <c r="J77" s="124">
        <v>3</v>
      </c>
      <c r="K77" s="127">
        <v>3</v>
      </c>
      <c r="L77" s="125">
        <v>3</v>
      </c>
      <c r="M77" s="161">
        <f t="shared" ref="M77" si="2">SUM(G77:L77)</f>
        <v>18</v>
      </c>
      <c r="N77" s="249"/>
    </row>
    <row r="78" spans="1:14" ht="21.6" thickBot="1" x14ac:dyDescent="0.45">
      <c r="A78" s="401" t="s">
        <v>90</v>
      </c>
      <c r="B78" s="402"/>
      <c r="C78" s="402"/>
      <c r="D78" s="402"/>
      <c r="E78" s="402"/>
      <c r="F78" s="402"/>
      <c r="G78" s="135">
        <f>SUM(G76:G77)</f>
        <v>33</v>
      </c>
      <c r="H78" s="136">
        <f t="shared" ref="H78:K78" si="3">SUM(H76:H77)</f>
        <v>33</v>
      </c>
      <c r="I78" s="137">
        <f t="shared" si="3"/>
        <v>34</v>
      </c>
      <c r="J78" s="136">
        <f t="shared" si="3"/>
        <v>34</v>
      </c>
      <c r="K78" s="137">
        <f t="shared" si="3"/>
        <v>29</v>
      </c>
      <c r="L78" s="138">
        <f>SUM(L76:L77)</f>
        <v>29</v>
      </c>
      <c r="M78" s="162">
        <f>SUM(G78:L78)</f>
        <v>192</v>
      </c>
      <c r="N78" s="250"/>
    </row>
    <row r="79" spans="1:14" ht="130.05000000000001" customHeight="1" thickBot="1" x14ac:dyDescent="0.45">
      <c r="A79" s="271" t="s">
        <v>100</v>
      </c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3"/>
    </row>
  </sheetData>
  <mergeCells count="132">
    <mergeCell ref="G74:L74"/>
    <mergeCell ref="B74:B75"/>
    <mergeCell ref="M67:M70"/>
    <mergeCell ref="N67:N70"/>
    <mergeCell ref="A78:F78"/>
    <mergeCell ref="A76:F76"/>
    <mergeCell ref="A77:F77"/>
    <mergeCell ref="G71:L71"/>
    <mergeCell ref="G72:L72"/>
    <mergeCell ref="G75:L75"/>
    <mergeCell ref="G73:L73"/>
    <mergeCell ref="A37:A75"/>
    <mergeCell ref="M41:M45"/>
    <mergeCell ref="N41:N45"/>
    <mergeCell ref="M59:M66"/>
    <mergeCell ref="N59:N66"/>
    <mergeCell ref="B63:B64"/>
    <mergeCell ref="C63:C64"/>
    <mergeCell ref="D63:D64"/>
    <mergeCell ref="E63:E64"/>
    <mergeCell ref="F63:F64"/>
    <mergeCell ref="B65:B66"/>
    <mergeCell ref="M46:M49"/>
    <mergeCell ref="N46:N49"/>
    <mergeCell ref="B50:B51"/>
    <mergeCell ref="M50:M58"/>
    <mergeCell ref="N50:N58"/>
    <mergeCell ref="B52:B53"/>
    <mergeCell ref="B55:B56"/>
    <mergeCell ref="B57:B58"/>
    <mergeCell ref="B59:B60"/>
    <mergeCell ref="G63:G64"/>
    <mergeCell ref="H63:H64"/>
    <mergeCell ref="I63:I64"/>
    <mergeCell ref="J63:J64"/>
    <mergeCell ref="K63:K64"/>
    <mergeCell ref="M37:M40"/>
    <mergeCell ref="N37:N40"/>
    <mergeCell ref="B39:B40"/>
    <mergeCell ref="C39:C40"/>
    <mergeCell ref="D39:D40"/>
    <mergeCell ref="E39:E40"/>
    <mergeCell ref="F39:F40"/>
    <mergeCell ref="B37:B38"/>
    <mergeCell ref="C37:C38"/>
    <mergeCell ref="D37:D38"/>
    <mergeCell ref="E37:E38"/>
    <mergeCell ref="F37:F38"/>
    <mergeCell ref="G37:G38"/>
    <mergeCell ref="H37:H38"/>
    <mergeCell ref="G39:G40"/>
    <mergeCell ref="H39:H40"/>
    <mergeCell ref="J37:J38"/>
    <mergeCell ref="J39:J40"/>
    <mergeCell ref="K37:K38"/>
    <mergeCell ref="L37:L38"/>
    <mergeCell ref="K39:K40"/>
    <mergeCell ref="L39:L40"/>
    <mergeCell ref="B31:B34"/>
    <mergeCell ref="G31:H31"/>
    <mergeCell ref="M31:M34"/>
    <mergeCell ref="N31:N34"/>
    <mergeCell ref="I33:J33"/>
    <mergeCell ref="B35:B36"/>
    <mergeCell ref="G35:H35"/>
    <mergeCell ref="M35:M36"/>
    <mergeCell ref="N35:N36"/>
    <mergeCell ref="C31:C32"/>
    <mergeCell ref="D31:D32"/>
    <mergeCell ref="E31:E32"/>
    <mergeCell ref="F31:F32"/>
    <mergeCell ref="C33:C34"/>
    <mergeCell ref="D33:D34"/>
    <mergeCell ref="E33:E34"/>
    <mergeCell ref="F33:F34"/>
    <mergeCell ref="C35:C36"/>
    <mergeCell ref="D35:D36"/>
    <mergeCell ref="E35:E36"/>
    <mergeCell ref="F35:F36"/>
    <mergeCell ref="G33:G34"/>
    <mergeCell ref="H33:H34"/>
    <mergeCell ref="I31:I32"/>
    <mergeCell ref="B21:B24"/>
    <mergeCell ref="C21:C24"/>
    <mergeCell ref="M21:M24"/>
    <mergeCell ref="N21:N24"/>
    <mergeCell ref="B25:B30"/>
    <mergeCell ref="M25:M30"/>
    <mergeCell ref="N25:N30"/>
    <mergeCell ref="B17:B18"/>
    <mergeCell ref="C17:C18"/>
    <mergeCell ref="M17:M18"/>
    <mergeCell ref="N17:N18"/>
    <mergeCell ref="B19:B20"/>
    <mergeCell ref="C19:C20"/>
    <mergeCell ref="M19:M20"/>
    <mergeCell ref="N19:N20"/>
    <mergeCell ref="A79:N79"/>
    <mergeCell ref="A5:A36"/>
    <mergeCell ref="B5:B8"/>
    <mergeCell ref="C5:C6"/>
    <mergeCell ref="M5:M8"/>
    <mergeCell ref="N5:N8"/>
    <mergeCell ref="A1:N1"/>
    <mergeCell ref="A3:A4"/>
    <mergeCell ref="B3:B4"/>
    <mergeCell ref="C3:D4"/>
    <mergeCell ref="E3:E4"/>
    <mergeCell ref="F3:F4"/>
    <mergeCell ref="B9:B12"/>
    <mergeCell ref="C9:C10"/>
    <mergeCell ref="M9:M12"/>
    <mergeCell ref="N9:N12"/>
    <mergeCell ref="B13:B16"/>
    <mergeCell ref="C13:C14"/>
    <mergeCell ref="M13:M16"/>
    <mergeCell ref="N13:N16"/>
    <mergeCell ref="G3:H3"/>
    <mergeCell ref="I3:J3"/>
    <mergeCell ref="K3:L3"/>
    <mergeCell ref="M3:M4"/>
    <mergeCell ref="G2:N2"/>
    <mergeCell ref="J31:J32"/>
    <mergeCell ref="K31:K32"/>
    <mergeCell ref="L31:L32"/>
    <mergeCell ref="K33:K34"/>
    <mergeCell ref="L33:L34"/>
    <mergeCell ref="I35:I36"/>
    <mergeCell ref="J35:J36"/>
    <mergeCell ref="K35:K36"/>
    <mergeCell ref="L35:L36"/>
    <mergeCell ref="N3:N4"/>
  </mergeCells>
  <phoneticPr fontId="2" type="noConversion"/>
  <printOptions horizontalCentered="1"/>
  <pageMargins left="0.23622047244094491" right="0.23622047244094491" top="0.74803149606299213" bottom="0.74803149606299213" header="0.31496062992125984" footer="0.31496062992125984"/>
  <pageSetup paperSize="12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신입생 3개년 교육과정편제표(최종)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2025-10-14T00:52:16Z</cp:lastPrinted>
  <dcterms:created xsi:type="dcterms:W3CDTF">2024-09-12T02:26:50Z</dcterms:created>
  <dcterms:modified xsi:type="dcterms:W3CDTF">2025-12-30T04:40:56Z</dcterms:modified>
</cp:coreProperties>
</file>