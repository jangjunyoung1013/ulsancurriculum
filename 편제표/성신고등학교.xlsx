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ngshin\Desktop\성신고\2025년\2025년 교육과정부 업무\2025학년도 교육과정 운영\2025학년도 편제표\2026학년도 신입생 3개년 편제표\"/>
    </mc:Choice>
  </mc:AlternateContent>
  <bookViews>
    <workbookView xWindow="-24132" yWindow="-132" windowWidth="24276" windowHeight="13176"/>
  </bookViews>
  <sheets>
    <sheet name="2026학년도 신입생 3개년 편제표" sheetId="4" r:id="rId1"/>
  </sheets>
  <definedNames>
    <definedName name="_xlnm.Print_Area" localSheetId="0">'2026학년도 신입생 3개년 편제표'!$A$1:$N$89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2" i="4" l="1"/>
  <c r="M62" i="4"/>
  <c r="M64" i="4"/>
  <c r="M55" i="4"/>
  <c r="M83" i="4" l="1"/>
  <c r="L82" i="4"/>
  <c r="K82" i="4"/>
  <c r="N82" i="4"/>
  <c r="J82" i="4"/>
  <c r="H82" i="4"/>
  <c r="M29" i="4"/>
  <c r="M25" i="4"/>
  <c r="M19" i="4"/>
  <c r="M15" i="4"/>
  <c r="M13" i="4"/>
  <c r="M11" i="4"/>
  <c r="M9" i="4"/>
  <c r="M7" i="4"/>
  <c r="M5" i="4"/>
  <c r="G82" i="4"/>
  <c r="M82" i="4" l="1"/>
  <c r="L84" i="4" l="1"/>
  <c r="K84" i="4"/>
  <c r="J84" i="4"/>
  <c r="I84" i="4"/>
  <c r="H84" i="4"/>
  <c r="G84" i="4"/>
  <c r="M84" i="4" l="1"/>
</calcChain>
</file>

<file path=xl/sharedStrings.xml><?xml version="1.0" encoding="utf-8"?>
<sst xmlns="http://schemas.openxmlformats.org/spreadsheetml/2006/main" count="233" uniqueCount="157">
  <si>
    <t>구분</t>
    <phoneticPr fontId="2" type="noConversion"/>
  </si>
  <si>
    <t>교과
(군)</t>
    <phoneticPr fontId="2" type="noConversion"/>
  </si>
  <si>
    <t>세부과목</t>
  </si>
  <si>
    <t>1학년</t>
    <phoneticPr fontId="2" type="noConversion"/>
  </si>
  <si>
    <t>2학년</t>
  </si>
  <si>
    <t>3학년</t>
  </si>
  <si>
    <t>1학기</t>
  </si>
  <si>
    <t>2학기</t>
  </si>
  <si>
    <t>학
교
지
정
교
육
과
정</t>
    <phoneticPr fontId="2" type="noConversion"/>
  </si>
  <si>
    <t>국어</t>
  </si>
  <si>
    <t>공통</t>
    <phoneticPr fontId="2" type="noConversion"/>
  </si>
  <si>
    <t>국어</t>
    <phoneticPr fontId="2" type="noConversion"/>
  </si>
  <si>
    <t>일반</t>
    <phoneticPr fontId="2" type="noConversion"/>
  </si>
  <si>
    <t>수학</t>
  </si>
  <si>
    <t>수학</t>
    <phoneticPr fontId="2" type="noConversion"/>
  </si>
  <si>
    <t>영어</t>
  </si>
  <si>
    <t>영어</t>
    <phoneticPr fontId="2" type="noConversion"/>
  </si>
  <si>
    <t>사회</t>
  </si>
  <si>
    <t>과학</t>
    <phoneticPr fontId="2" type="noConversion"/>
  </si>
  <si>
    <t>체육</t>
  </si>
  <si>
    <t>진로</t>
    <phoneticPr fontId="2" type="noConversion"/>
  </si>
  <si>
    <t>예술</t>
    <phoneticPr fontId="2" type="noConversion"/>
  </si>
  <si>
    <t>음악</t>
    <phoneticPr fontId="2" type="noConversion"/>
  </si>
  <si>
    <t>미술</t>
    <phoneticPr fontId="2" type="noConversion"/>
  </si>
  <si>
    <t>교양</t>
    <phoneticPr fontId="2" type="noConversion"/>
  </si>
  <si>
    <t>창의적 체험활동</t>
  </si>
  <si>
    <t>제2외국어/한문</t>
    <phoneticPr fontId="2" type="noConversion"/>
  </si>
  <si>
    <t>공통국어1</t>
    <phoneticPr fontId="2" type="noConversion"/>
  </si>
  <si>
    <t>공통수학1</t>
    <phoneticPr fontId="2" type="noConversion"/>
  </si>
  <si>
    <t>공통수학2</t>
    <phoneticPr fontId="2" type="noConversion"/>
  </si>
  <si>
    <t>공통영어1</t>
    <phoneticPr fontId="2" type="noConversion"/>
  </si>
  <si>
    <t>공통영어2</t>
    <phoneticPr fontId="2" type="noConversion"/>
  </si>
  <si>
    <t>한국사1</t>
    <phoneticPr fontId="2" type="noConversion"/>
  </si>
  <si>
    <t>한국사2</t>
    <phoneticPr fontId="2" type="noConversion"/>
  </si>
  <si>
    <t>통합사회1</t>
    <phoneticPr fontId="2" type="noConversion"/>
  </si>
  <si>
    <t>통합사회2</t>
    <phoneticPr fontId="2" type="noConversion"/>
  </si>
  <si>
    <t>체육1</t>
    <phoneticPr fontId="2" type="noConversion"/>
  </si>
  <si>
    <t>체육2</t>
    <phoneticPr fontId="2" type="noConversion"/>
  </si>
  <si>
    <t>스포츠 생활1</t>
    <phoneticPr fontId="2" type="noConversion"/>
  </si>
  <si>
    <t>융합</t>
    <phoneticPr fontId="2" type="noConversion"/>
  </si>
  <si>
    <t>스포츠 문화</t>
    <phoneticPr fontId="2" type="noConversion"/>
  </si>
  <si>
    <t>미술 창작</t>
    <phoneticPr fontId="2" type="noConversion"/>
  </si>
  <si>
    <t>화법과 언어</t>
    <phoneticPr fontId="2" type="noConversion"/>
  </si>
  <si>
    <t>기준
학점</t>
    <phoneticPr fontId="2" type="noConversion"/>
  </si>
  <si>
    <t>운영학점</t>
    <phoneticPr fontId="2" type="noConversion"/>
  </si>
  <si>
    <t>이수 
학점</t>
    <phoneticPr fontId="2" type="noConversion"/>
  </si>
  <si>
    <t>필수
이수
학점</t>
    <phoneticPr fontId="2" type="noConversion"/>
  </si>
  <si>
    <t>일반</t>
  </si>
  <si>
    <t>운동과 건강</t>
    <phoneticPr fontId="2" type="noConversion"/>
  </si>
  <si>
    <t>학
생
선
택
교
육
과
정</t>
    <phoneticPr fontId="2" type="noConversion"/>
  </si>
  <si>
    <t>사 회</t>
  </si>
  <si>
    <t>과 학</t>
  </si>
  <si>
    <t>진로</t>
  </si>
  <si>
    <t>이수학점 소계</t>
    <phoneticPr fontId="2" type="noConversion"/>
  </si>
  <si>
    <t>학기별 총 이수 학점</t>
    <phoneticPr fontId="2" type="noConversion"/>
  </si>
  <si>
    <t>언어생활과 한자</t>
    <phoneticPr fontId="2" type="noConversion"/>
  </si>
  <si>
    <t xml:space="preserve"> </t>
    <phoneticPr fontId="2" type="noConversion"/>
  </si>
  <si>
    <t>영어Ⅰ</t>
    <phoneticPr fontId="2" type="noConversion"/>
  </si>
  <si>
    <t>영어 독해와 작문</t>
    <phoneticPr fontId="2" type="noConversion"/>
  </si>
  <si>
    <t>음악 연주와 창작</t>
    <phoneticPr fontId="2" type="noConversion"/>
  </si>
  <si>
    <t>영미 문학 읽기</t>
    <phoneticPr fontId="2" type="noConversion"/>
  </si>
  <si>
    <t>사회</t>
    <phoneticPr fontId="2" type="noConversion"/>
  </si>
  <si>
    <t>문학</t>
  </si>
  <si>
    <t>매체 의사소통, 언어생활 탐구</t>
    <phoneticPr fontId="2" type="noConversion"/>
  </si>
  <si>
    <t>진로와 직업</t>
    <phoneticPr fontId="2" type="noConversion"/>
  </si>
  <si>
    <t>진로</t>
    <phoneticPr fontId="2" type="noConversion"/>
  </si>
  <si>
    <t>일반</t>
    <phoneticPr fontId="2" type="noConversion"/>
  </si>
  <si>
    <t>진로</t>
    <phoneticPr fontId="2" type="noConversion"/>
  </si>
  <si>
    <t>독서와 작문</t>
    <phoneticPr fontId="2" type="noConversion"/>
  </si>
  <si>
    <t>영어Ⅱ</t>
    <phoneticPr fontId="2" type="noConversion"/>
  </si>
  <si>
    <t>스포츠 과학</t>
    <phoneticPr fontId="2" type="noConversion"/>
  </si>
  <si>
    <t>택1</t>
    <phoneticPr fontId="2" type="noConversion"/>
  </si>
  <si>
    <t>일본어 회화, 중국어 회화</t>
    <phoneticPr fontId="2" type="noConversion"/>
  </si>
  <si>
    <t>논리와 사고</t>
    <phoneticPr fontId="2" type="noConversion"/>
  </si>
  <si>
    <t>인간과 철학</t>
    <phoneticPr fontId="2" type="noConversion"/>
  </si>
  <si>
    <t>융합</t>
    <phoneticPr fontId="2" type="noConversion"/>
  </si>
  <si>
    <t>교양</t>
    <phoneticPr fontId="2" type="noConversion"/>
  </si>
  <si>
    <t>일반</t>
    <phoneticPr fontId="2" type="noConversion"/>
  </si>
  <si>
    <t>교양</t>
    <phoneticPr fontId="2" type="noConversion"/>
  </si>
  <si>
    <t>문학과 영상</t>
    <phoneticPr fontId="2" type="noConversion"/>
  </si>
  <si>
    <t>대수, 미적분Ⅰ</t>
    <phoneticPr fontId="2" type="noConversion"/>
  </si>
  <si>
    <t>주제 탐구 독서</t>
    <phoneticPr fontId="2" type="noConversion"/>
  </si>
  <si>
    <t>확률과 통계</t>
    <phoneticPr fontId="2" type="noConversion"/>
  </si>
  <si>
    <t>세계 문화와 영어</t>
    <phoneticPr fontId="2" type="noConversion"/>
  </si>
  <si>
    <t>수학</t>
    <phoneticPr fontId="2" type="noConversion"/>
  </si>
  <si>
    <t>영어</t>
    <phoneticPr fontId="2" type="noConversion"/>
  </si>
  <si>
    <t>일반</t>
    <phoneticPr fontId="2" type="noConversion"/>
  </si>
  <si>
    <t>진로</t>
    <phoneticPr fontId="2" type="noConversion"/>
  </si>
  <si>
    <t>심화 영어 독해와 작문</t>
    <phoneticPr fontId="2" type="noConversion"/>
  </si>
  <si>
    <t>진로</t>
    <phoneticPr fontId="2" type="noConversion"/>
  </si>
  <si>
    <t>국어</t>
    <phoneticPr fontId="2" type="noConversion"/>
  </si>
  <si>
    <t>심화 영어</t>
    <phoneticPr fontId="2" type="noConversion"/>
  </si>
  <si>
    <t>진로</t>
    <phoneticPr fontId="2" type="noConversion"/>
  </si>
  <si>
    <t>융합</t>
    <phoneticPr fontId="2" type="noConversion"/>
  </si>
  <si>
    <t>택5</t>
    <phoneticPr fontId="2" type="noConversion"/>
  </si>
  <si>
    <t>생태와 환경</t>
    <phoneticPr fontId="2" type="noConversion"/>
  </si>
  <si>
    <t>진로</t>
    <phoneticPr fontId="2" type="noConversion"/>
  </si>
  <si>
    <t>인간과 심리</t>
    <phoneticPr fontId="2" type="noConversion"/>
  </si>
  <si>
    <t>택1</t>
    <phoneticPr fontId="2" type="noConversion"/>
  </si>
  <si>
    <t>융합</t>
    <phoneticPr fontId="2" type="noConversion"/>
  </si>
  <si>
    <t>교육의 이해</t>
    <phoneticPr fontId="2" type="noConversion"/>
  </si>
  <si>
    <t>택1</t>
    <phoneticPr fontId="2" type="noConversion"/>
  </si>
  <si>
    <t>택6</t>
    <phoneticPr fontId="2" type="noConversion"/>
  </si>
  <si>
    <t>인간과 경제활동</t>
    <phoneticPr fontId="2" type="noConversion"/>
  </si>
  <si>
    <t>성공적인 직업 생활*</t>
    <phoneticPr fontId="2" type="noConversion"/>
  </si>
  <si>
    <t>과학탐구실험2▪</t>
    <phoneticPr fontId="2" type="noConversion"/>
  </si>
  <si>
    <t>통합과학1▪</t>
    <phoneticPr fontId="2" type="noConversion"/>
  </si>
  <si>
    <t>과학탐구실험1▪</t>
    <phoneticPr fontId="2" type="noConversion"/>
  </si>
  <si>
    <t>통합과학2▪</t>
    <phoneticPr fontId="2" type="noConversion"/>
  </si>
  <si>
    <t>생명과학▪, 화학▪</t>
    <phoneticPr fontId="2" type="noConversion"/>
  </si>
  <si>
    <t>데이터 과학▪</t>
    <phoneticPr fontId="2" type="noConversion"/>
  </si>
  <si>
    <t>소프트웨어와 생활▪</t>
    <phoneticPr fontId="2" type="noConversion"/>
  </si>
  <si>
    <r>
      <rPr>
        <sz val="9"/>
        <color theme="1"/>
        <rFont val="돋움"/>
        <family val="3"/>
        <charset val="129"/>
      </rPr>
      <t>☞</t>
    </r>
    <r>
      <rPr>
        <sz val="9"/>
        <color theme="1"/>
        <rFont val="나눔고딕"/>
        <family val="3"/>
        <charset val="129"/>
      </rPr>
      <t xml:space="preserve"> 표기방법 안내
 </t>
    </r>
    <r>
      <rPr>
        <sz val="9"/>
        <color theme="1"/>
        <rFont val="돋움"/>
        <family val="3"/>
        <charset val="129"/>
      </rPr>
      <t>◦</t>
    </r>
    <r>
      <rPr>
        <sz val="9"/>
        <color theme="1"/>
        <rFont val="나눔고딕"/>
        <family val="3"/>
        <charset val="129"/>
      </rPr>
      <t xml:space="preserve"> </t>
    </r>
    <r>
      <rPr>
        <sz val="9"/>
        <color theme="1"/>
        <rFont val="맑은 고딕"/>
        <family val="3"/>
        <charset val="129"/>
      </rPr>
      <t>특목고 과목(보통교과 표6)을</t>
    </r>
    <r>
      <rPr>
        <sz val="9"/>
        <color theme="1"/>
        <rFont val="나눔고딕"/>
        <family val="3"/>
        <charset val="129"/>
      </rPr>
      <t xml:space="preserve"> 진로선택과목으로 가져올 때 * 표기
 </t>
    </r>
    <r>
      <rPr>
        <sz val="9"/>
        <color theme="1"/>
        <rFont val="돋움"/>
        <family val="3"/>
        <charset val="129"/>
      </rPr>
      <t>◦</t>
    </r>
    <r>
      <rPr>
        <sz val="9"/>
        <color theme="1"/>
        <rFont val="나눔고딕"/>
        <family val="3"/>
        <charset val="129"/>
      </rPr>
      <t xml:space="preserve"> </t>
    </r>
    <r>
      <rPr>
        <sz val="9"/>
        <color theme="1"/>
        <rFont val="맑은 고딕"/>
        <family val="3"/>
        <charset val="129"/>
      </rPr>
      <t xml:space="preserve">전문교과를 진로선택과목으로 가져올 때 </t>
    </r>
    <r>
      <rPr>
        <sz val="9"/>
        <color theme="1"/>
        <rFont val="돋움"/>
        <family val="3"/>
        <charset val="129"/>
      </rPr>
      <t>★</t>
    </r>
    <r>
      <rPr>
        <sz val="9"/>
        <color theme="1"/>
        <rFont val="맑은 고딕"/>
        <family val="3"/>
        <charset val="129"/>
      </rPr>
      <t xml:space="preserve"> 표기</t>
    </r>
    <r>
      <rPr>
        <sz val="9"/>
        <color theme="1"/>
        <rFont val="나눔고딕"/>
        <family val="3"/>
        <charset val="129"/>
      </rPr>
      <t xml:space="preserve">
 </t>
    </r>
    <r>
      <rPr>
        <sz val="9"/>
        <color theme="1"/>
        <rFont val="돋움"/>
        <family val="3"/>
        <charset val="129"/>
      </rPr>
      <t>◦</t>
    </r>
    <r>
      <rPr>
        <sz val="9"/>
        <color theme="1"/>
        <rFont val="나눔고딕"/>
        <family val="3"/>
        <charset val="129"/>
      </rPr>
      <t xml:space="preserve"> 고시외과목은 </t>
    </r>
    <r>
      <rPr>
        <sz val="9"/>
        <color theme="1"/>
        <rFont val="돋움"/>
        <family val="3"/>
        <charset val="129"/>
      </rPr>
      <t>☆</t>
    </r>
    <r>
      <rPr>
        <sz val="9"/>
        <color theme="1"/>
        <rFont val="나눔고딕"/>
        <family val="3"/>
        <charset val="129"/>
      </rPr>
      <t xml:space="preserve"> 표기
 </t>
    </r>
    <r>
      <rPr>
        <sz val="9"/>
        <color theme="1"/>
        <rFont val="돋움"/>
        <family val="3"/>
        <charset val="129"/>
      </rPr>
      <t>◦</t>
    </r>
    <r>
      <rPr>
        <sz val="9"/>
        <color theme="1"/>
        <rFont val="나눔고딕"/>
        <family val="3"/>
        <charset val="129"/>
      </rPr>
      <t xml:space="preserve"> 교과특성화학교 관련 과목은 ▪ 표기
</t>
    </r>
    <r>
      <rPr>
        <sz val="9"/>
        <color theme="1"/>
        <rFont val="돋움"/>
        <family val="3"/>
        <charset val="129"/>
      </rPr>
      <t>☞</t>
    </r>
    <r>
      <rPr>
        <sz val="9"/>
        <color theme="1"/>
        <rFont val="나눔고딕"/>
        <family val="3"/>
        <charset val="129"/>
      </rPr>
      <t xml:space="preserve"> 교차집중표기법: 교차집중(↔)</t>
    </r>
    <phoneticPr fontId="2" type="noConversion"/>
  </si>
  <si>
    <t>사회와 문화, 세계사</t>
    <phoneticPr fontId="2" type="noConversion"/>
  </si>
  <si>
    <t>한국지리 탐구</t>
    <phoneticPr fontId="2" type="noConversion"/>
  </si>
  <si>
    <t>현대사회와 윤리, 세계시민과 지리</t>
    <phoneticPr fontId="2" type="noConversion"/>
  </si>
  <si>
    <t>정치</t>
    <phoneticPr fontId="2" type="noConversion"/>
  </si>
  <si>
    <t>윤리와 사상, 법과 사회, 경제</t>
    <phoneticPr fontId="2" type="noConversion"/>
  </si>
  <si>
    <t>인문학과 윤리</t>
    <phoneticPr fontId="2" type="noConversion"/>
  </si>
  <si>
    <t>여행지리, 사회문제 탐구, 역사로 탐구하는 현대 세계</t>
    <phoneticPr fontId="2" type="noConversion"/>
  </si>
  <si>
    <t>사회</t>
    <phoneticPr fontId="2" type="noConversion"/>
  </si>
  <si>
    <t>융합</t>
    <phoneticPr fontId="2" type="noConversion"/>
  </si>
  <si>
    <r>
      <t>교차집중(</t>
    </r>
    <r>
      <rPr>
        <sz val="10"/>
        <color theme="1"/>
        <rFont val="맑은 고딕"/>
        <family val="3"/>
        <charset val="129"/>
      </rPr>
      <t>↔)</t>
    </r>
    <phoneticPr fontId="2" type="noConversion"/>
  </si>
  <si>
    <t>사회</t>
    <phoneticPr fontId="2" type="noConversion"/>
  </si>
  <si>
    <t>과학</t>
    <phoneticPr fontId="2" type="noConversion"/>
  </si>
  <si>
    <t>기술·가정/정보</t>
    <phoneticPr fontId="2" type="noConversion"/>
  </si>
  <si>
    <t>국어</t>
    <phoneticPr fontId="2" type="noConversion"/>
  </si>
  <si>
    <t>융합</t>
    <phoneticPr fontId="2" type="noConversion"/>
  </si>
  <si>
    <t>독서 토론과 글쓰기</t>
    <phoneticPr fontId="2" type="noConversion"/>
  </si>
  <si>
    <t>영어</t>
    <phoneticPr fontId="2" type="noConversion"/>
  </si>
  <si>
    <t>실생활 영어 회화</t>
    <phoneticPr fontId="2" type="noConversion"/>
  </si>
  <si>
    <t>사회</t>
    <phoneticPr fontId="2" type="noConversion"/>
  </si>
  <si>
    <t>기후변화와 지속가능한 세계</t>
    <phoneticPr fontId="2" type="noConversion"/>
  </si>
  <si>
    <t>진로</t>
    <phoneticPr fontId="2" type="noConversion"/>
  </si>
  <si>
    <t>정보</t>
    <phoneticPr fontId="2" type="noConversion"/>
  </si>
  <si>
    <t>순증이수</t>
    <phoneticPr fontId="2" type="noConversion"/>
  </si>
  <si>
    <t>공통국어2</t>
    <phoneticPr fontId="2" type="noConversion"/>
  </si>
  <si>
    <t>교양</t>
    <phoneticPr fontId="2" type="noConversion"/>
  </si>
  <si>
    <t>논술</t>
    <phoneticPr fontId="2" type="noConversion"/>
  </si>
  <si>
    <t>미적분Ⅱ</t>
    <phoneticPr fontId="2" type="noConversion"/>
  </si>
  <si>
    <t>수학</t>
    <phoneticPr fontId="2" type="noConversion"/>
  </si>
  <si>
    <t>미디어 영어</t>
    <phoneticPr fontId="2" type="noConversion"/>
  </si>
  <si>
    <t>드로잉*</t>
    <phoneticPr fontId="2" type="noConversion"/>
  </si>
  <si>
    <t>간호의 기초★</t>
    <phoneticPr fontId="2" type="noConversion"/>
  </si>
  <si>
    <t>지구시스템과학▪, 역학과 에너지▪</t>
    <phoneticPr fontId="2" type="noConversion"/>
  </si>
  <si>
    <t>전자기와 양자▪, 물질과 에너지▪ 생물의 유전▪ 행성우주과학▪</t>
    <phoneticPr fontId="2" type="noConversion"/>
  </si>
  <si>
    <t>융합과학 탐구▪, 과학의 역사와 문화▪, 기후변화와 환경 생태▪</t>
    <phoneticPr fontId="2" type="noConversion"/>
  </si>
  <si>
    <r>
      <t>물리학</t>
    </r>
    <r>
      <rPr>
        <sz val="10"/>
        <rFont val="돋움"/>
        <family val="3"/>
        <charset val="129"/>
      </rPr>
      <t>▪</t>
    </r>
    <r>
      <rPr>
        <sz val="10"/>
        <rFont val="맑은 고딕"/>
        <family val="3"/>
        <charset val="129"/>
        <scheme val="minor"/>
      </rPr>
      <t>, 지구과학</t>
    </r>
    <r>
      <rPr>
        <sz val="10"/>
        <rFont val="돋움"/>
        <family val="3"/>
        <charset val="129"/>
      </rPr>
      <t>▪</t>
    </r>
    <phoneticPr fontId="2" type="noConversion"/>
  </si>
  <si>
    <r>
      <t>세포와 물질대사</t>
    </r>
    <r>
      <rPr>
        <sz val="10"/>
        <rFont val="돋움"/>
        <family val="3"/>
        <charset val="129"/>
      </rPr>
      <t>▪</t>
    </r>
    <r>
      <rPr>
        <sz val="10"/>
        <rFont val="맑은 고딕"/>
        <family val="3"/>
        <charset val="129"/>
      </rPr>
      <t>, 화학 반응의 세계▪</t>
    </r>
    <phoneticPr fontId="2" type="noConversion"/>
  </si>
  <si>
    <t>기하, 경제 수학, 인공지능 수학</t>
    <phoneticPr fontId="2" type="noConversion"/>
  </si>
  <si>
    <t>실용 통계, 수학과제 탐구</t>
    <phoneticPr fontId="2" type="noConversion"/>
  </si>
  <si>
    <t>2026학년도 신입생 3개년 교육과정 편제표</t>
    <phoneticPr fontId="2" type="noConversion"/>
  </si>
  <si>
    <t>한문, 일본어, 중국어</t>
    <phoneticPr fontId="2" type="noConversion"/>
  </si>
  <si>
    <t>공동교육과정 / 소인수교육과정</t>
    <phoneticPr fontId="2" type="noConversion"/>
  </si>
  <si>
    <r>
      <t>프로그래밍</t>
    </r>
    <r>
      <rPr>
        <sz val="10"/>
        <rFont val="돋움"/>
        <family val="3"/>
        <charset val="129"/>
      </rPr>
      <t>▪</t>
    </r>
    <r>
      <rPr>
        <sz val="10"/>
        <rFont val="맑은 고딕"/>
        <family val="3"/>
        <charset val="129"/>
        <scheme val="minor"/>
      </rPr>
      <t>, 자료 구조★</t>
    </r>
    <r>
      <rPr>
        <sz val="10"/>
        <rFont val="돋움"/>
        <family val="3"/>
        <charset val="129"/>
      </rPr>
      <t>▪</t>
    </r>
    <r>
      <rPr>
        <sz val="10"/>
        <rFont val="맑은 고딕"/>
        <family val="3"/>
        <charset val="129"/>
      </rPr>
      <t>, 인공지능 기초▪, 정보 통신★▪</t>
    </r>
    <phoneticPr fontId="2" type="noConversion"/>
  </si>
  <si>
    <t>성신고등학교(12.19.)</t>
    <phoneticPr fontId="2" type="noConversion"/>
  </si>
  <si>
    <r>
      <t>물리학 실험</t>
    </r>
    <r>
      <rPr>
        <sz val="10"/>
        <rFont val="돋움"/>
        <family val="3"/>
        <charset val="129"/>
      </rPr>
      <t>▪</t>
    </r>
    <r>
      <rPr>
        <sz val="10"/>
        <rFont val="맑은 고딕"/>
        <family val="3"/>
        <charset val="129"/>
        <scheme val="minor"/>
      </rPr>
      <t>, 화학 실험</t>
    </r>
    <r>
      <rPr>
        <sz val="10"/>
        <rFont val="돋움"/>
        <family val="3"/>
        <charset val="129"/>
      </rPr>
      <t>▪</t>
    </r>
    <r>
      <rPr>
        <sz val="10"/>
        <rFont val="맑은 고딕"/>
        <family val="3"/>
        <charset val="129"/>
        <scheme val="minor"/>
      </rPr>
      <t>, 생명과학 실험</t>
    </r>
    <r>
      <rPr>
        <sz val="10"/>
        <rFont val="돋움"/>
        <family val="3"/>
        <charset val="129"/>
      </rPr>
      <t>▪</t>
    </r>
    <r>
      <rPr>
        <sz val="10"/>
        <rFont val="맑은 고딕"/>
        <family val="3"/>
        <charset val="129"/>
        <scheme val="minor"/>
      </rPr>
      <t>, 지구과학 실험</t>
    </r>
    <r>
      <rPr>
        <sz val="10"/>
        <rFont val="돋움"/>
        <family val="3"/>
        <charset val="129"/>
      </rPr>
      <t>▪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</si>
</sst>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21" x14ac:knownFonts="1"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9"/>
      <color theme="1"/>
      <name val="나눔고딕"/>
      <family val="3"/>
      <charset val="129"/>
    </font>
    <font>
      <sz val="9"/>
      <color theme="1"/>
      <name val="돋움"/>
      <family val="3"/>
      <charset val="129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4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76" fontId="7" fillId="2" borderId="14" xfId="0" applyNumberFormat="1" applyFont="1" applyFill="1" applyBorder="1" applyAlignment="1">
      <alignment horizontal="center" vertical="center" shrinkToFit="1"/>
    </xf>
    <xf numFmtId="176" fontId="7" fillId="2" borderId="13" xfId="0" applyNumberFormat="1" applyFont="1" applyFill="1" applyBorder="1" applyAlignment="1">
      <alignment horizontal="center" vertical="center" shrinkToFit="1"/>
    </xf>
    <xf numFmtId="0" fontId="9" fillId="0" borderId="0" xfId="0" applyFont="1">
      <alignment vertical="center"/>
    </xf>
    <xf numFmtId="176" fontId="6" fillId="0" borderId="16" xfId="0" applyNumberFormat="1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176" fontId="6" fillId="0" borderId="18" xfId="0" applyNumberFormat="1" applyFont="1" applyBorder="1" applyAlignment="1">
      <alignment horizontal="center" vertical="center" wrapText="1"/>
    </xf>
    <xf numFmtId="176" fontId="6" fillId="0" borderId="8" xfId="0" applyNumberFormat="1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176" fontId="6" fillId="0" borderId="10" xfId="0" applyNumberFormat="1" applyFont="1" applyBorder="1" applyAlignment="1">
      <alignment horizontal="center" vertical="center" wrapText="1"/>
    </xf>
    <xf numFmtId="176" fontId="6" fillId="3" borderId="9" xfId="0" applyNumberFormat="1" applyFont="1" applyFill="1" applyBorder="1" applyAlignment="1">
      <alignment horizontal="center" vertical="center" wrapText="1"/>
    </xf>
    <xf numFmtId="176" fontId="6" fillId="3" borderId="10" xfId="0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176" fontId="6" fillId="0" borderId="24" xfId="0" applyNumberFormat="1" applyFont="1" applyBorder="1" applyAlignment="1">
      <alignment horizontal="center" vertical="center" wrapText="1"/>
    </xf>
    <xf numFmtId="176" fontId="6" fillId="0" borderId="27" xfId="0" applyNumberFormat="1" applyFont="1" applyBorder="1" applyAlignment="1">
      <alignment horizontal="center" vertical="center" wrapText="1"/>
    </xf>
    <xf numFmtId="176" fontId="6" fillId="3" borderId="14" xfId="0" applyNumberFormat="1" applyFont="1" applyFill="1" applyBorder="1" applyAlignment="1">
      <alignment horizontal="center" vertical="center" wrapText="1"/>
    </xf>
    <xf numFmtId="176" fontId="6" fillId="3" borderId="13" xfId="0" applyNumberFormat="1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176" fontId="6" fillId="3" borderId="10" xfId="0" applyNumberFormat="1" applyFont="1" applyFill="1" applyBorder="1" applyAlignment="1">
      <alignment horizontal="center" vertical="center" wrapText="1" shrinkToFit="1"/>
    </xf>
    <xf numFmtId="176" fontId="6" fillId="3" borderId="9" xfId="0" applyNumberFormat="1" applyFont="1" applyFill="1" applyBorder="1" applyAlignment="1">
      <alignment horizontal="center" vertical="center" wrapText="1" shrinkToFit="1"/>
    </xf>
    <xf numFmtId="176" fontId="6" fillId="0" borderId="33" xfId="0" applyNumberFormat="1" applyFont="1" applyBorder="1" applyAlignment="1">
      <alignment horizontal="center" vertical="center" wrapText="1"/>
    </xf>
    <xf numFmtId="176" fontId="6" fillId="3" borderId="9" xfId="0" applyNumberFormat="1" applyFont="1" applyFill="1" applyBorder="1" applyAlignment="1">
      <alignment horizontal="center" vertical="center" shrinkToFit="1"/>
    </xf>
    <xf numFmtId="176" fontId="6" fillId="3" borderId="10" xfId="0" applyNumberFormat="1" applyFont="1" applyFill="1" applyBorder="1" applyAlignment="1">
      <alignment horizontal="center" vertical="center" shrinkToFit="1"/>
    </xf>
    <xf numFmtId="176" fontId="6" fillId="5" borderId="11" xfId="0" applyNumberFormat="1" applyFont="1" applyFill="1" applyBorder="1" applyAlignment="1">
      <alignment horizontal="center" vertical="center" wrapText="1"/>
    </xf>
    <xf numFmtId="176" fontId="6" fillId="6" borderId="9" xfId="0" applyNumberFormat="1" applyFont="1" applyFill="1" applyBorder="1" applyAlignment="1">
      <alignment horizontal="center" vertical="center" wrapText="1" shrinkToFit="1"/>
    </xf>
    <xf numFmtId="176" fontId="6" fillId="6" borderId="10" xfId="0" applyNumberFormat="1" applyFont="1" applyFill="1" applyBorder="1" applyAlignment="1">
      <alignment horizontal="center" vertical="center" wrapText="1" shrinkToFit="1"/>
    </xf>
    <xf numFmtId="176" fontId="6" fillId="7" borderId="17" xfId="0" applyNumberFormat="1" applyFont="1" applyFill="1" applyBorder="1" applyAlignment="1">
      <alignment horizontal="center" vertical="center" wrapText="1"/>
    </xf>
    <xf numFmtId="176" fontId="6" fillId="7" borderId="14" xfId="0" applyNumberFormat="1" applyFont="1" applyFill="1" applyBorder="1" applyAlignment="1">
      <alignment horizontal="center" vertical="center" wrapText="1"/>
    </xf>
    <xf numFmtId="176" fontId="6" fillId="0" borderId="9" xfId="0" applyNumberFormat="1" applyFont="1" applyFill="1" applyBorder="1" applyAlignment="1">
      <alignment horizontal="center" vertical="center" wrapText="1" shrinkToFit="1"/>
    </xf>
    <xf numFmtId="176" fontId="6" fillId="0" borderId="10" xfId="0" applyNumberFormat="1" applyFont="1" applyFill="1" applyBorder="1" applyAlignment="1">
      <alignment horizontal="center" vertical="center" wrapText="1" shrinkToFit="1"/>
    </xf>
    <xf numFmtId="176" fontId="6" fillId="8" borderId="10" xfId="0" applyNumberFormat="1" applyFont="1" applyFill="1" applyBorder="1" applyAlignment="1">
      <alignment horizontal="center" vertical="center" wrapText="1"/>
    </xf>
    <xf numFmtId="176" fontId="6" fillId="8" borderId="13" xfId="0" applyNumberFormat="1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176" fontId="6" fillId="11" borderId="10" xfId="0" applyNumberFormat="1" applyFont="1" applyFill="1" applyBorder="1" applyAlignment="1">
      <alignment horizontal="center" vertical="center" wrapText="1"/>
    </xf>
    <xf numFmtId="176" fontId="6" fillId="0" borderId="6" xfId="0" applyNumberFormat="1" applyFont="1" applyBorder="1" applyAlignment="1">
      <alignment horizontal="center" vertical="center" wrapText="1"/>
    </xf>
    <xf numFmtId="176" fontId="6" fillId="0" borderId="7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176" fontId="6" fillId="0" borderId="26" xfId="0" applyNumberFormat="1" applyFont="1" applyBorder="1" applyAlignment="1">
      <alignment horizontal="center" vertical="center" wrapText="1"/>
    </xf>
    <xf numFmtId="176" fontId="6" fillId="0" borderId="17" xfId="0" applyNumberFormat="1" applyFont="1" applyBorder="1" applyAlignment="1">
      <alignment horizontal="center" vertical="center" wrapText="1"/>
    </xf>
    <xf numFmtId="176" fontId="6" fillId="0" borderId="9" xfId="0" applyNumberFormat="1" applyFont="1" applyBorder="1" applyAlignment="1">
      <alignment horizontal="center" vertical="center" wrapText="1"/>
    </xf>
    <xf numFmtId="176" fontId="6" fillId="0" borderId="23" xfId="0" applyNumberFormat="1" applyFont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center" vertical="center" wrapText="1"/>
    </xf>
    <xf numFmtId="0" fontId="10" fillId="9" borderId="10" xfId="0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76" fontId="6" fillId="0" borderId="9" xfId="0" applyNumberFormat="1" applyFont="1" applyBorder="1" applyAlignment="1">
      <alignment horizontal="center" vertical="center" wrapText="1"/>
    </xf>
    <xf numFmtId="176" fontId="6" fillId="0" borderId="16" xfId="0" applyNumberFormat="1" applyFont="1" applyFill="1" applyBorder="1" applyAlignment="1">
      <alignment horizontal="left" vertical="center" wrapText="1"/>
    </xf>
    <xf numFmtId="176" fontId="6" fillId="0" borderId="8" xfId="0" applyNumberFormat="1" applyFont="1" applyFill="1" applyBorder="1" applyAlignment="1">
      <alignment horizontal="left" vertical="center" wrapText="1"/>
    </xf>
    <xf numFmtId="176" fontId="6" fillId="0" borderId="8" xfId="0" applyNumberFormat="1" applyFont="1" applyFill="1" applyBorder="1" applyAlignment="1">
      <alignment horizontal="left" vertical="center" shrinkToFit="1"/>
    </xf>
    <xf numFmtId="0" fontId="5" fillId="0" borderId="0" xfId="0" applyFont="1" applyAlignment="1">
      <alignment horizontal="left" vertical="center"/>
    </xf>
    <xf numFmtId="176" fontId="6" fillId="0" borderId="14" xfId="0" applyNumberFormat="1" applyFont="1" applyBorder="1" applyAlignment="1">
      <alignment horizontal="center" vertical="center" wrapText="1"/>
    </xf>
    <xf numFmtId="176" fontId="6" fillId="0" borderId="13" xfId="0" applyNumberFormat="1" applyFont="1" applyBorder="1" applyAlignment="1">
      <alignment horizontal="center" vertical="center" wrapText="1"/>
    </xf>
    <xf numFmtId="176" fontId="6" fillId="0" borderId="7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176" fontId="6" fillId="0" borderId="9" xfId="0" applyNumberFormat="1" applyFont="1" applyBorder="1" applyAlignment="1">
      <alignment horizontal="center" vertical="center" wrapText="1"/>
    </xf>
    <xf numFmtId="176" fontId="6" fillId="0" borderId="6" xfId="0" applyNumberFormat="1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176" fontId="6" fillId="0" borderId="37" xfId="0" applyNumberFormat="1" applyFont="1" applyBorder="1" applyAlignment="1">
      <alignment horizontal="center" vertical="center" wrapText="1"/>
    </xf>
    <xf numFmtId="176" fontId="6" fillId="0" borderId="30" xfId="0" applyNumberFormat="1" applyFont="1" applyBorder="1" applyAlignment="1">
      <alignment horizontal="center" vertical="center" wrapText="1"/>
    </xf>
    <xf numFmtId="176" fontId="6" fillId="0" borderId="7" xfId="0" applyNumberFormat="1" applyFont="1" applyBorder="1" applyAlignment="1">
      <alignment horizontal="center" vertical="center" wrapText="1"/>
    </xf>
    <xf numFmtId="176" fontId="6" fillId="0" borderId="13" xfId="0" applyNumberFormat="1" applyFont="1" applyBorder="1" applyAlignment="1">
      <alignment horizontal="center" vertical="center" wrapText="1"/>
    </xf>
    <xf numFmtId="176" fontId="6" fillId="0" borderId="7" xfId="0" applyNumberFormat="1" applyFont="1" applyBorder="1" applyAlignment="1">
      <alignment horizontal="center" vertical="center" wrapText="1"/>
    </xf>
    <xf numFmtId="176" fontId="6" fillId="0" borderId="6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176" fontId="6" fillId="0" borderId="9" xfId="0" applyNumberFormat="1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176" fontId="6" fillId="5" borderId="10" xfId="0" applyNumberFormat="1" applyFont="1" applyFill="1" applyBorder="1" applyAlignment="1">
      <alignment horizontal="center" vertical="center" wrapText="1"/>
    </xf>
    <xf numFmtId="176" fontId="6" fillId="11" borderId="28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176" fontId="16" fillId="0" borderId="16" xfId="0" applyNumberFormat="1" applyFont="1" applyFill="1" applyBorder="1" applyAlignment="1">
      <alignment horizontal="center" vertical="center" wrapText="1"/>
    </xf>
    <xf numFmtId="176" fontId="16" fillId="0" borderId="16" xfId="0" applyNumberFormat="1" applyFont="1" applyFill="1" applyBorder="1" applyAlignment="1">
      <alignment horizontal="left" vertical="center" shrinkToFit="1"/>
    </xf>
    <xf numFmtId="0" fontId="16" fillId="3" borderId="16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 wrapText="1"/>
    </xf>
    <xf numFmtId="176" fontId="16" fillId="0" borderId="31" xfId="0" applyNumberFormat="1" applyFont="1" applyBorder="1" applyAlignment="1">
      <alignment horizontal="center" vertical="center" wrapText="1"/>
    </xf>
    <xf numFmtId="176" fontId="16" fillId="0" borderId="22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176" fontId="16" fillId="0" borderId="8" xfId="0" applyNumberFormat="1" applyFont="1" applyFill="1" applyBorder="1" applyAlignment="1">
      <alignment horizontal="center" vertical="center" wrapText="1"/>
    </xf>
    <xf numFmtId="176" fontId="16" fillId="0" borderId="5" xfId="0" applyNumberFormat="1" applyFont="1" applyFill="1" applyBorder="1" applyAlignment="1">
      <alignment horizontal="left" vertical="center" shrinkToFit="1"/>
    </xf>
    <xf numFmtId="0" fontId="16" fillId="3" borderId="5" xfId="0" applyFont="1" applyFill="1" applyBorder="1" applyAlignment="1">
      <alignment horizontal="center" vertical="center" wrapText="1"/>
    </xf>
    <xf numFmtId="0" fontId="16" fillId="3" borderId="30" xfId="0" applyFont="1" applyFill="1" applyBorder="1" applyAlignment="1">
      <alignment horizontal="center" vertical="center" wrapText="1"/>
    </xf>
    <xf numFmtId="176" fontId="16" fillId="0" borderId="29" xfId="0" applyNumberFormat="1" applyFont="1" applyBorder="1" applyAlignment="1">
      <alignment horizontal="center" vertical="center" wrapText="1"/>
    </xf>
    <xf numFmtId="176" fontId="16" fillId="0" borderId="11" xfId="0" applyNumberFormat="1" applyFont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 wrapText="1"/>
    </xf>
    <xf numFmtId="176" fontId="16" fillId="0" borderId="12" xfId="0" applyNumberFormat="1" applyFont="1" applyFill="1" applyBorder="1" applyAlignment="1">
      <alignment horizontal="center" vertical="center" wrapText="1"/>
    </xf>
    <xf numFmtId="176" fontId="16" fillId="0" borderId="8" xfId="0" applyNumberFormat="1" applyFont="1" applyFill="1" applyBorder="1" applyAlignment="1">
      <alignment horizontal="left" vertical="center" shrinkToFit="1"/>
    </xf>
    <xf numFmtId="176" fontId="16" fillId="0" borderId="15" xfId="0" applyNumberFormat="1" applyFont="1" applyFill="1" applyBorder="1" applyAlignment="1">
      <alignment horizontal="center" vertical="center" wrapText="1"/>
    </xf>
    <xf numFmtId="176" fontId="16" fillId="0" borderId="35" xfId="0" applyNumberFormat="1" applyFont="1" applyFill="1" applyBorder="1" applyAlignment="1">
      <alignment horizontal="left" vertical="center" shrinkToFit="1"/>
    </xf>
    <xf numFmtId="0" fontId="16" fillId="3" borderId="35" xfId="0" applyFont="1" applyFill="1" applyBorder="1" applyAlignment="1">
      <alignment horizontal="center" vertical="center" wrapText="1"/>
    </xf>
    <xf numFmtId="0" fontId="16" fillId="3" borderId="39" xfId="0" applyFont="1" applyFill="1" applyBorder="1" applyAlignment="1">
      <alignment horizontal="center" vertical="center" wrapText="1"/>
    </xf>
    <xf numFmtId="176" fontId="16" fillId="0" borderId="42" xfId="0" applyNumberFormat="1" applyFont="1" applyBorder="1" applyAlignment="1">
      <alignment horizontal="center" vertical="center" wrapText="1"/>
    </xf>
    <xf numFmtId="176" fontId="16" fillId="0" borderId="28" xfId="0" applyNumberFormat="1" applyFont="1" applyBorder="1" applyAlignment="1">
      <alignment horizontal="center" vertical="center" wrapText="1"/>
    </xf>
    <xf numFmtId="0" fontId="18" fillId="0" borderId="0" xfId="1" applyFill="1">
      <alignment vertical="center"/>
    </xf>
    <xf numFmtId="176" fontId="16" fillId="0" borderId="16" xfId="0" applyNumberFormat="1" applyFont="1" applyFill="1" applyBorder="1" applyAlignment="1">
      <alignment horizontal="left" vertical="center" wrapText="1" shrinkToFit="1"/>
    </xf>
    <xf numFmtId="176" fontId="16" fillId="0" borderId="5" xfId="0" applyNumberFormat="1" applyFont="1" applyFill="1" applyBorder="1" applyAlignment="1">
      <alignment horizontal="center" vertical="center" wrapText="1"/>
    </xf>
    <xf numFmtId="176" fontId="16" fillId="0" borderId="5" xfId="0" applyNumberFormat="1" applyFont="1" applyFill="1" applyBorder="1" applyAlignment="1">
      <alignment horizontal="left" vertical="center" wrapText="1" shrinkToFit="1"/>
    </xf>
    <xf numFmtId="176" fontId="16" fillId="3" borderId="12" xfId="0" applyNumberFormat="1" applyFont="1" applyFill="1" applyBorder="1" applyAlignment="1">
      <alignment horizontal="center" vertical="center" wrapText="1"/>
    </xf>
    <xf numFmtId="176" fontId="16" fillId="0" borderId="8" xfId="0" applyNumberFormat="1" applyFont="1" applyFill="1" applyBorder="1" applyAlignment="1">
      <alignment horizontal="left" vertical="center" wrapText="1" shrinkToFit="1"/>
    </xf>
    <xf numFmtId="176" fontId="16" fillId="0" borderId="8" xfId="0" applyNumberFormat="1" applyFont="1" applyFill="1" applyBorder="1" applyAlignment="1">
      <alignment horizontal="left" vertical="center" wrapText="1"/>
    </xf>
    <xf numFmtId="0" fontId="16" fillId="0" borderId="8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/>
    </xf>
    <xf numFmtId="176" fontId="16" fillId="3" borderId="5" xfId="0" applyNumberFormat="1" applyFont="1" applyFill="1" applyBorder="1" applyAlignment="1">
      <alignment horizontal="center" vertical="center" wrapText="1"/>
    </xf>
    <xf numFmtId="176" fontId="16" fillId="3" borderId="8" xfId="0" applyNumberFormat="1" applyFont="1" applyFill="1" applyBorder="1" applyAlignment="1">
      <alignment horizontal="center" vertical="center" wrapText="1"/>
    </xf>
    <xf numFmtId="176" fontId="16" fillId="0" borderId="12" xfId="0" applyNumberFormat="1" applyFont="1" applyFill="1" applyBorder="1" applyAlignment="1">
      <alignment horizontal="left" vertical="center" shrinkToFit="1"/>
    </xf>
    <xf numFmtId="0" fontId="15" fillId="0" borderId="5" xfId="0" applyFont="1" applyBorder="1" applyAlignment="1">
      <alignment horizontal="center" vertical="center" wrapText="1"/>
    </xf>
    <xf numFmtId="176" fontId="16" fillId="3" borderId="5" xfId="0" applyNumberFormat="1" applyFont="1" applyFill="1" applyBorder="1" applyAlignment="1">
      <alignment horizontal="center" vertical="center" shrinkToFit="1"/>
    </xf>
    <xf numFmtId="176" fontId="6" fillId="0" borderId="19" xfId="0" applyNumberFormat="1" applyFont="1" applyBorder="1" applyAlignment="1">
      <alignment horizontal="center" vertical="center" wrapText="1"/>
    </xf>
    <xf numFmtId="176" fontId="16" fillId="3" borderId="12" xfId="0" applyNumberFormat="1" applyFont="1" applyFill="1" applyBorder="1" applyAlignment="1">
      <alignment horizontal="center" vertical="center" wrapText="1"/>
    </xf>
    <xf numFmtId="0" fontId="16" fillId="0" borderId="12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176" fontId="6" fillId="0" borderId="19" xfId="0" applyNumberFormat="1" applyFont="1" applyBorder="1" applyAlignment="1">
      <alignment horizontal="center" vertical="center" wrapText="1"/>
    </xf>
    <xf numFmtId="176" fontId="6" fillId="0" borderId="29" xfId="0" applyNumberFormat="1" applyFont="1" applyBorder="1" applyAlignment="1">
      <alignment horizontal="center" vertical="center" wrapText="1"/>
    </xf>
    <xf numFmtId="176" fontId="16" fillId="3" borderId="12" xfId="0" applyNumberFormat="1" applyFont="1" applyFill="1" applyBorder="1" applyAlignment="1">
      <alignment horizontal="center" vertical="center" shrinkToFit="1"/>
    </xf>
    <xf numFmtId="176" fontId="16" fillId="3" borderId="5" xfId="0" applyNumberFormat="1" applyFont="1" applyFill="1" applyBorder="1" applyAlignment="1">
      <alignment horizontal="center" vertical="center" shrinkToFit="1"/>
    </xf>
    <xf numFmtId="0" fontId="16" fillId="0" borderId="12" xfId="0" applyFont="1" applyFill="1" applyBorder="1" applyAlignment="1">
      <alignment horizontal="center" vertical="center" wrapText="1"/>
    </xf>
    <xf numFmtId="0" fontId="16" fillId="0" borderId="35" xfId="0" applyFont="1" applyFill="1" applyBorder="1" applyAlignment="1">
      <alignment horizontal="center" vertical="center" wrapText="1"/>
    </xf>
    <xf numFmtId="176" fontId="16" fillId="3" borderId="12" xfId="0" applyNumberFormat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76" fontId="16" fillId="3" borderId="4" xfId="0" applyNumberFormat="1" applyFont="1" applyFill="1" applyBorder="1" applyAlignment="1">
      <alignment horizontal="center" vertical="center" wrapText="1"/>
    </xf>
    <xf numFmtId="176" fontId="16" fillId="3" borderId="5" xfId="0" applyNumberFormat="1" applyFont="1" applyFill="1" applyBorder="1" applyAlignment="1">
      <alignment horizontal="center" vertical="center" wrapText="1"/>
    </xf>
    <xf numFmtId="176" fontId="16" fillId="2" borderId="44" xfId="0" applyNumberFormat="1" applyFont="1" applyFill="1" applyBorder="1" applyAlignment="1">
      <alignment horizontal="center" vertical="center" wrapText="1"/>
    </xf>
    <xf numFmtId="176" fontId="17" fillId="2" borderId="34" xfId="0" applyNumberFormat="1" applyFont="1" applyFill="1" applyBorder="1" applyAlignment="1">
      <alignment horizontal="center" vertical="center" wrapText="1"/>
    </xf>
    <xf numFmtId="176" fontId="17" fillId="2" borderId="45" xfId="0" applyNumberFormat="1" applyFont="1" applyFill="1" applyBorder="1" applyAlignment="1">
      <alignment horizontal="center" vertical="center" wrapText="1"/>
    </xf>
    <xf numFmtId="176" fontId="17" fillId="2" borderId="46" xfId="0" applyNumberFormat="1" applyFont="1" applyFill="1" applyBorder="1" applyAlignment="1">
      <alignment horizontal="center" vertical="center" wrapText="1"/>
    </xf>
    <xf numFmtId="176" fontId="17" fillId="2" borderId="0" xfId="0" applyNumberFormat="1" applyFont="1" applyFill="1" applyBorder="1" applyAlignment="1">
      <alignment horizontal="center" vertical="center" wrapText="1"/>
    </xf>
    <xf numFmtId="176" fontId="17" fillId="2" borderId="47" xfId="0" applyNumberFormat="1" applyFont="1" applyFill="1" applyBorder="1" applyAlignment="1">
      <alignment horizontal="center" vertical="center" wrapText="1"/>
    </xf>
    <xf numFmtId="176" fontId="17" fillId="2" borderId="38" xfId="0" applyNumberFormat="1" applyFont="1" applyFill="1" applyBorder="1" applyAlignment="1">
      <alignment horizontal="center" vertical="center" wrapText="1"/>
    </xf>
    <xf numFmtId="176" fontId="17" fillId="2" borderId="41" xfId="0" applyNumberFormat="1" applyFont="1" applyFill="1" applyBorder="1" applyAlignment="1">
      <alignment horizontal="center" vertical="center" wrapText="1"/>
    </xf>
    <xf numFmtId="176" fontId="17" fillId="2" borderId="48" xfId="0" applyNumberFormat="1" applyFont="1" applyFill="1" applyBorder="1" applyAlignment="1">
      <alignment horizontal="center" vertical="center" wrapText="1"/>
    </xf>
    <xf numFmtId="176" fontId="6" fillId="3" borderId="12" xfId="0" applyNumberFormat="1" applyFont="1" applyFill="1" applyBorder="1" applyAlignment="1">
      <alignment horizontal="center" vertical="center" wrapText="1"/>
    </xf>
    <xf numFmtId="176" fontId="6" fillId="3" borderId="4" xfId="0" applyNumberFormat="1" applyFont="1" applyFill="1" applyBorder="1" applyAlignment="1">
      <alignment horizontal="center" vertical="center" wrapText="1"/>
    </xf>
    <xf numFmtId="176" fontId="6" fillId="3" borderId="35" xfId="0" applyNumberFormat="1" applyFont="1" applyFill="1" applyBorder="1" applyAlignment="1">
      <alignment horizontal="center" vertical="center" wrapText="1"/>
    </xf>
    <xf numFmtId="176" fontId="6" fillId="0" borderId="14" xfId="0" applyNumberFormat="1" applyFont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176" fontId="6" fillId="0" borderId="15" xfId="0" applyNumberFormat="1" applyFont="1" applyBorder="1" applyAlignment="1">
      <alignment horizontal="center" vertical="center" wrapText="1"/>
    </xf>
    <xf numFmtId="176" fontId="6" fillId="0" borderId="26" xfId="0" applyNumberFormat="1" applyFont="1" applyBorder="1" applyAlignment="1">
      <alignment horizontal="center" vertical="center" wrapText="1"/>
    </xf>
    <xf numFmtId="176" fontId="16" fillId="3" borderId="32" xfId="0" applyNumberFormat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176" fontId="6" fillId="0" borderId="5" xfId="0" applyNumberFormat="1" applyFont="1" applyBorder="1" applyAlignment="1">
      <alignment horizontal="center" vertical="center" wrapText="1"/>
    </xf>
    <xf numFmtId="176" fontId="6" fillId="0" borderId="30" xfId="0" applyNumberFormat="1" applyFont="1" applyBorder="1" applyAlignment="1">
      <alignment horizontal="center" vertical="center" wrapText="1"/>
    </xf>
    <xf numFmtId="176" fontId="6" fillId="0" borderId="9" xfId="0" applyNumberFormat="1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176" fontId="6" fillId="0" borderId="23" xfId="0" applyNumberFormat="1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176" fontId="6" fillId="6" borderId="33" xfId="0" applyNumberFormat="1" applyFont="1" applyFill="1" applyBorder="1" applyAlignment="1">
      <alignment horizontal="center" vertical="center" wrapText="1" shrinkToFit="1"/>
    </xf>
    <xf numFmtId="176" fontId="6" fillId="6" borderId="36" xfId="0" applyNumberFormat="1" applyFont="1" applyFill="1" applyBorder="1" applyAlignment="1">
      <alignment horizontal="center" vertical="center" wrapText="1" shrinkToFit="1"/>
    </xf>
    <xf numFmtId="0" fontId="5" fillId="0" borderId="19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11" fillId="0" borderId="34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/>
    </xf>
    <xf numFmtId="0" fontId="6" fillId="2" borderId="17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176" fontId="7" fillId="2" borderId="16" xfId="0" applyNumberFormat="1" applyFont="1" applyFill="1" applyBorder="1" applyAlignment="1">
      <alignment horizontal="center" vertical="center" wrapText="1"/>
    </xf>
    <xf numFmtId="176" fontId="7" fillId="2" borderId="12" xfId="0" applyNumberFormat="1" applyFont="1" applyFill="1" applyBorder="1" applyAlignment="1">
      <alignment horizontal="center" vertical="center" wrapText="1"/>
    </xf>
    <xf numFmtId="176" fontId="7" fillId="2" borderId="18" xfId="0" applyNumberFormat="1" applyFont="1" applyFill="1" applyBorder="1" applyAlignment="1">
      <alignment horizontal="center" vertical="center" wrapText="1"/>
    </xf>
    <xf numFmtId="176" fontId="7" fillId="2" borderId="13" xfId="0" applyNumberFormat="1" applyFont="1" applyFill="1" applyBorder="1" applyAlignment="1">
      <alignment horizontal="center" vertical="center" wrapText="1"/>
    </xf>
    <xf numFmtId="176" fontId="7" fillId="2" borderId="17" xfId="0" applyNumberFormat="1" applyFont="1" applyFill="1" applyBorder="1" applyAlignment="1">
      <alignment horizontal="center" vertical="center" wrapText="1"/>
    </xf>
    <xf numFmtId="176" fontId="7" fillId="2" borderId="20" xfId="0" applyNumberFormat="1" applyFont="1" applyFill="1" applyBorder="1" applyAlignment="1">
      <alignment horizontal="center" vertical="center" wrapText="1"/>
    </xf>
    <xf numFmtId="176" fontId="7" fillId="2" borderId="19" xfId="0" applyNumberFormat="1" applyFont="1" applyFill="1" applyBorder="1" applyAlignment="1">
      <alignment horizontal="center" vertical="center" wrapText="1"/>
    </xf>
    <xf numFmtId="176" fontId="6" fillId="3" borderId="16" xfId="0" applyNumberFormat="1" applyFont="1" applyFill="1" applyBorder="1" applyAlignment="1">
      <alignment horizontal="center" vertical="center" wrapText="1"/>
    </xf>
    <xf numFmtId="176" fontId="6" fillId="3" borderId="8" xfId="0" applyNumberFormat="1" applyFont="1" applyFill="1" applyBorder="1" applyAlignment="1">
      <alignment horizontal="center" vertical="center" wrapText="1"/>
    </xf>
    <xf numFmtId="176" fontId="6" fillId="0" borderId="6" xfId="0" applyNumberFormat="1" applyFont="1" applyBorder="1" applyAlignment="1">
      <alignment horizontal="center" vertical="center" wrapText="1"/>
    </xf>
    <xf numFmtId="176" fontId="6" fillId="3" borderId="5" xfId="0" applyNumberFormat="1" applyFont="1" applyFill="1" applyBorder="1" applyAlignment="1">
      <alignment horizontal="center" vertical="center" wrapText="1"/>
    </xf>
    <xf numFmtId="176" fontId="6" fillId="0" borderId="31" xfId="0" applyNumberFormat="1" applyFont="1" applyBorder="1" applyAlignment="1">
      <alignment horizontal="center" vertical="center" wrapText="1"/>
    </xf>
    <xf numFmtId="176" fontId="6" fillId="0" borderId="22" xfId="0" applyNumberFormat="1" applyFont="1" applyBorder="1" applyAlignment="1">
      <alignment horizontal="center" vertical="center" wrapText="1"/>
    </xf>
    <xf numFmtId="176" fontId="6" fillId="0" borderId="11" xfId="0" applyNumberFormat="1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176" fontId="6" fillId="0" borderId="13" xfId="0" applyNumberFormat="1" applyFont="1" applyBorder="1" applyAlignment="1">
      <alignment horizontal="center" vertical="center" wrapText="1"/>
    </xf>
    <xf numFmtId="176" fontId="6" fillId="0" borderId="7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76" fontId="10" fillId="0" borderId="14" xfId="0" applyNumberFormat="1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176" fontId="6" fillId="0" borderId="21" xfId="0" applyNumberFormat="1" applyFont="1" applyBorder="1" applyAlignment="1">
      <alignment horizontal="center" vertical="center" wrapText="1"/>
    </xf>
  </cellXfs>
  <cellStyles count="2"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S89"/>
  <sheetViews>
    <sheetView tabSelected="1" zoomScale="85" zoomScaleNormal="85" workbookViewId="0">
      <pane xSplit="1" ySplit="4" topLeftCell="B56" activePane="bottomRight" state="frozen"/>
      <selection activeCell="U23" sqref="U23"/>
      <selection pane="topRight" activeCell="U23" sqref="U23"/>
      <selection pane="bottomLeft" activeCell="U23" sqref="U23"/>
      <selection pane="bottomRight" activeCell="O89" sqref="O89"/>
    </sheetView>
  </sheetViews>
  <sheetFormatPr defaultColWidth="9" defaultRowHeight="13.8" x14ac:dyDescent="0.4"/>
  <cols>
    <col min="1" max="1" width="4" style="2" customWidth="1"/>
    <col min="2" max="2" width="14.3984375" style="3" bestFit="1" customWidth="1"/>
    <col min="3" max="3" width="9.3984375" style="2" customWidth="1"/>
    <col min="4" max="4" width="42.3984375" style="62" customWidth="1"/>
    <col min="5" max="6" width="4.3984375" style="2" customWidth="1"/>
    <col min="7" max="8" width="5.19921875" style="2" customWidth="1"/>
    <col min="9" max="10" width="5.19921875" style="3" customWidth="1"/>
    <col min="11" max="12" width="5.19921875" style="2" customWidth="1"/>
    <col min="13" max="13" width="4.3984375" style="3" customWidth="1"/>
    <col min="14" max="14" width="4.69921875" style="3" customWidth="1"/>
    <col min="15" max="15" width="4.8984375" style="1" customWidth="1"/>
    <col min="16" max="16384" width="9" style="1"/>
  </cols>
  <sheetData>
    <row r="1" spans="1:15" ht="31.95" customHeight="1" x14ac:dyDescent="0.4">
      <c r="A1" s="176" t="s">
        <v>151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5" ht="22.2" customHeight="1" thickBot="1" x14ac:dyDescent="0.45">
      <c r="A2" s="177" t="s">
        <v>155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6" t="s">
        <v>56</v>
      </c>
    </row>
    <row r="3" spans="1:15" ht="19.95" customHeight="1" x14ac:dyDescent="0.4">
      <c r="A3" s="179" t="s">
        <v>0</v>
      </c>
      <c r="B3" s="181" t="s">
        <v>1</v>
      </c>
      <c r="C3" s="181" t="s">
        <v>2</v>
      </c>
      <c r="D3" s="181"/>
      <c r="E3" s="181" t="s">
        <v>43</v>
      </c>
      <c r="F3" s="183" t="s">
        <v>44</v>
      </c>
      <c r="G3" s="185" t="s">
        <v>3</v>
      </c>
      <c r="H3" s="183"/>
      <c r="I3" s="185" t="s">
        <v>4</v>
      </c>
      <c r="J3" s="183"/>
      <c r="K3" s="185" t="s">
        <v>5</v>
      </c>
      <c r="L3" s="183"/>
      <c r="M3" s="186" t="s">
        <v>45</v>
      </c>
      <c r="N3" s="183" t="s">
        <v>46</v>
      </c>
    </row>
    <row r="4" spans="1:15" ht="19.95" customHeight="1" thickBot="1" x14ac:dyDescent="0.45">
      <c r="A4" s="180"/>
      <c r="B4" s="182"/>
      <c r="C4" s="182"/>
      <c r="D4" s="182"/>
      <c r="E4" s="182"/>
      <c r="F4" s="184"/>
      <c r="G4" s="4" t="s">
        <v>6</v>
      </c>
      <c r="H4" s="5" t="s">
        <v>7</v>
      </c>
      <c r="I4" s="4" t="s">
        <v>6</v>
      </c>
      <c r="J4" s="5" t="s">
        <v>7</v>
      </c>
      <c r="K4" s="4" t="s">
        <v>6</v>
      </c>
      <c r="L4" s="5" t="s">
        <v>7</v>
      </c>
      <c r="M4" s="187"/>
      <c r="N4" s="184"/>
    </row>
    <row r="5" spans="1:15" ht="15" customHeight="1" x14ac:dyDescent="0.4">
      <c r="A5" s="128" t="s">
        <v>8</v>
      </c>
      <c r="B5" s="188" t="s">
        <v>9</v>
      </c>
      <c r="C5" s="7" t="s">
        <v>10</v>
      </c>
      <c r="D5" s="59" t="s">
        <v>27</v>
      </c>
      <c r="E5" s="8">
        <v>4</v>
      </c>
      <c r="F5" s="69">
        <v>4</v>
      </c>
      <c r="G5" s="47">
        <v>4</v>
      </c>
      <c r="H5" s="9"/>
      <c r="I5" s="47"/>
      <c r="J5" s="9"/>
      <c r="K5" s="47"/>
      <c r="L5" s="9"/>
      <c r="M5" s="204">
        <f>SUM(G5:H6)</f>
        <v>8</v>
      </c>
      <c r="N5" s="193">
        <v>8</v>
      </c>
    </row>
    <row r="6" spans="1:15" ht="15" customHeight="1" x14ac:dyDescent="0.4">
      <c r="A6" s="129"/>
      <c r="B6" s="189"/>
      <c r="C6" s="10" t="s">
        <v>10</v>
      </c>
      <c r="D6" s="60" t="s">
        <v>136</v>
      </c>
      <c r="E6" s="11">
        <v>4</v>
      </c>
      <c r="F6" s="70">
        <v>4</v>
      </c>
      <c r="G6" s="48"/>
      <c r="H6" s="12">
        <v>4</v>
      </c>
      <c r="I6" s="48"/>
      <c r="J6" s="12"/>
      <c r="K6" s="48"/>
      <c r="L6" s="12"/>
      <c r="M6" s="156"/>
      <c r="N6" s="194"/>
    </row>
    <row r="7" spans="1:15" ht="15" customHeight="1" x14ac:dyDescent="0.4">
      <c r="A7" s="129"/>
      <c r="B7" s="189" t="s">
        <v>13</v>
      </c>
      <c r="C7" s="10" t="s">
        <v>10</v>
      </c>
      <c r="D7" s="60" t="s">
        <v>28</v>
      </c>
      <c r="E7" s="11">
        <v>4</v>
      </c>
      <c r="F7" s="70">
        <v>4</v>
      </c>
      <c r="G7" s="48">
        <v>4</v>
      </c>
      <c r="H7" s="12"/>
      <c r="I7" s="48"/>
      <c r="J7" s="12"/>
      <c r="K7" s="48"/>
      <c r="L7" s="12"/>
      <c r="M7" s="155">
        <f>SUM(G7:H8)</f>
        <v>8</v>
      </c>
      <c r="N7" s="196">
        <v>8</v>
      </c>
    </row>
    <row r="8" spans="1:15" ht="15" customHeight="1" x14ac:dyDescent="0.4">
      <c r="A8" s="129"/>
      <c r="B8" s="189"/>
      <c r="C8" s="10" t="s">
        <v>10</v>
      </c>
      <c r="D8" s="60" t="s">
        <v>29</v>
      </c>
      <c r="E8" s="11">
        <v>4</v>
      </c>
      <c r="F8" s="70">
        <v>4</v>
      </c>
      <c r="G8" s="48"/>
      <c r="H8" s="12">
        <v>4</v>
      </c>
      <c r="I8" s="48"/>
      <c r="J8" s="12"/>
      <c r="K8" s="48"/>
      <c r="L8" s="12"/>
      <c r="M8" s="156"/>
      <c r="N8" s="194"/>
    </row>
    <row r="9" spans="1:15" ht="15" customHeight="1" x14ac:dyDescent="0.4">
      <c r="A9" s="129"/>
      <c r="B9" s="189" t="s">
        <v>15</v>
      </c>
      <c r="C9" s="10" t="s">
        <v>10</v>
      </c>
      <c r="D9" s="60" t="s">
        <v>30</v>
      </c>
      <c r="E9" s="11">
        <v>4</v>
      </c>
      <c r="F9" s="70">
        <v>4</v>
      </c>
      <c r="G9" s="48">
        <v>4</v>
      </c>
      <c r="H9" s="12"/>
      <c r="I9" s="48"/>
      <c r="J9" s="12"/>
      <c r="K9" s="48"/>
      <c r="L9" s="12"/>
      <c r="M9" s="155">
        <f>SUM(G9:H10)</f>
        <v>8</v>
      </c>
      <c r="N9" s="196">
        <v>8</v>
      </c>
    </row>
    <row r="10" spans="1:15" ht="15" customHeight="1" x14ac:dyDescent="0.4">
      <c r="A10" s="129"/>
      <c r="B10" s="189"/>
      <c r="C10" s="10" t="s">
        <v>10</v>
      </c>
      <c r="D10" s="60" t="s">
        <v>31</v>
      </c>
      <c r="E10" s="11">
        <v>4</v>
      </c>
      <c r="F10" s="70">
        <v>4</v>
      </c>
      <c r="G10" s="48"/>
      <c r="H10" s="12">
        <v>4</v>
      </c>
      <c r="I10" s="13"/>
      <c r="J10" s="14"/>
      <c r="K10" s="13"/>
      <c r="L10" s="14"/>
      <c r="M10" s="156"/>
      <c r="N10" s="194"/>
    </row>
    <row r="11" spans="1:15" ht="15" customHeight="1" x14ac:dyDescent="0.4">
      <c r="A11" s="129"/>
      <c r="B11" s="152" t="s">
        <v>17</v>
      </c>
      <c r="C11" s="10" t="s">
        <v>10</v>
      </c>
      <c r="D11" s="60" t="s">
        <v>34</v>
      </c>
      <c r="E11" s="11">
        <v>4</v>
      </c>
      <c r="F11" s="70">
        <v>4</v>
      </c>
      <c r="G11" s="48">
        <v>4</v>
      </c>
      <c r="H11" s="12"/>
      <c r="I11" s="13"/>
      <c r="J11" s="14"/>
      <c r="K11" s="13"/>
      <c r="L11" s="14"/>
      <c r="M11" s="155">
        <f>SUM(G11:H12)</f>
        <v>8</v>
      </c>
      <c r="N11" s="198">
        <v>8</v>
      </c>
    </row>
    <row r="12" spans="1:15" ht="15" customHeight="1" x14ac:dyDescent="0.4">
      <c r="A12" s="129"/>
      <c r="B12" s="153"/>
      <c r="C12" s="10" t="s">
        <v>10</v>
      </c>
      <c r="D12" s="60" t="s">
        <v>35</v>
      </c>
      <c r="E12" s="11">
        <v>4</v>
      </c>
      <c r="F12" s="70">
        <v>4</v>
      </c>
      <c r="G12" s="48"/>
      <c r="H12" s="12">
        <v>4</v>
      </c>
      <c r="I12" s="13"/>
      <c r="J12" s="14"/>
      <c r="K12" s="13"/>
      <c r="L12" s="14"/>
      <c r="M12" s="190"/>
      <c r="N12" s="199"/>
    </row>
    <row r="13" spans="1:15" ht="15" customHeight="1" x14ac:dyDescent="0.4">
      <c r="A13" s="129"/>
      <c r="B13" s="153"/>
      <c r="C13" s="10" t="s">
        <v>10</v>
      </c>
      <c r="D13" s="60" t="s">
        <v>32</v>
      </c>
      <c r="E13" s="11">
        <v>3</v>
      </c>
      <c r="F13" s="70">
        <v>3</v>
      </c>
      <c r="G13" s="48">
        <v>3</v>
      </c>
      <c r="H13" s="12"/>
      <c r="I13" s="13"/>
      <c r="J13" s="14"/>
      <c r="K13" s="13"/>
      <c r="L13" s="14"/>
      <c r="M13" s="155">
        <f>SUM(G13:H14)</f>
        <v>6</v>
      </c>
      <c r="N13" s="198">
        <v>6</v>
      </c>
    </row>
    <row r="14" spans="1:15" ht="15" customHeight="1" x14ac:dyDescent="0.4">
      <c r="A14" s="129"/>
      <c r="B14" s="191"/>
      <c r="C14" s="10" t="s">
        <v>10</v>
      </c>
      <c r="D14" s="60" t="s">
        <v>33</v>
      </c>
      <c r="E14" s="11">
        <v>3</v>
      </c>
      <c r="F14" s="70">
        <v>3</v>
      </c>
      <c r="G14" s="48"/>
      <c r="H14" s="12">
        <v>3</v>
      </c>
      <c r="I14" s="13"/>
      <c r="J14" s="14"/>
      <c r="K14" s="13"/>
      <c r="L14" s="14"/>
      <c r="M14" s="190"/>
      <c r="N14" s="199"/>
    </row>
    <row r="15" spans="1:15" ht="15" customHeight="1" x14ac:dyDescent="0.4">
      <c r="A15" s="129"/>
      <c r="B15" s="152" t="s">
        <v>18</v>
      </c>
      <c r="C15" s="10" t="s">
        <v>10</v>
      </c>
      <c r="D15" s="61" t="s">
        <v>106</v>
      </c>
      <c r="E15" s="11">
        <v>4</v>
      </c>
      <c r="F15" s="70">
        <v>4</v>
      </c>
      <c r="G15" s="48">
        <v>4</v>
      </c>
      <c r="H15" s="12"/>
      <c r="I15" s="13"/>
      <c r="J15" s="14"/>
      <c r="K15" s="13"/>
      <c r="L15" s="14"/>
      <c r="M15" s="155">
        <f>SUM(G15:H18)</f>
        <v>10</v>
      </c>
      <c r="N15" s="196">
        <v>10</v>
      </c>
    </row>
    <row r="16" spans="1:15" ht="15" customHeight="1" x14ac:dyDescent="0.4">
      <c r="A16" s="129"/>
      <c r="B16" s="153"/>
      <c r="C16" s="10" t="s">
        <v>10</v>
      </c>
      <c r="D16" s="61" t="s">
        <v>108</v>
      </c>
      <c r="E16" s="11">
        <v>4</v>
      </c>
      <c r="F16" s="70">
        <v>4</v>
      </c>
      <c r="G16" s="48"/>
      <c r="H16" s="12">
        <v>4</v>
      </c>
      <c r="I16" s="13"/>
      <c r="J16" s="14"/>
      <c r="K16" s="13"/>
      <c r="L16" s="14"/>
      <c r="M16" s="156"/>
      <c r="N16" s="194"/>
    </row>
    <row r="17" spans="1:14" ht="15" customHeight="1" x14ac:dyDescent="0.4">
      <c r="A17" s="129"/>
      <c r="B17" s="153"/>
      <c r="C17" s="10" t="s">
        <v>10</v>
      </c>
      <c r="D17" s="61" t="s">
        <v>107</v>
      </c>
      <c r="E17" s="11">
        <v>1</v>
      </c>
      <c r="F17" s="70">
        <v>1</v>
      </c>
      <c r="G17" s="48">
        <v>1</v>
      </c>
      <c r="H17" s="12"/>
      <c r="I17" s="13"/>
      <c r="J17" s="14"/>
      <c r="K17" s="13"/>
      <c r="L17" s="14"/>
      <c r="M17" s="156"/>
      <c r="N17" s="194"/>
    </row>
    <row r="18" spans="1:14" ht="15" customHeight="1" x14ac:dyDescent="0.4">
      <c r="A18" s="129"/>
      <c r="B18" s="191"/>
      <c r="C18" s="10" t="s">
        <v>10</v>
      </c>
      <c r="D18" s="61" t="s">
        <v>105</v>
      </c>
      <c r="E18" s="11">
        <v>1</v>
      </c>
      <c r="F18" s="70">
        <v>1</v>
      </c>
      <c r="G18" s="48"/>
      <c r="H18" s="12">
        <v>1</v>
      </c>
      <c r="I18" s="13"/>
      <c r="J18" s="14"/>
      <c r="K18" s="13"/>
      <c r="L18" s="14"/>
      <c r="M18" s="190"/>
      <c r="N18" s="197"/>
    </row>
    <row r="19" spans="1:14" ht="15" customHeight="1" x14ac:dyDescent="0.4">
      <c r="A19" s="129"/>
      <c r="B19" s="152" t="s">
        <v>19</v>
      </c>
      <c r="C19" s="10" t="s">
        <v>12</v>
      </c>
      <c r="D19" s="61" t="s">
        <v>36</v>
      </c>
      <c r="E19" s="11">
        <v>3</v>
      </c>
      <c r="F19" s="70">
        <v>2</v>
      </c>
      <c r="G19" s="13">
        <v>2</v>
      </c>
      <c r="H19" s="14"/>
      <c r="I19" s="13"/>
      <c r="J19" s="14"/>
      <c r="K19" s="13"/>
      <c r="L19" s="14"/>
      <c r="M19" s="155">
        <f>SUM(G19:L24)</f>
        <v>10</v>
      </c>
      <c r="N19" s="196">
        <v>10</v>
      </c>
    </row>
    <row r="20" spans="1:14" ht="15" customHeight="1" x14ac:dyDescent="0.4">
      <c r="A20" s="129"/>
      <c r="B20" s="153"/>
      <c r="C20" s="10" t="s">
        <v>12</v>
      </c>
      <c r="D20" s="61" t="s">
        <v>37</v>
      </c>
      <c r="E20" s="15">
        <v>3</v>
      </c>
      <c r="F20" s="23">
        <v>2</v>
      </c>
      <c r="G20" s="48"/>
      <c r="H20" s="12">
        <v>2</v>
      </c>
      <c r="I20" s="48"/>
      <c r="J20" s="12"/>
      <c r="K20" s="48"/>
      <c r="L20" s="12"/>
      <c r="M20" s="156"/>
      <c r="N20" s="194"/>
    </row>
    <row r="21" spans="1:14" ht="15" customHeight="1" x14ac:dyDescent="0.4">
      <c r="A21" s="129"/>
      <c r="B21" s="153"/>
      <c r="C21" s="10" t="s">
        <v>20</v>
      </c>
      <c r="D21" s="61" t="s">
        <v>40</v>
      </c>
      <c r="E21" s="15">
        <v>2</v>
      </c>
      <c r="F21" s="23">
        <v>1</v>
      </c>
      <c r="G21" s="48"/>
      <c r="H21" s="12"/>
      <c r="I21" s="48">
        <v>1</v>
      </c>
      <c r="J21" s="12"/>
      <c r="K21" s="48"/>
      <c r="L21" s="12"/>
      <c r="M21" s="156"/>
      <c r="N21" s="194"/>
    </row>
    <row r="22" spans="1:14" ht="15" customHeight="1" x14ac:dyDescent="0.4">
      <c r="A22" s="129"/>
      <c r="B22" s="153"/>
      <c r="C22" s="10" t="s">
        <v>20</v>
      </c>
      <c r="D22" s="61" t="s">
        <v>70</v>
      </c>
      <c r="E22" s="15">
        <v>2</v>
      </c>
      <c r="F22" s="23">
        <v>1</v>
      </c>
      <c r="G22" s="48"/>
      <c r="H22" s="12"/>
      <c r="I22" s="48"/>
      <c r="J22" s="12">
        <v>1</v>
      </c>
      <c r="K22" s="48"/>
      <c r="L22" s="12"/>
      <c r="M22" s="156"/>
      <c r="N22" s="194"/>
    </row>
    <row r="23" spans="1:14" ht="15" customHeight="1" x14ac:dyDescent="0.4">
      <c r="A23" s="129"/>
      <c r="B23" s="153"/>
      <c r="C23" s="10" t="s">
        <v>20</v>
      </c>
      <c r="D23" s="61" t="s">
        <v>48</v>
      </c>
      <c r="E23" s="15">
        <v>3</v>
      </c>
      <c r="F23" s="23">
        <v>2</v>
      </c>
      <c r="G23" s="48"/>
      <c r="H23" s="12"/>
      <c r="I23" s="48"/>
      <c r="J23" s="12"/>
      <c r="K23" s="48">
        <v>2</v>
      </c>
      <c r="L23" s="12"/>
      <c r="M23" s="156"/>
      <c r="N23" s="194"/>
    </row>
    <row r="24" spans="1:14" ht="15" customHeight="1" x14ac:dyDescent="0.4">
      <c r="A24" s="129"/>
      <c r="B24" s="191"/>
      <c r="C24" s="10" t="s">
        <v>39</v>
      </c>
      <c r="D24" s="61" t="s">
        <v>38</v>
      </c>
      <c r="E24" s="15">
        <v>3</v>
      </c>
      <c r="F24" s="23">
        <v>2</v>
      </c>
      <c r="G24" s="48"/>
      <c r="H24" s="12"/>
      <c r="I24" s="48"/>
      <c r="J24" s="12"/>
      <c r="K24" s="48"/>
      <c r="L24" s="12">
        <v>2</v>
      </c>
      <c r="M24" s="190"/>
      <c r="N24" s="197"/>
    </row>
    <row r="25" spans="1:14" ht="15" customHeight="1" x14ac:dyDescent="0.4">
      <c r="A25" s="129"/>
      <c r="B25" s="152" t="s">
        <v>21</v>
      </c>
      <c r="C25" s="10" t="s">
        <v>12</v>
      </c>
      <c r="D25" s="61" t="s">
        <v>22</v>
      </c>
      <c r="E25" s="11">
        <v>3</v>
      </c>
      <c r="F25" s="70">
        <v>2</v>
      </c>
      <c r="G25" s="170" t="s">
        <v>122</v>
      </c>
      <c r="H25" s="171"/>
      <c r="I25" s="13"/>
      <c r="J25" s="14"/>
      <c r="K25" s="13"/>
      <c r="L25" s="14"/>
      <c r="M25" s="155">
        <f>SUM(G25:L28)</f>
        <v>10</v>
      </c>
      <c r="N25" s="196">
        <v>10</v>
      </c>
    </row>
    <row r="26" spans="1:14" ht="15" customHeight="1" x14ac:dyDescent="0.4">
      <c r="A26" s="129"/>
      <c r="B26" s="153"/>
      <c r="C26" s="10" t="s">
        <v>12</v>
      </c>
      <c r="D26" s="61" t="s">
        <v>23</v>
      </c>
      <c r="E26" s="11">
        <v>3</v>
      </c>
      <c r="F26" s="70">
        <v>2</v>
      </c>
      <c r="G26" s="30">
        <v>2</v>
      </c>
      <c r="H26" s="31">
        <v>2</v>
      </c>
      <c r="I26" s="13"/>
      <c r="J26" s="14"/>
      <c r="K26" s="13"/>
      <c r="L26" s="14"/>
      <c r="M26" s="156"/>
      <c r="N26" s="194"/>
    </row>
    <row r="27" spans="1:14" ht="15" customHeight="1" x14ac:dyDescent="0.4">
      <c r="A27" s="129"/>
      <c r="B27" s="153"/>
      <c r="C27" s="10" t="s">
        <v>20</v>
      </c>
      <c r="D27" s="61" t="s">
        <v>59</v>
      </c>
      <c r="E27" s="11">
        <v>3</v>
      </c>
      <c r="F27" s="70">
        <v>3</v>
      </c>
      <c r="G27" s="27"/>
      <c r="H27" s="28"/>
      <c r="I27" s="34"/>
      <c r="J27" s="35"/>
      <c r="K27" s="170" t="s">
        <v>122</v>
      </c>
      <c r="L27" s="171"/>
      <c r="M27" s="157"/>
      <c r="N27" s="194"/>
    </row>
    <row r="28" spans="1:14" ht="15" customHeight="1" x14ac:dyDescent="0.4">
      <c r="A28" s="129"/>
      <c r="B28" s="153"/>
      <c r="C28" s="10" t="s">
        <v>20</v>
      </c>
      <c r="D28" s="61" t="s">
        <v>41</v>
      </c>
      <c r="E28" s="11">
        <v>3</v>
      </c>
      <c r="F28" s="70">
        <v>3</v>
      </c>
      <c r="G28" s="27"/>
      <c r="H28" s="28"/>
      <c r="I28" s="34"/>
      <c r="J28" s="35"/>
      <c r="K28" s="30">
        <v>3</v>
      </c>
      <c r="L28" s="31">
        <v>3</v>
      </c>
      <c r="M28" s="158"/>
      <c r="N28" s="194"/>
    </row>
    <row r="29" spans="1:14" ht="15.6" customHeight="1" x14ac:dyDescent="0.4">
      <c r="A29" s="129"/>
      <c r="B29" s="152" t="s">
        <v>24</v>
      </c>
      <c r="C29" s="10" t="s">
        <v>12</v>
      </c>
      <c r="D29" s="61" t="s">
        <v>64</v>
      </c>
      <c r="E29" s="11">
        <v>3</v>
      </c>
      <c r="F29" s="70">
        <v>2</v>
      </c>
      <c r="G29" s="170" t="s">
        <v>122</v>
      </c>
      <c r="H29" s="171"/>
      <c r="I29" s="27"/>
      <c r="J29" s="28"/>
      <c r="K29" s="25"/>
      <c r="L29" s="24"/>
      <c r="M29" s="200">
        <f>SUM(G29:L32)</f>
        <v>8</v>
      </c>
      <c r="N29" s="196">
        <v>16</v>
      </c>
    </row>
    <row r="30" spans="1:14" ht="15.6" customHeight="1" x14ac:dyDescent="0.4">
      <c r="A30" s="129"/>
      <c r="B30" s="153"/>
      <c r="C30" s="10" t="s">
        <v>20</v>
      </c>
      <c r="D30" s="61" t="s">
        <v>104</v>
      </c>
      <c r="E30" s="11">
        <v>3</v>
      </c>
      <c r="F30" s="70">
        <v>2</v>
      </c>
      <c r="G30" s="30">
        <v>2</v>
      </c>
      <c r="H30" s="31">
        <v>2</v>
      </c>
      <c r="I30" s="27"/>
      <c r="J30" s="28"/>
      <c r="K30" s="25"/>
      <c r="L30" s="24"/>
      <c r="M30" s="157"/>
      <c r="N30" s="202"/>
    </row>
    <row r="31" spans="1:14" ht="14.4" customHeight="1" x14ac:dyDescent="0.4">
      <c r="A31" s="129"/>
      <c r="B31" s="153"/>
      <c r="C31" s="10" t="s">
        <v>20</v>
      </c>
      <c r="D31" s="61" t="s">
        <v>73</v>
      </c>
      <c r="E31" s="11">
        <v>3</v>
      </c>
      <c r="F31" s="70">
        <v>2</v>
      </c>
      <c r="G31" s="27"/>
      <c r="H31" s="28"/>
      <c r="I31" s="27">
        <v>2</v>
      </c>
      <c r="J31" s="28"/>
      <c r="K31" s="21"/>
      <c r="L31" s="22"/>
      <c r="M31" s="157"/>
      <c r="N31" s="202"/>
    </row>
    <row r="32" spans="1:14" ht="14.4" customHeight="1" thickBot="1" x14ac:dyDescent="0.45">
      <c r="A32" s="129"/>
      <c r="B32" s="154"/>
      <c r="C32" s="10" t="s">
        <v>20</v>
      </c>
      <c r="D32" s="61" t="s">
        <v>74</v>
      </c>
      <c r="E32" s="11">
        <v>3</v>
      </c>
      <c r="F32" s="70">
        <v>2</v>
      </c>
      <c r="G32" s="27"/>
      <c r="H32" s="28"/>
      <c r="I32" s="27"/>
      <c r="J32" s="28">
        <v>2</v>
      </c>
      <c r="K32" s="21"/>
      <c r="L32" s="22"/>
      <c r="M32" s="201"/>
      <c r="N32" s="203"/>
    </row>
    <row r="33" spans="1:19" ht="15" customHeight="1" x14ac:dyDescent="0.4">
      <c r="A33" s="128" t="s">
        <v>49</v>
      </c>
      <c r="B33" s="162" t="s">
        <v>11</v>
      </c>
      <c r="C33" s="86" t="s">
        <v>47</v>
      </c>
      <c r="D33" s="111" t="s">
        <v>62</v>
      </c>
      <c r="E33" s="8">
        <v>4</v>
      </c>
      <c r="F33" s="69">
        <v>4</v>
      </c>
      <c r="G33" s="47"/>
      <c r="H33" s="9"/>
      <c r="I33" s="32" t="s">
        <v>102</v>
      </c>
      <c r="J33" s="9"/>
      <c r="K33" s="47"/>
      <c r="L33" s="9"/>
      <c r="M33" s="192">
        <v>24</v>
      </c>
      <c r="N33" s="193"/>
    </row>
    <row r="34" spans="1:19" ht="15" customHeight="1" x14ac:dyDescent="0.4">
      <c r="A34" s="129"/>
      <c r="B34" s="138"/>
      <c r="C34" s="112" t="s">
        <v>67</v>
      </c>
      <c r="D34" s="113" t="s">
        <v>79</v>
      </c>
      <c r="E34" s="16">
        <v>4</v>
      </c>
      <c r="F34" s="71">
        <v>4</v>
      </c>
      <c r="G34" s="43"/>
      <c r="H34" s="44"/>
      <c r="I34" s="33">
        <v>4</v>
      </c>
      <c r="J34" s="44"/>
      <c r="K34" s="79"/>
      <c r="L34" s="78"/>
      <c r="M34" s="132"/>
      <c r="N34" s="194"/>
    </row>
    <row r="35" spans="1:19" ht="15" customHeight="1" x14ac:dyDescent="0.4">
      <c r="A35" s="129"/>
      <c r="B35" s="114" t="s">
        <v>14</v>
      </c>
      <c r="C35" s="93" t="s">
        <v>47</v>
      </c>
      <c r="D35" s="115" t="s">
        <v>80</v>
      </c>
      <c r="E35" s="16">
        <v>4</v>
      </c>
      <c r="F35" s="71">
        <v>4</v>
      </c>
      <c r="G35" s="43"/>
      <c r="H35" s="44"/>
      <c r="I35" s="50">
        <v>4</v>
      </c>
      <c r="J35" s="44"/>
      <c r="K35" s="79"/>
      <c r="L35" s="78"/>
      <c r="M35" s="132"/>
      <c r="N35" s="194"/>
    </row>
    <row r="36" spans="1:19" ht="15" customHeight="1" x14ac:dyDescent="0.4">
      <c r="A36" s="129"/>
      <c r="B36" s="139" t="s">
        <v>16</v>
      </c>
      <c r="C36" s="93" t="s">
        <v>47</v>
      </c>
      <c r="D36" s="115" t="s">
        <v>57</v>
      </c>
      <c r="E36" s="11">
        <v>4</v>
      </c>
      <c r="F36" s="70">
        <v>4</v>
      </c>
      <c r="G36" s="48"/>
      <c r="H36" s="12"/>
      <c r="I36" s="50">
        <v>4</v>
      </c>
      <c r="J36" s="44"/>
      <c r="K36" s="79"/>
      <c r="L36" s="78"/>
      <c r="M36" s="132"/>
      <c r="N36" s="194"/>
    </row>
    <row r="37" spans="1:19" ht="15" customHeight="1" x14ac:dyDescent="0.4">
      <c r="A37" s="129"/>
      <c r="B37" s="163"/>
      <c r="C37" s="93" t="s">
        <v>39</v>
      </c>
      <c r="D37" s="115" t="s">
        <v>141</v>
      </c>
      <c r="E37" s="11">
        <v>4</v>
      </c>
      <c r="F37" s="70">
        <v>4</v>
      </c>
      <c r="G37" s="48"/>
      <c r="H37" s="12"/>
      <c r="I37" s="50">
        <v>4</v>
      </c>
      <c r="J37" s="44"/>
      <c r="K37" s="79"/>
      <c r="L37" s="78"/>
      <c r="M37" s="132"/>
      <c r="N37" s="194"/>
      <c r="S37" s="110"/>
    </row>
    <row r="38" spans="1:19" ht="15" customHeight="1" x14ac:dyDescent="0.4">
      <c r="A38" s="129"/>
      <c r="B38" s="137" t="s">
        <v>123</v>
      </c>
      <c r="C38" s="112" t="s">
        <v>47</v>
      </c>
      <c r="D38" s="113" t="s">
        <v>113</v>
      </c>
      <c r="E38" s="16">
        <v>4</v>
      </c>
      <c r="F38" s="71">
        <v>4</v>
      </c>
      <c r="G38" s="43"/>
      <c r="H38" s="44"/>
      <c r="I38" s="50">
        <v>4</v>
      </c>
      <c r="J38" s="44"/>
      <c r="K38" s="79"/>
      <c r="L38" s="78"/>
      <c r="M38" s="132"/>
      <c r="N38" s="194"/>
    </row>
    <row r="39" spans="1:19" ht="15" customHeight="1" x14ac:dyDescent="0.4">
      <c r="A39" s="129"/>
      <c r="B39" s="138"/>
      <c r="C39" s="112" t="s">
        <v>65</v>
      </c>
      <c r="D39" s="113" t="s">
        <v>114</v>
      </c>
      <c r="E39" s="16">
        <v>4</v>
      </c>
      <c r="F39" s="71">
        <v>4</v>
      </c>
      <c r="G39" s="43"/>
      <c r="H39" s="44"/>
      <c r="I39" s="50">
        <v>4</v>
      </c>
      <c r="J39" s="44"/>
      <c r="K39" s="79"/>
      <c r="L39" s="78"/>
      <c r="M39" s="132"/>
      <c r="N39" s="194"/>
    </row>
    <row r="40" spans="1:19" ht="15" customHeight="1" x14ac:dyDescent="0.4">
      <c r="A40" s="129"/>
      <c r="B40" s="137" t="s">
        <v>124</v>
      </c>
      <c r="C40" s="93" t="s">
        <v>47</v>
      </c>
      <c r="D40" s="113" t="s">
        <v>109</v>
      </c>
      <c r="E40" s="16">
        <v>4</v>
      </c>
      <c r="F40" s="71">
        <v>4</v>
      </c>
      <c r="G40" s="43"/>
      <c r="H40" s="44"/>
      <c r="I40" s="50"/>
      <c r="J40" s="44"/>
      <c r="K40" s="79"/>
      <c r="L40" s="78"/>
      <c r="M40" s="132"/>
      <c r="N40" s="194"/>
    </row>
    <row r="41" spans="1:19" ht="15" customHeight="1" x14ac:dyDescent="0.4">
      <c r="A41" s="129"/>
      <c r="B41" s="138"/>
      <c r="C41" s="93" t="s">
        <v>20</v>
      </c>
      <c r="D41" s="116" t="s">
        <v>144</v>
      </c>
      <c r="E41" s="11">
        <v>4</v>
      </c>
      <c r="F41" s="70">
        <v>4</v>
      </c>
      <c r="G41" s="48"/>
      <c r="H41" s="12"/>
      <c r="I41" s="50"/>
      <c r="J41" s="12"/>
      <c r="K41" s="81"/>
      <c r="L41" s="12"/>
      <c r="M41" s="132"/>
      <c r="N41" s="194"/>
    </row>
    <row r="42" spans="1:19" ht="15" customHeight="1" x14ac:dyDescent="0.4">
      <c r="A42" s="129"/>
      <c r="B42" s="126" t="s">
        <v>26</v>
      </c>
      <c r="C42" s="93" t="s">
        <v>12</v>
      </c>
      <c r="D42" s="103" t="s">
        <v>152</v>
      </c>
      <c r="E42" s="11">
        <v>4</v>
      </c>
      <c r="F42" s="70">
        <v>3</v>
      </c>
      <c r="G42" s="48"/>
      <c r="H42" s="12"/>
      <c r="I42" s="51" t="s">
        <v>71</v>
      </c>
      <c r="J42" s="12"/>
      <c r="K42" s="81"/>
      <c r="L42" s="12"/>
      <c r="M42" s="125">
        <v>3</v>
      </c>
      <c r="N42" s="194"/>
    </row>
    <row r="43" spans="1:19" ht="15" customHeight="1" x14ac:dyDescent="0.4">
      <c r="A43" s="129"/>
      <c r="B43" s="137" t="s">
        <v>11</v>
      </c>
      <c r="C43" s="93" t="s">
        <v>47</v>
      </c>
      <c r="D43" s="116" t="s">
        <v>68</v>
      </c>
      <c r="E43" s="11">
        <v>4</v>
      </c>
      <c r="F43" s="70">
        <v>4</v>
      </c>
      <c r="G43" s="48"/>
      <c r="H43" s="12"/>
      <c r="I43" s="52"/>
      <c r="J43" s="36" t="s">
        <v>102</v>
      </c>
      <c r="K43" s="81"/>
      <c r="L43" s="12"/>
      <c r="M43" s="131">
        <v>24</v>
      </c>
      <c r="N43" s="194"/>
    </row>
    <row r="44" spans="1:19" ht="15" customHeight="1" x14ac:dyDescent="0.4">
      <c r="A44" s="129"/>
      <c r="B44" s="138"/>
      <c r="C44" s="112" t="s">
        <v>67</v>
      </c>
      <c r="D44" s="116" t="s">
        <v>81</v>
      </c>
      <c r="E44" s="11">
        <v>4</v>
      </c>
      <c r="F44" s="70">
        <v>4</v>
      </c>
      <c r="G44" s="48"/>
      <c r="H44" s="12"/>
      <c r="I44" s="48"/>
      <c r="J44" s="37">
        <v>4</v>
      </c>
      <c r="K44" s="81"/>
      <c r="L44" s="12"/>
      <c r="M44" s="169"/>
      <c r="N44" s="194"/>
    </row>
    <row r="45" spans="1:19" ht="15" customHeight="1" x14ac:dyDescent="0.4">
      <c r="A45" s="129"/>
      <c r="B45" s="137" t="s">
        <v>14</v>
      </c>
      <c r="C45" s="93" t="s">
        <v>47</v>
      </c>
      <c r="D45" s="116" t="s">
        <v>82</v>
      </c>
      <c r="E45" s="11">
        <v>4</v>
      </c>
      <c r="F45" s="70">
        <v>4</v>
      </c>
      <c r="G45" s="48"/>
      <c r="H45" s="12"/>
      <c r="I45" s="48"/>
      <c r="J45" s="53">
        <v>4</v>
      </c>
      <c r="K45" s="81"/>
      <c r="L45" s="12"/>
      <c r="M45" s="169"/>
      <c r="N45" s="194"/>
    </row>
    <row r="46" spans="1:19" ht="15" customHeight="1" x14ac:dyDescent="0.4">
      <c r="A46" s="129"/>
      <c r="B46" s="138"/>
      <c r="C46" s="93" t="s">
        <v>67</v>
      </c>
      <c r="D46" s="115" t="s">
        <v>139</v>
      </c>
      <c r="E46" s="11">
        <v>4</v>
      </c>
      <c r="F46" s="70">
        <v>4</v>
      </c>
      <c r="G46" s="48"/>
      <c r="H46" s="12"/>
      <c r="I46" s="48"/>
      <c r="J46" s="53">
        <v>4</v>
      </c>
      <c r="K46" s="81"/>
      <c r="L46" s="12"/>
      <c r="M46" s="169"/>
      <c r="N46" s="194"/>
    </row>
    <row r="47" spans="1:19" ht="15" customHeight="1" x14ac:dyDescent="0.4">
      <c r="A47" s="129"/>
      <c r="B47" s="139" t="s">
        <v>16</v>
      </c>
      <c r="C47" s="93" t="s">
        <v>47</v>
      </c>
      <c r="D47" s="115" t="s">
        <v>69</v>
      </c>
      <c r="E47" s="11">
        <v>4</v>
      </c>
      <c r="F47" s="70">
        <v>4</v>
      </c>
      <c r="G47" s="48"/>
      <c r="H47" s="12"/>
      <c r="I47" s="48"/>
      <c r="J47" s="53">
        <v>4</v>
      </c>
      <c r="K47" s="81"/>
      <c r="L47" s="12"/>
      <c r="M47" s="169"/>
      <c r="N47" s="194"/>
    </row>
    <row r="48" spans="1:19" ht="15" customHeight="1" x14ac:dyDescent="0.4">
      <c r="A48" s="129"/>
      <c r="B48" s="140"/>
      <c r="C48" s="93" t="s">
        <v>67</v>
      </c>
      <c r="D48" s="116" t="s">
        <v>60</v>
      </c>
      <c r="E48" s="11">
        <v>4</v>
      </c>
      <c r="F48" s="70">
        <v>4</v>
      </c>
      <c r="G48" s="48"/>
      <c r="H48" s="12"/>
      <c r="I48" s="48"/>
      <c r="J48" s="53">
        <v>4</v>
      </c>
      <c r="K48" s="81"/>
      <c r="L48" s="12"/>
      <c r="M48" s="169"/>
      <c r="N48" s="194"/>
    </row>
    <row r="49" spans="1:14" ht="15" customHeight="1" x14ac:dyDescent="0.4">
      <c r="A49" s="129"/>
      <c r="B49" s="137" t="s">
        <v>50</v>
      </c>
      <c r="C49" s="93" t="s">
        <v>66</v>
      </c>
      <c r="D49" s="116" t="s">
        <v>115</v>
      </c>
      <c r="E49" s="11">
        <v>4</v>
      </c>
      <c r="F49" s="70">
        <v>4</v>
      </c>
      <c r="G49" s="48"/>
      <c r="H49" s="12"/>
      <c r="I49" s="48"/>
      <c r="J49" s="53">
        <v>4</v>
      </c>
      <c r="K49" s="81"/>
      <c r="L49" s="12"/>
      <c r="M49" s="169"/>
      <c r="N49" s="194"/>
    </row>
    <row r="50" spans="1:14" ht="15" customHeight="1" x14ac:dyDescent="0.4">
      <c r="A50" s="129"/>
      <c r="B50" s="141"/>
      <c r="C50" s="93" t="s">
        <v>20</v>
      </c>
      <c r="D50" s="115" t="s">
        <v>116</v>
      </c>
      <c r="E50" s="11">
        <v>4</v>
      </c>
      <c r="F50" s="70">
        <v>4</v>
      </c>
      <c r="G50" s="48"/>
      <c r="H50" s="12"/>
      <c r="I50" s="48"/>
      <c r="J50" s="53"/>
      <c r="K50" s="81"/>
      <c r="L50" s="12"/>
      <c r="M50" s="169"/>
      <c r="N50" s="194"/>
    </row>
    <row r="51" spans="1:14" ht="15" customHeight="1" x14ac:dyDescent="0.4">
      <c r="A51" s="129"/>
      <c r="B51" s="137" t="s">
        <v>51</v>
      </c>
      <c r="C51" s="93" t="s">
        <v>12</v>
      </c>
      <c r="D51" s="115" t="s">
        <v>147</v>
      </c>
      <c r="E51" s="11">
        <v>4</v>
      </c>
      <c r="F51" s="70">
        <v>4</v>
      </c>
      <c r="G51" s="48"/>
      <c r="H51" s="12"/>
      <c r="I51" s="48"/>
      <c r="J51" s="53"/>
      <c r="K51" s="81"/>
      <c r="L51" s="12"/>
      <c r="M51" s="169"/>
      <c r="N51" s="194"/>
    </row>
    <row r="52" spans="1:14" ht="15" customHeight="1" x14ac:dyDescent="0.4">
      <c r="A52" s="129"/>
      <c r="B52" s="142"/>
      <c r="C52" s="93" t="s">
        <v>20</v>
      </c>
      <c r="D52" s="116" t="s">
        <v>148</v>
      </c>
      <c r="E52" s="11">
        <v>4</v>
      </c>
      <c r="F52" s="70">
        <v>4</v>
      </c>
      <c r="G52" s="58"/>
      <c r="H52" s="12"/>
      <c r="I52" s="26"/>
      <c r="J52" s="53"/>
      <c r="K52" s="81"/>
      <c r="L52" s="12"/>
      <c r="M52" s="82"/>
      <c r="N52" s="194"/>
    </row>
    <row r="53" spans="1:14" ht="15" customHeight="1" x14ac:dyDescent="0.4">
      <c r="A53" s="129"/>
      <c r="B53" s="137" t="s">
        <v>26</v>
      </c>
      <c r="C53" s="93" t="s">
        <v>20</v>
      </c>
      <c r="D53" s="103" t="s">
        <v>72</v>
      </c>
      <c r="E53" s="11">
        <v>4</v>
      </c>
      <c r="F53" s="70">
        <v>3</v>
      </c>
      <c r="G53" s="48"/>
      <c r="H53" s="12"/>
      <c r="I53" s="26"/>
      <c r="J53" s="54" t="s">
        <v>71</v>
      </c>
      <c r="K53" s="81"/>
      <c r="L53" s="12"/>
      <c r="M53" s="131">
        <v>3</v>
      </c>
      <c r="N53" s="194"/>
    </row>
    <row r="54" spans="1:14" ht="15" customHeight="1" x14ac:dyDescent="0.4">
      <c r="A54" s="129"/>
      <c r="B54" s="142"/>
      <c r="C54" s="93" t="s">
        <v>75</v>
      </c>
      <c r="D54" s="103" t="s">
        <v>55</v>
      </c>
      <c r="E54" s="11">
        <v>4</v>
      </c>
      <c r="F54" s="70">
        <v>3</v>
      </c>
      <c r="G54" s="48"/>
      <c r="H54" s="12"/>
      <c r="I54" s="26"/>
      <c r="J54" s="55">
        <v>3</v>
      </c>
      <c r="K54" s="81"/>
      <c r="L54" s="12"/>
      <c r="M54" s="195"/>
      <c r="N54" s="194"/>
    </row>
    <row r="55" spans="1:14" ht="15" customHeight="1" x14ac:dyDescent="0.4">
      <c r="A55" s="129"/>
      <c r="B55" s="114" t="s">
        <v>11</v>
      </c>
      <c r="C55" s="93" t="s">
        <v>12</v>
      </c>
      <c r="D55" s="116" t="s">
        <v>42</v>
      </c>
      <c r="E55" s="11">
        <v>4</v>
      </c>
      <c r="F55" s="70">
        <v>4</v>
      </c>
      <c r="G55" s="48"/>
      <c r="H55" s="12"/>
      <c r="I55" s="13"/>
      <c r="J55" s="14"/>
      <c r="K55" s="38" t="s">
        <v>94</v>
      </c>
      <c r="L55" s="12"/>
      <c r="M55" s="131">
        <f>SUM(K55:K61)</f>
        <v>20</v>
      </c>
      <c r="N55" s="194"/>
    </row>
    <row r="56" spans="1:14" ht="15" customHeight="1" x14ac:dyDescent="0.4">
      <c r="A56" s="129"/>
      <c r="B56" s="114" t="s">
        <v>84</v>
      </c>
      <c r="C56" s="93" t="s">
        <v>20</v>
      </c>
      <c r="D56" s="115" t="s">
        <v>149</v>
      </c>
      <c r="E56" s="11">
        <v>4</v>
      </c>
      <c r="F56" s="70">
        <v>4</v>
      </c>
      <c r="G56" s="48"/>
      <c r="H56" s="12"/>
      <c r="I56" s="48"/>
      <c r="J56" s="12"/>
      <c r="K56" s="39">
        <v>4</v>
      </c>
      <c r="L56" s="23"/>
      <c r="M56" s="169"/>
      <c r="N56" s="194"/>
    </row>
    <row r="57" spans="1:14" ht="15" customHeight="1" x14ac:dyDescent="0.4">
      <c r="A57" s="129"/>
      <c r="B57" s="137" t="s">
        <v>85</v>
      </c>
      <c r="C57" s="117" t="s">
        <v>86</v>
      </c>
      <c r="D57" s="116" t="s">
        <v>58</v>
      </c>
      <c r="E57" s="11">
        <v>4</v>
      </c>
      <c r="F57" s="70">
        <v>4</v>
      </c>
      <c r="G57" s="48"/>
      <c r="H57" s="12"/>
      <c r="I57" s="48"/>
      <c r="J57" s="12"/>
      <c r="K57" s="39">
        <v>4</v>
      </c>
      <c r="L57" s="23"/>
      <c r="M57" s="169"/>
      <c r="N57" s="194"/>
    </row>
    <row r="58" spans="1:14" ht="15" customHeight="1" x14ac:dyDescent="0.4">
      <c r="A58" s="129"/>
      <c r="B58" s="142"/>
      <c r="C58" s="118" t="s">
        <v>87</v>
      </c>
      <c r="D58" s="119" t="s">
        <v>88</v>
      </c>
      <c r="E58" s="11">
        <v>4</v>
      </c>
      <c r="F58" s="70">
        <v>4</v>
      </c>
      <c r="G58" s="48"/>
      <c r="H58" s="12"/>
      <c r="I58" s="48"/>
      <c r="J58" s="12"/>
      <c r="K58" s="39">
        <v>4</v>
      </c>
      <c r="L58" s="23"/>
      <c r="M58" s="169"/>
      <c r="N58" s="194"/>
    </row>
    <row r="59" spans="1:14" ht="15" customHeight="1" x14ac:dyDescent="0.4">
      <c r="A59" s="129"/>
      <c r="B59" s="120" t="s">
        <v>120</v>
      </c>
      <c r="C59" s="93" t="s">
        <v>89</v>
      </c>
      <c r="D59" s="103" t="s">
        <v>117</v>
      </c>
      <c r="E59" s="11">
        <v>4</v>
      </c>
      <c r="F59" s="70">
        <v>4</v>
      </c>
      <c r="G59" s="56"/>
      <c r="H59" s="57"/>
      <c r="I59" s="56"/>
      <c r="J59" s="57"/>
      <c r="K59" s="39">
        <v>4</v>
      </c>
      <c r="L59" s="23"/>
      <c r="M59" s="169"/>
      <c r="N59" s="194"/>
    </row>
    <row r="60" spans="1:14" ht="15" customHeight="1" x14ac:dyDescent="0.4">
      <c r="A60" s="129"/>
      <c r="B60" s="121" t="s">
        <v>18</v>
      </c>
      <c r="C60" s="93" t="s">
        <v>20</v>
      </c>
      <c r="D60" s="122" t="s">
        <v>145</v>
      </c>
      <c r="E60" s="11">
        <v>4</v>
      </c>
      <c r="F60" s="70">
        <v>4</v>
      </c>
      <c r="G60" s="56"/>
      <c r="H60" s="57"/>
      <c r="I60" s="56"/>
      <c r="J60" s="57"/>
      <c r="K60" s="39">
        <v>4</v>
      </c>
      <c r="L60" s="23"/>
      <c r="M60" s="169"/>
      <c r="N60" s="194"/>
    </row>
    <row r="61" spans="1:14" ht="15" customHeight="1" x14ac:dyDescent="0.4">
      <c r="A61" s="129"/>
      <c r="B61" s="123" t="s">
        <v>125</v>
      </c>
      <c r="C61" s="93" t="s">
        <v>20</v>
      </c>
      <c r="D61" s="103" t="s">
        <v>110</v>
      </c>
      <c r="E61" s="11">
        <v>4</v>
      </c>
      <c r="F61" s="70">
        <v>4</v>
      </c>
      <c r="G61" s="48"/>
      <c r="H61" s="12"/>
      <c r="I61" s="48"/>
      <c r="J61" s="12"/>
      <c r="K61" s="39"/>
      <c r="L61" s="12"/>
      <c r="M61" s="169"/>
      <c r="N61" s="194"/>
    </row>
    <row r="62" spans="1:14" ht="15" customHeight="1" x14ac:dyDescent="0.4">
      <c r="A62" s="129"/>
      <c r="B62" s="139" t="s">
        <v>76</v>
      </c>
      <c r="C62" s="93" t="s">
        <v>77</v>
      </c>
      <c r="D62" s="103" t="s">
        <v>95</v>
      </c>
      <c r="E62" s="11">
        <v>3</v>
      </c>
      <c r="F62" s="70">
        <v>2</v>
      </c>
      <c r="G62" s="48"/>
      <c r="H62" s="12"/>
      <c r="I62" s="48"/>
      <c r="J62" s="12"/>
      <c r="K62" s="40" t="s">
        <v>98</v>
      </c>
      <c r="L62" s="12"/>
      <c r="M62" s="172">
        <f>SUM(K62:K63)</f>
        <v>2</v>
      </c>
      <c r="N62" s="194"/>
    </row>
    <row r="63" spans="1:14" ht="15" customHeight="1" x14ac:dyDescent="0.4">
      <c r="A63" s="129"/>
      <c r="B63" s="138"/>
      <c r="C63" s="93" t="s">
        <v>96</v>
      </c>
      <c r="D63" s="103" t="s">
        <v>97</v>
      </c>
      <c r="E63" s="11">
        <v>3</v>
      </c>
      <c r="F63" s="70">
        <v>2</v>
      </c>
      <c r="G63" s="48"/>
      <c r="H63" s="12"/>
      <c r="I63" s="48"/>
      <c r="J63" s="12"/>
      <c r="K63" s="41">
        <v>2</v>
      </c>
      <c r="L63" s="77"/>
      <c r="M63" s="173"/>
      <c r="N63" s="194"/>
    </row>
    <row r="64" spans="1:14" ht="15" customHeight="1" x14ac:dyDescent="0.4">
      <c r="A64" s="129"/>
      <c r="B64" s="124" t="s">
        <v>90</v>
      </c>
      <c r="C64" s="93" t="s">
        <v>39</v>
      </c>
      <c r="D64" s="103" t="s">
        <v>63</v>
      </c>
      <c r="E64" s="11">
        <v>4</v>
      </c>
      <c r="F64" s="70">
        <v>4</v>
      </c>
      <c r="G64" s="56"/>
      <c r="H64" s="57"/>
      <c r="I64" s="56"/>
      <c r="J64" s="57"/>
      <c r="K64" s="17"/>
      <c r="L64" s="83" t="s">
        <v>94</v>
      </c>
      <c r="M64" s="132">
        <f>SUM(L64:L71)</f>
        <v>20</v>
      </c>
      <c r="N64" s="194"/>
    </row>
    <row r="65" spans="1:14" ht="15" customHeight="1" x14ac:dyDescent="0.4">
      <c r="A65" s="129"/>
      <c r="B65" s="124" t="s">
        <v>140</v>
      </c>
      <c r="C65" s="93" t="s">
        <v>39</v>
      </c>
      <c r="D65" s="103" t="s">
        <v>150</v>
      </c>
      <c r="E65" s="11">
        <v>4</v>
      </c>
      <c r="F65" s="70">
        <v>4</v>
      </c>
      <c r="G65" s="56"/>
      <c r="H65" s="57"/>
      <c r="I65" s="56"/>
      <c r="J65" s="57"/>
      <c r="K65" s="81"/>
      <c r="L65" s="29">
        <v>4</v>
      </c>
      <c r="M65" s="132"/>
      <c r="N65" s="194"/>
    </row>
    <row r="66" spans="1:14" ht="15" customHeight="1" x14ac:dyDescent="0.4">
      <c r="A66" s="129"/>
      <c r="B66" s="133" t="s">
        <v>16</v>
      </c>
      <c r="C66" s="93" t="s">
        <v>52</v>
      </c>
      <c r="D66" s="103" t="s">
        <v>91</v>
      </c>
      <c r="E66" s="11">
        <v>4</v>
      </c>
      <c r="F66" s="70">
        <v>4</v>
      </c>
      <c r="G66" s="56"/>
      <c r="H66" s="57"/>
      <c r="I66" s="56"/>
      <c r="J66" s="57"/>
      <c r="K66" s="81"/>
      <c r="L66" s="29">
        <v>4</v>
      </c>
      <c r="M66" s="132"/>
      <c r="N66" s="194"/>
    </row>
    <row r="67" spans="1:14" ht="15" customHeight="1" x14ac:dyDescent="0.4">
      <c r="A67" s="129"/>
      <c r="B67" s="134"/>
      <c r="C67" s="93" t="s">
        <v>121</v>
      </c>
      <c r="D67" s="116" t="s">
        <v>83</v>
      </c>
      <c r="E67" s="11">
        <v>4</v>
      </c>
      <c r="F67" s="70">
        <v>4</v>
      </c>
      <c r="G67" s="56"/>
      <c r="H67" s="57"/>
      <c r="I67" s="56"/>
      <c r="J67" s="57"/>
      <c r="K67" s="81"/>
      <c r="L67" s="29">
        <v>4</v>
      </c>
      <c r="M67" s="132"/>
      <c r="N67" s="194"/>
    </row>
    <row r="68" spans="1:14" ht="15" customHeight="1" x14ac:dyDescent="0.4">
      <c r="A68" s="129"/>
      <c r="B68" s="137" t="s">
        <v>61</v>
      </c>
      <c r="C68" s="93" t="s">
        <v>92</v>
      </c>
      <c r="D68" s="116" t="s">
        <v>118</v>
      </c>
      <c r="E68" s="11">
        <v>4</v>
      </c>
      <c r="F68" s="70">
        <v>4</v>
      </c>
      <c r="G68" s="48"/>
      <c r="H68" s="12"/>
      <c r="I68" s="48"/>
      <c r="J68" s="12"/>
      <c r="K68" s="81"/>
      <c r="L68" s="29">
        <v>4</v>
      </c>
      <c r="M68" s="132"/>
      <c r="N68" s="194"/>
    </row>
    <row r="69" spans="1:14" ht="15" customHeight="1" x14ac:dyDescent="0.4">
      <c r="A69" s="129"/>
      <c r="B69" s="142"/>
      <c r="C69" s="93" t="s">
        <v>93</v>
      </c>
      <c r="D69" s="116" t="s">
        <v>119</v>
      </c>
      <c r="E69" s="11">
        <v>4</v>
      </c>
      <c r="F69" s="70">
        <v>4</v>
      </c>
      <c r="G69" s="48"/>
      <c r="H69" s="12"/>
      <c r="I69" s="48"/>
      <c r="J69" s="12"/>
      <c r="K69" s="81"/>
      <c r="L69" s="29">
        <v>4</v>
      </c>
      <c r="M69" s="132"/>
      <c r="N69" s="194"/>
    </row>
    <row r="70" spans="1:14" ht="15" customHeight="1" x14ac:dyDescent="0.4">
      <c r="A70" s="129"/>
      <c r="B70" s="121" t="s">
        <v>18</v>
      </c>
      <c r="C70" s="93" t="s">
        <v>39</v>
      </c>
      <c r="D70" s="103" t="s">
        <v>146</v>
      </c>
      <c r="E70" s="11">
        <v>4</v>
      </c>
      <c r="F70" s="70">
        <v>4</v>
      </c>
      <c r="G70" s="48"/>
      <c r="H70" s="12"/>
      <c r="I70" s="48"/>
      <c r="J70" s="12"/>
      <c r="K70" s="81"/>
      <c r="L70" s="29"/>
      <c r="M70" s="132"/>
      <c r="N70" s="194"/>
    </row>
    <row r="71" spans="1:14" ht="15" customHeight="1" x14ac:dyDescent="0.4">
      <c r="A71" s="129"/>
      <c r="B71" s="123" t="s">
        <v>125</v>
      </c>
      <c r="C71" s="93" t="s">
        <v>39</v>
      </c>
      <c r="D71" s="103" t="s">
        <v>111</v>
      </c>
      <c r="E71" s="11">
        <v>4</v>
      </c>
      <c r="F71" s="70">
        <v>4</v>
      </c>
      <c r="G71" s="48"/>
      <c r="H71" s="12"/>
      <c r="I71" s="48"/>
      <c r="J71" s="12"/>
      <c r="K71" s="81"/>
      <c r="L71" s="29"/>
      <c r="M71" s="132"/>
      <c r="N71" s="194"/>
    </row>
    <row r="72" spans="1:14" ht="15" customHeight="1" x14ac:dyDescent="0.4">
      <c r="A72" s="129"/>
      <c r="B72" s="139" t="s">
        <v>78</v>
      </c>
      <c r="C72" s="102" t="s">
        <v>20</v>
      </c>
      <c r="D72" s="103" t="s">
        <v>100</v>
      </c>
      <c r="E72" s="11">
        <v>3</v>
      </c>
      <c r="F72" s="70">
        <v>2</v>
      </c>
      <c r="G72" s="48"/>
      <c r="H72" s="12"/>
      <c r="I72" s="48"/>
      <c r="J72" s="12"/>
      <c r="K72" s="81"/>
      <c r="L72" s="42" t="s">
        <v>101</v>
      </c>
      <c r="M72" s="131">
        <f>SUM(L72:L73)</f>
        <v>2</v>
      </c>
      <c r="N72" s="194"/>
    </row>
    <row r="73" spans="1:14" ht="15" customHeight="1" thickBot="1" x14ac:dyDescent="0.45">
      <c r="A73" s="130"/>
      <c r="B73" s="140"/>
      <c r="C73" s="102" t="s">
        <v>99</v>
      </c>
      <c r="D73" s="122" t="s">
        <v>103</v>
      </c>
      <c r="E73" s="72">
        <v>3</v>
      </c>
      <c r="F73" s="73">
        <v>2</v>
      </c>
      <c r="G73" s="63"/>
      <c r="H73" s="64"/>
      <c r="I73" s="63"/>
      <c r="J73" s="64"/>
      <c r="K73" s="80"/>
      <c r="L73" s="84">
        <v>2</v>
      </c>
      <c r="M73" s="132"/>
      <c r="N73" s="194"/>
    </row>
    <row r="74" spans="1:14" ht="15" customHeight="1" x14ac:dyDescent="0.4">
      <c r="A74" s="128" t="s">
        <v>135</v>
      </c>
      <c r="B74" s="85" t="s">
        <v>126</v>
      </c>
      <c r="C74" s="86" t="s">
        <v>127</v>
      </c>
      <c r="D74" s="87" t="s">
        <v>128</v>
      </c>
      <c r="E74" s="88">
        <v>4</v>
      </c>
      <c r="F74" s="89">
        <v>3</v>
      </c>
      <c r="G74" s="143" t="s">
        <v>153</v>
      </c>
      <c r="H74" s="144"/>
      <c r="I74" s="144"/>
      <c r="J74" s="144"/>
      <c r="K74" s="144"/>
      <c r="L74" s="145"/>
      <c r="M74" s="90"/>
      <c r="N74" s="91"/>
    </row>
    <row r="75" spans="1:14" ht="15" customHeight="1" x14ac:dyDescent="0.4">
      <c r="A75" s="129"/>
      <c r="B75" s="92" t="s">
        <v>129</v>
      </c>
      <c r="C75" s="93" t="s">
        <v>39</v>
      </c>
      <c r="D75" s="94" t="s">
        <v>130</v>
      </c>
      <c r="E75" s="95">
        <v>4</v>
      </c>
      <c r="F75" s="96">
        <v>3</v>
      </c>
      <c r="G75" s="146"/>
      <c r="H75" s="147"/>
      <c r="I75" s="147"/>
      <c r="J75" s="147"/>
      <c r="K75" s="147"/>
      <c r="L75" s="148"/>
      <c r="M75" s="97"/>
      <c r="N75" s="98"/>
    </row>
    <row r="76" spans="1:14" ht="15" customHeight="1" x14ac:dyDescent="0.4">
      <c r="A76" s="129"/>
      <c r="B76" s="92" t="s">
        <v>131</v>
      </c>
      <c r="C76" s="93" t="s">
        <v>39</v>
      </c>
      <c r="D76" s="94" t="s">
        <v>132</v>
      </c>
      <c r="E76" s="95">
        <v>4</v>
      </c>
      <c r="F76" s="96">
        <v>3</v>
      </c>
      <c r="G76" s="146"/>
      <c r="H76" s="147"/>
      <c r="I76" s="147"/>
      <c r="J76" s="147"/>
      <c r="K76" s="147"/>
      <c r="L76" s="148"/>
      <c r="M76" s="97"/>
      <c r="N76" s="98"/>
    </row>
    <row r="77" spans="1:14" ht="15" customHeight="1" x14ac:dyDescent="0.4">
      <c r="A77" s="129"/>
      <c r="B77" s="99" t="s">
        <v>18</v>
      </c>
      <c r="C77" s="93" t="s">
        <v>39</v>
      </c>
      <c r="D77" s="94" t="s">
        <v>156</v>
      </c>
      <c r="E77" s="95">
        <v>4</v>
      </c>
      <c r="F77" s="96">
        <v>3</v>
      </c>
      <c r="G77" s="146"/>
      <c r="H77" s="147"/>
      <c r="I77" s="147"/>
      <c r="J77" s="147"/>
      <c r="K77" s="147"/>
      <c r="L77" s="148"/>
      <c r="M77" s="97"/>
      <c r="N77" s="98"/>
    </row>
    <row r="78" spans="1:14" ht="15" customHeight="1" x14ac:dyDescent="0.4">
      <c r="A78" s="129"/>
      <c r="B78" s="100" t="s">
        <v>21</v>
      </c>
      <c r="C78" s="93" t="s">
        <v>133</v>
      </c>
      <c r="D78" s="94" t="s">
        <v>142</v>
      </c>
      <c r="E78" s="95">
        <v>3</v>
      </c>
      <c r="F78" s="101">
        <v>2</v>
      </c>
      <c r="G78" s="146"/>
      <c r="H78" s="147"/>
      <c r="I78" s="147"/>
      <c r="J78" s="147"/>
      <c r="K78" s="147"/>
      <c r="L78" s="148"/>
      <c r="M78" s="97"/>
      <c r="N78" s="98"/>
    </row>
    <row r="79" spans="1:14" ht="15" customHeight="1" x14ac:dyDescent="0.4">
      <c r="A79" s="129"/>
      <c r="B79" s="127" t="s">
        <v>134</v>
      </c>
      <c r="C79" s="93" t="s">
        <v>133</v>
      </c>
      <c r="D79" s="94" t="s">
        <v>154</v>
      </c>
      <c r="E79" s="95">
        <v>4</v>
      </c>
      <c r="F79" s="101">
        <v>3</v>
      </c>
      <c r="G79" s="146"/>
      <c r="H79" s="147"/>
      <c r="I79" s="147"/>
      <c r="J79" s="147"/>
      <c r="K79" s="147"/>
      <c r="L79" s="148"/>
      <c r="M79" s="97"/>
      <c r="N79" s="98"/>
    </row>
    <row r="80" spans="1:14" ht="15" customHeight="1" x14ac:dyDescent="0.4">
      <c r="A80" s="129"/>
      <c r="B80" s="135" t="s">
        <v>137</v>
      </c>
      <c r="C80" s="102" t="s">
        <v>39</v>
      </c>
      <c r="D80" s="103" t="s">
        <v>138</v>
      </c>
      <c r="E80" s="95">
        <v>3</v>
      </c>
      <c r="F80" s="96">
        <v>2</v>
      </c>
      <c r="G80" s="146"/>
      <c r="H80" s="147"/>
      <c r="I80" s="147"/>
      <c r="J80" s="147"/>
      <c r="K80" s="147"/>
      <c r="L80" s="148"/>
      <c r="M80" s="97"/>
      <c r="N80" s="98"/>
    </row>
    <row r="81" spans="1:14" ht="15" customHeight="1" thickBot="1" x14ac:dyDescent="0.45">
      <c r="A81" s="130"/>
      <c r="B81" s="136"/>
      <c r="C81" s="104" t="s">
        <v>133</v>
      </c>
      <c r="D81" s="105" t="s">
        <v>143</v>
      </c>
      <c r="E81" s="106">
        <v>3</v>
      </c>
      <c r="F81" s="107">
        <v>2</v>
      </c>
      <c r="G81" s="149"/>
      <c r="H81" s="150"/>
      <c r="I81" s="150"/>
      <c r="J81" s="150"/>
      <c r="K81" s="150"/>
      <c r="L81" s="151"/>
      <c r="M81" s="108"/>
      <c r="N81" s="109"/>
    </row>
    <row r="82" spans="1:14" ht="15.6" x14ac:dyDescent="0.4">
      <c r="A82" s="164" t="s">
        <v>53</v>
      </c>
      <c r="B82" s="164"/>
      <c r="C82" s="164"/>
      <c r="D82" s="164"/>
      <c r="E82" s="164"/>
      <c r="F82" s="165"/>
      <c r="G82" s="74">
        <f>SUM(G5:G32)</f>
        <v>30</v>
      </c>
      <c r="H82" s="76">
        <f>SUM(H5:H32)</f>
        <v>30</v>
      </c>
      <c r="I82" s="74">
        <v>30</v>
      </c>
      <c r="J82" s="65">
        <f>SUM(J5:J71)</f>
        <v>30</v>
      </c>
      <c r="K82" s="74">
        <f>SUM(K5:K73)</f>
        <v>27</v>
      </c>
      <c r="L82" s="75">
        <f>SUM(L5:L73)</f>
        <v>27</v>
      </c>
      <c r="M82" s="68">
        <f>SUM(G82:L82)</f>
        <v>174</v>
      </c>
      <c r="N82" s="65">
        <f>SUM(N9:N35)</f>
        <v>68</v>
      </c>
    </row>
    <row r="83" spans="1:14" ht="15.6" x14ac:dyDescent="0.4">
      <c r="A83" s="166" t="s">
        <v>25</v>
      </c>
      <c r="B83" s="167"/>
      <c r="C83" s="167"/>
      <c r="D83" s="167"/>
      <c r="E83" s="167"/>
      <c r="F83" s="168"/>
      <c r="G83" s="67">
        <v>3</v>
      </c>
      <c r="H83" s="12">
        <v>3</v>
      </c>
      <c r="I83" s="19">
        <v>3</v>
      </c>
      <c r="J83" s="12">
        <v>3</v>
      </c>
      <c r="K83" s="19">
        <v>3</v>
      </c>
      <c r="L83" s="49">
        <v>3</v>
      </c>
      <c r="M83" s="48">
        <f>SUM(G83:L83)</f>
        <v>18</v>
      </c>
      <c r="N83" s="12">
        <v>18</v>
      </c>
    </row>
    <row r="84" spans="1:14" ht="16.2" thickBot="1" x14ac:dyDescent="0.45">
      <c r="A84" s="159" t="s">
        <v>54</v>
      </c>
      <c r="B84" s="160"/>
      <c r="C84" s="160"/>
      <c r="D84" s="160"/>
      <c r="E84" s="160"/>
      <c r="F84" s="161"/>
      <c r="G84" s="66">
        <f t="shared" ref="G84:L84" si="0">G82+G83</f>
        <v>33</v>
      </c>
      <c r="H84" s="18">
        <f t="shared" si="0"/>
        <v>33</v>
      </c>
      <c r="I84" s="20">
        <f>I82+I83</f>
        <v>33</v>
      </c>
      <c r="J84" s="18">
        <f>J82+J83</f>
        <v>33</v>
      </c>
      <c r="K84" s="20">
        <f t="shared" si="0"/>
        <v>30</v>
      </c>
      <c r="L84" s="46">
        <f t="shared" si="0"/>
        <v>30</v>
      </c>
      <c r="M84" s="45">
        <f>SUM(G84:L84)</f>
        <v>192</v>
      </c>
      <c r="N84" s="18"/>
    </row>
    <row r="85" spans="1:14" ht="13.8" customHeight="1" x14ac:dyDescent="0.4">
      <c r="A85" s="174" t="s">
        <v>112</v>
      </c>
      <c r="B85" s="174"/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</row>
    <row r="86" spans="1:14" x14ac:dyDescent="0.4">
      <c r="A86" s="175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175"/>
      <c r="N86" s="175"/>
    </row>
    <row r="87" spans="1:14" x14ac:dyDescent="0.4">
      <c r="A87" s="175"/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5"/>
    </row>
    <row r="88" spans="1:14" x14ac:dyDescent="0.4">
      <c r="A88" s="175"/>
      <c r="B88" s="175"/>
      <c r="C88" s="175"/>
      <c r="D88" s="175"/>
      <c r="E88" s="175"/>
      <c r="F88" s="175"/>
      <c r="G88" s="175"/>
      <c r="H88" s="175"/>
      <c r="I88" s="175"/>
      <c r="J88" s="175"/>
      <c r="K88" s="175"/>
      <c r="L88" s="175"/>
      <c r="M88" s="175"/>
      <c r="N88" s="175"/>
    </row>
    <row r="89" spans="1:14" ht="39.6" customHeight="1" x14ac:dyDescent="0.4">
      <c r="A89" s="175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</row>
  </sheetData>
  <mergeCells count="73">
    <mergeCell ref="K27:L27"/>
    <mergeCell ref="N5:N6"/>
    <mergeCell ref="N33:N73"/>
    <mergeCell ref="M53:M54"/>
    <mergeCell ref="M64:M71"/>
    <mergeCell ref="N7:N8"/>
    <mergeCell ref="N15:N18"/>
    <mergeCell ref="N9:N10"/>
    <mergeCell ref="N11:N12"/>
    <mergeCell ref="N13:N14"/>
    <mergeCell ref="N19:N24"/>
    <mergeCell ref="N25:N28"/>
    <mergeCell ref="M29:M32"/>
    <mergeCell ref="N29:N32"/>
    <mergeCell ref="M5:M6"/>
    <mergeCell ref="B5:B6"/>
    <mergeCell ref="B25:B28"/>
    <mergeCell ref="B38:B39"/>
    <mergeCell ref="M15:M18"/>
    <mergeCell ref="B11:B14"/>
    <mergeCell ref="M11:M12"/>
    <mergeCell ref="M13:M14"/>
    <mergeCell ref="B9:B10"/>
    <mergeCell ref="M9:M10"/>
    <mergeCell ref="G25:H25"/>
    <mergeCell ref="B15:B18"/>
    <mergeCell ref="B19:B24"/>
    <mergeCell ref="M19:M24"/>
    <mergeCell ref="M33:M41"/>
    <mergeCell ref="B7:B8"/>
    <mergeCell ref="M7:M8"/>
    <mergeCell ref="A85:N89"/>
    <mergeCell ref="M55:M61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A5:A32"/>
    <mergeCell ref="B40:B41"/>
    <mergeCell ref="B29:B32"/>
    <mergeCell ref="M25:M28"/>
    <mergeCell ref="A84:F84"/>
    <mergeCell ref="B33:B34"/>
    <mergeCell ref="B36:B37"/>
    <mergeCell ref="B62:B63"/>
    <mergeCell ref="B72:B73"/>
    <mergeCell ref="A82:F82"/>
    <mergeCell ref="A83:F83"/>
    <mergeCell ref="B68:B69"/>
    <mergeCell ref="B57:B58"/>
    <mergeCell ref="M43:M51"/>
    <mergeCell ref="G29:H29"/>
    <mergeCell ref="A74:A81"/>
    <mergeCell ref="B53:B54"/>
    <mergeCell ref="M62:M63"/>
    <mergeCell ref="A33:A73"/>
    <mergeCell ref="M72:M73"/>
    <mergeCell ref="B66:B67"/>
    <mergeCell ref="B80:B81"/>
    <mergeCell ref="B43:B44"/>
    <mergeCell ref="B45:B46"/>
    <mergeCell ref="B47:B48"/>
    <mergeCell ref="B49:B50"/>
    <mergeCell ref="B51:B52"/>
    <mergeCell ref="G74:L81"/>
  </mergeCells>
  <phoneticPr fontId="2" type="noConversion"/>
  <printOptions horizontalCentered="1" verticalCentered="1"/>
  <pageMargins left="3.937007874015748E-2" right="3.937007874015748E-2" top="0.74803149606299213" bottom="0.74803149606299213" header="0" footer="0"/>
  <pageSetup paperSize="12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2026학년도 신입생 3개년 편제표</vt:lpstr>
      <vt:lpstr>'2026학년도 신입생 3개년 편제표'!Print_Area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sungshin</cp:lastModifiedBy>
  <cp:lastPrinted>2025-12-29T05:04:38Z</cp:lastPrinted>
  <dcterms:created xsi:type="dcterms:W3CDTF">2022-04-18T03:36:49Z</dcterms:created>
  <dcterms:modified xsi:type="dcterms:W3CDTF">2025-12-30T00:33:38Z</dcterms:modified>
</cp:coreProperties>
</file>