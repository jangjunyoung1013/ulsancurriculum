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use-my.sharepoint.com/personal/baetrue_o365_use_go_kr/Documents/바탕 화면/"/>
    </mc:Choice>
  </mc:AlternateContent>
  <xr:revisionPtr revIDLastSave="0" documentId="8_{95AA19FC-DDA4-4D92-AC69-472C5B7EAE5D}" xr6:coauthVersionLast="47" xr6:coauthVersionMax="47" xr10:uidLastSave="{00000000-0000-0000-0000-000000000000}"/>
  <bookViews>
    <workbookView xWindow="-108" yWindow="-108" windowWidth="23256" windowHeight="12456" xr2:uid="{64C0CCF9-ABF1-4242-928F-D62F83C24F7B}"/>
  </bookViews>
  <sheets>
    <sheet name="2026학년도 신입생 3개년 편제표" sheetId="2" r:id="rId1"/>
  </sheets>
  <externalReferences>
    <externalReference r:id="rId2"/>
  </externalReferences>
  <definedNames>
    <definedName name="_xlnm.Print_Area" localSheetId="0">'2026학년도 신입생 3개년 편제표'!$A$1:$N$81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8" i="2" l="1"/>
  <c r="N78" i="2"/>
  <c r="M79" i="2"/>
  <c r="G80" i="2"/>
  <c r="M80" i="2" s="1"/>
  <c r="H80" i="2"/>
  <c r="I80" i="2"/>
  <c r="J80" i="2"/>
  <c r="K80" i="2"/>
  <c r="L80" i="2"/>
</calcChain>
</file>

<file path=xl/sharedStrings.xml><?xml version="1.0" encoding="utf-8"?>
<sst xmlns="http://schemas.openxmlformats.org/spreadsheetml/2006/main" count="237" uniqueCount="123">
  <si>
    <r>
      <rPr>
        <b/>
        <sz val="8"/>
        <color theme="1"/>
        <rFont val="나눔고딕"/>
        <family val="3"/>
        <charset val="129"/>
      </rPr>
      <t xml:space="preserve">☞ 표기방법 안내
 ◦ </t>
    </r>
    <r>
      <rPr>
        <b/>
        <sz val="8"/>
        <color theme="1"/>
        <rFont val="맑은 고딕"/>
        <family val="3"/>
        <charset val="129"/>
      </rPr>
      <t xml:space="preserve">전문교과를 진로선택과목으로 가져올 때 </t>
    </r>
    <r>
      <rPr>
        <b/>
        <sz val="8"/>
        <color theme="1"/>
        <rFont val="나눔고딕"/>
        <family val="3"/>
        <charset val="129"/>
      </rPr>
      <t>★</t>
    </r>
    <r>
      <rPr>
        <b/>
        <sz val="8"/>
        <color theme="1"/>
        <rFont val="맑은 고딕"/>
        <family val="3"/>
        <charset val="129"/>
      </rPr>
      <t xml:space="preserve"> 표기</t>
    </r>
    <r>
      <rPr>
        <b/>
        <sz val="8"/>
        <color theme="1"/>
        <rFont val="나눔고딕"/>
        <family val="3"/>
        <charset val="129"/>
      </rPr>
      <t xml:space="preserve">
 </t>
    </r>
    <r>
      <rPr>
        <b/>
        <sz val="8"/>
        <color theme="1"/>
        <rFont val="나눔고딕"/>
        <family val="2"/>
        <charset val="129"/>
      </rPr>
      <t>◦</t>
    </r>
    <r>
      <rPr>
        <b/>
        <sz val="8"/>
        <color theme="1"/>
        <rFont val="나눔고딕"/>
        <family val="3"/>
        <charset val="129"/>
      </rPr>
      <t xml:space="preserve"> 교육감 승인 과목은 </t>
    </r>
    <r>
      <rPr>
        <b/>
        <sz val="8"/>
        <color theme="1"/>
        <rFont val="나눔고딕"/>
        <family val="2"/>
        <charset val="129"/>
      </rPr>
      <t>☆</t>
    </r>
    <r>
      <rPr>
        <b/>
        <sz val="8"/>
        <color theme="1"/>
        <rFont val="나눔고딕"/>
        <family val="3"/>
        <charset val="129"/>
      </rPr>
      <t xml:space="preserve"> 표기
 </t>
    </r>
    <r>
      <rPr>
        <b/>
        <sz val="8"/>
        <color theme="1"/>
        <rFont val="나눔고딕"/>
        <family val="2"/>
        <charset val="129"/>
      </rPr>
      <t>◦</t>
    </r>
    <r>
      <rPr>
        <b/>
        <sz val="8"/>
        <color theme="1"/>
        <rFont val="나눔고딕"/>
        <family val="3"/>
        <charset val="129"/>
      </rPr>
      <t xml:space="preserve"> 교과특성화학교 관련 과목은 </t>
    </r>
    <r>
      <rPr>
        <b/>
        <sz val="8"/>
        <color theme="1"/>
        <rFont val="나눔고딕"/>
        <family val="2"/>
        <charset val="129"/>
      </rPr>
      <t>■</t>
    </r>
    <r>
      <rPr>
        <b/>
        <sz val="8"/>
        <color theme="1"/>
        <rFont val="나눔고딕"/>
        <family val="3"/>
        <charset val="129"/>
      </rPr>
      <t xml:space="preserve"> 표기
</t>
    </r>
    <r>
      <rPr>
        <b/>
        <sz val="8"/>
        <color theme="1"/>
        <rFont val="나눔고딕"/>
        <family val="2"/>
        <charset val="129"/>
      </rPr>
      <t>☞</t>
    </r>
    <r>
      <rPr>
        <b/>
        <sz val="8"/>
        <color theme="1"/>
        <rFont val="나눔고딕"/>
        <family val="3"/>
        <charset val="129"/>
      </rPr>
      <t xml:space="preserve"> 교차집중표기법: 교차집중(↔)</t>
    </r>
    <phoneticPr fontId="2" type="noConversion"/>
  </si>
  <si>
    <t>학기별 총 이수 학점</t>
    <phoneticPr fontId="2" type="noConversion"/>
  </si>
  <si>
    <t>창의적 체험활동</t>
  </si>
  <si>
    <t>이수학점 소계</t>
    <phoneticPr fontId="2" type="noConversion"/>
  </si>
  <si>
    <t>공동교육과정 (3학년 1학기)</t>
    <phoneticPr fontId="2" type="noConversion"/>
  </si>
  <si>
    <t>고급 물리학, 고급 화학, 고급 생명과학</t>
    <phoneticPr fontId="2" type="noConversion"/>
  </si>
  <si>
    <t>진로</t>
    <phoneticPr fontId="2" type="noConversion"/>
  </si>
  <si>
    <t>공동교육과정 (2학년 2학기)</t>
    <phoneticPr fontId="2" type="noConversion"/>
  </si>
  <si>
    <t>물리학 실험, 화학 실험, 생명과학 실험</t>
    <phoneticPr fontId="2" type="noConversion"/>
  </si>
  <si>
    <t>과학</t>
    <phoneticPr fontId="2" type="noConversion"/>
  </si>
  <si>
    <t>공동교육과정 (2학년 1학기)</t>
    <phoneticPr fontId="2" type="noConversion"/>
  </si>
  <si>
    <t>심화 체육 전공 실기</t>
    <phoneticPr fontId="2" type="noConversion"/>
  </si>
  <si>
    <t>공동교육과정 (1학년 2학기, 2학년 2학기)</t>
    <phoneticPr fontId="2" type="noConversion"/>
  </si>
  <si>
    <t>기초 체육 전공 실기</t>
    <phoneticPr fontId="2" type="noConversion"/>
  </si>
  <si>
    <t>체육</t>
  </si>
  <si>
    <t>4
4</t>
    <phoneticPr fontId="2" type="noConversion"/>
  </si>
  <si>
    <t>과학의 역사와 문화, 융합과학 탐구</t>
  </si>
  <si>
    <t>융합</t>
  </si>
  <si>
    <t>과학</t>
  </si>
  <si>
    <t>택2</t>
    <phoneticPr fontId="2" type="noConversion"/>
  </si>
  <si>
    <t>여행지리, 역사로 탐구하는 현대 세계, 금융과 경제생활, 윤리문제 탐구,
기후변화와 지속가능한 세계</t>
    <phoneticPr fontId="2" type="noConversion"/>
  </si>
  <si>
    <t>사회</t>
  </si>
  <si>
    <t>심화 영어 독해와 작문</t>
  </si>
  <si>
    <t>진로</t>
  </si>
  <si>
    <t>세계 문화와 영어</t>
  </si>
  <si>
    <t>영어</t>
  </si>
  <si>
    <t>4
4
4
4</t>
    <phoneticPr fontId="2" type="noConversion"/>
  </si>
  <si>
    <t>실용 통계, 수학과제 탐구</t>
  </si>
  <si>
    <t>수학</t>
  </si>
  <si>
    <t>택4</t>
    <phoneticPr fontId="2" type="noConversion"/>
  </si>
  <si>
    <t>독서 토론과 글쓰기, 언어생활 탐구</t>
    <phoneticPr fontId="2" type="noConversion"/>
  </si>
  <si>
    <t>국어</t>
  </si>
  <si>
    <t>기후변화와 환경생태</t>
  </si>
  <si>
    <t>전자기와 양자, 화학 반응의 세계, 생물의 유전, 행성우주과학</t>
    <phoneticPr fontId="2" type="noConversion"/>
  </si>
  <si>
    <t>사회문제 탐구</t>
  </si>
  <si>
    <t>도시의 미래 탐구, 법과 사회, 인문학과 윤리, 국제 관계의 이해</t>
    <phoneticPr fontId="2" type="noConversion"/>
  </si>
  <si>
    <t>미디어 영어</t>
  </si>
  <si>
    <t>영어 독해와 작문</t>
  </si>
  <si>
    <t>일반</t>
  </si>
  <si>
    <t>미적분Ⅱ, 경제 수학</t>
    <phoneticPr fontId="2" type="noConversion"/>
  </si>
  <si>
    <t>확률과 통계</t>
  </si>
  <si>
    <t>매체 의사소통</t>
  </si>
  <si>
    <t>독서와 작문</t>
  </si>
  <si>
    <t>데이터 과학</t>
  </si>
  <si>
    <t>기술⋅가정/정보</t>
  </si>
  <si>
    <t>언어생활과 한자</t>
  </si>
  <si>
    <t>제2외국어/한문</t>
  </si>
  <si>
    <t>택1</t>
    <phoneticPr fontId="2" type="noConversion"/>
  </si>
  <si>
    <t>중국어 회화, 일본어 회화</t>
  </si>
  <si>
    <t>역학과 에너지, 물질과 에너지, 세포와 물질대사, 지구시스템과학</t>
    <phoneticPr fontId="2" type="noConversion"/>
  </si>
  <si>
    <t>한국지리 탐구, 동아시아 역사 기행, 정치, 경제, 윤리와 사상</t>
    <phoneticPr fontId="2" type="noConversion"/>
  </si>
  <si>
    <t>사회</t>
    <phoneticPr fontId="2" type="noConversion"/>
  </si>
  <si>
    <t>실생활 영어 회화</t>
  </si>
  <si>
    <t>4
4
4</t>
    <phoneticPr fontId="2" type="noConversion"/>
  </si>
  <si>
    <t>기하, 인공지능 수학</t>
    <phoneticPr fontId="2" type="noConversion"/>
  </si>
  <si>
    <t>택3</t>
    <phoneticPr fontId="2" type="noConversion"/>
  </si>
  <si>
    <t>주제 탐구 독서</t>
  </si>
  <si>
    <t>영미 문학 읽기</t>
  </si>
  <si>
    <t>영어Ⅱ</t>
  </si>
  <si>
    <t>직무 수학</t>
  </si>
  <si>
    <t>미적분Ⅰ</t>
  </si>
  <si>
    <t>문학과 영상</t>
  </si>
  <si>
    <t>화법과 언어</t>
  </si>
  <si>
    <t>한문 고전 읽기</t>
  </si>
  <si>
    <t>인공지능 기초</t>
  </si>
  <si>
    <t>중국어, 일본어</t>
  </si>
  <si>
    <t>물리학, 화학, 생명과학, 지구과학</t>
    <phoneticPr fontId="2" type="noConversion"/>
  </si>
  <si>
    <t>세계시민과 지리, 세계사, 사회와 문화, 현대사회와 윤리</t>
    <phoneticPr fontId="2" type="noConversion"/>
  </si>
  <si>
    <t>영어 발표와 토론</t>
  </si>
  <si>
    <t>영어Ⅰ</t>
  </si>
  <si>
    <t>수학과 문화</t>
  </si>
  <si>
    <t>대수</t>
  </si>
  <si>
    <t>직무 의사소통</t>
  </si>
  <si>
    <t>문학</t>
  </si>
  <si>
    <t>학
생
선
택
교
육
과
정</t>
    <phoneticPr fontId="2" type="noConversion"/>
  </si>
  <si>
    <t>생태와 환경</t>
  </si>
  <si>
    <t>교차집중(↔)</t>
    <phoneticPr fontId="2" type="noConversion"/>
  </si>
  <si>
    <t>진로와 직업</t>
  </si>
  <si>
    <t>교양</t>
  </si>
  <si>
    <t>한문</t>
  </si>
  <si>
    <t>정보</t>
  </si>
  <si>
    <t>미술 창작</t>
    <phoneticPr fontId="2" type="noConversion"/>
  </si>
  <si>
    <t>음악 연주와 창작</t>
    <phoneticPr fontId="2" type="noConversion"/>
  </si>
  <si>
    <t>미술</t>
    <phoneticPr fontId="2" type="noConversion"/>
  </si>
  <si>
    <t>일반</t>
    <phoneticPr fontId="2" type="noConversion"/>
  </si>
  <si>
    <t>음악</t>
    <phoneticPr fontId="2" type="noConversion"/>
  </si>
  <si>
    <t>예술</t>
    <phoneticPr fontId="2" type="noConversion"/>
  </si>
  <si>
    <t>스포츠 생활2</t>
  </si>
  <si>
    <t>스포츠 생활1</t>
  </si>
  <si>
    <t>스포츠 과학</t>
  </si>
  <si>
    <t>스포츠 문화</t>
  </si>
  <si>
    <t>체육2</t>
  </si>
  <si>
    <t>체육1</t>
  </si>
  <si>
    <t>과학탐구실험2</t>
  </si>
  <si>
    <t>공통</t>
  </si>
  <si>
    <t>과학탐구실험1</t>
  </si>
  <si>
    <t>통합과학2</t>
  </si>
  <si>
    <t>통합과학1</t>
  </si>
  <si>
    <t>한국사2</t>
  </si>
  <si>
    <t>한국사1</t>
  </si>
  <si>
    <t>통합사회2</t>
  </si>
  <si>
    <t>통합사회1</t>
  </si>
  <si>
    <t>공통영어2</t>
  </si>
  <si>
    <t>공통영어1</t>
  </si>
  <si>
    <t>공통수학2</t>
  </si>
  <si>
    <t>공통수학1</t>
  </si>
  <si>
    <t>공통국어2</t>
  </si>
  <si>
    <t>공통국어1</t>
  </si>
  <si>
    <t>학
교
지
정
교
육
과
정</t>
    <phoneticPr fontId="2" type="noConversion"/>
  </si>
  <si>
    <t>2학기</t>
  </si>
  <si>
    <t>1학기</t>
  </si>
  <si>
    <t>필수
이수
학점</t>
    <phoneticPr fontId="2" type="noConversion"/>
  </si>
  <si>
    <t>이수 
학점</t>
    <phoneticPr fontId="2" type="noConversion"/>
  </si>
  <si>
    <t>3학년</t>
  </si>
  <si>
    <t>2학년</t>
  </si>
  <si>
    <t>1학년</t>
    <phoneticPr fontId="2" type="noConversion"/>
  </si>
  <si>
    <t>운영학점</t>
    <phoneticPr fontId="2" type="noConversion"/>
  </si>
  <si>
    <t>기준
학점</t>
    <phoneticPr fontId="2" type="noConversion"/>
  </si>
  <si>
    <t>세부과목</t>
  </si>
  <si>
    <t>교과
(군)</t>
    <phoneticPr fontId="2" type="noConversion"/>
  </si>
  <si>
    <t>구분</t>
    <phoneticPr fontId="2" type="noConversion"/>
  </si>
  <si>
    <t>신정고등학교</t>
    <phoneticPr fontId="2" type="noConversion"/>
  </si>
  <si>
    <t>2026학년도 신입생 3개년 교육과정 편제표(신정고)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</si>
</sst>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b/>
      <sz val="8"/>
      <color theme="1"/>
      <name val="맑은 고딕"/>
      <family val="3"/>
      <charset val="129"/>
    </font>
    <font>
      <b/>
      <sz val="8"/>
      <color theme="1"/>
      <name val="나눔고딕"/>
      <family val="2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나눔고딕"/>
      <family val="3"/>
      <charset val="129"/>
    </font>
    <font>
      <b/>
      <sz val="16"/>
      <color rgb="FF000000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76" fontId="8" fillId="0" borderId="1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176" fontId="8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 wrapText="1"/>
    </xf>
    <xf numFmtId="176" fontId="10" fillId="0" borderId="8" xfId="0" applyNumberFormat="1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6" fontId="8" fillId="0" borderId="17" xfId="0" applyNumberFormat="1" applyFont="1" applyBorder="1" applyAlignment="1">
      <alignment horizontal="center" vertical="center" wrapText="1"/>
    </xf>
    <xf numFmtId="176" fontId="8" fillId="0" borderId="18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left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176" fontId="11" fillId="2" borderId="19" xfId="0" applyNumberFormat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76" fontId="11" fillId="2" borderId="21" xfId="0" applyNumberFormat="1" applyFont="1" applyFill="1" applyBorder="1" applyAlignment="1">
      <alignment horizontal="center" vertical="center" wrapText="1"/>
    </xf>
    <xf numFmtId="176" fontId="8" fillId="0" borderId="22" xfId="0" applyNumberFormat="1" applyFont="1" applyBorder="1" applyAlignment="1">
      <alignment horizontal="center" vertical="center" wrapText="1"/>
    </xf>
    <xf numFmtId="176" fontId="8" fillId="0" borderId="23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176" fontId="11" fillId="2" borderId="25" xfId="0" applyNumberFormat="1" applyFont="1" applyFill="1" applyBorder="1" applyAlignment="1">
      <alignment horizontal="center" vertical="center" wrapText="1"/>
    </xf>
    <xf numFmtId="176" fontId="10" fillId="0" borderId="11" xfId="0" applyNumberFormat="1" applyFont="1" applyBorder="1" applyAlignment="1">
      <alignment vertical="center" wrapText="1"/>
    </xf>
    <xf numFmtId="176" fontId="10" fillId="0" borderId="13" xfId="0" applyNumberFormat="1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 wrapText="1"/>
    </xf>
    <xf numFmtId="176" fontId="8" fillId="0" borderId="27" xfId="0" applyNumberFormat="1" applyFont="1" applyBorder="1" applyAlignment="1">
      <alignment horizontal="center" vertical="center" wrapText="1"/>
    </xf>
    <xf numFmtId="176" fontId="8" fillId="0" borderId="28" xfId="0" applyNumberFormat="1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left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11" fillId="2" borderId="29" xfId="0" applyNumberFormat="1" applyFont="1" applyFill="1" applyBorder="1" applyAlignment="1">
      <alignment horizontal="center" vertical="center" wrapText="1"/>
    </xf>
    <xf numFmtId="176" fontId="8" fillId="0" borderId="30" xfId="0" applyNumberFormat="1" applyFont="1" applyBorder="1" applyAlignment="1">
      <alignment horizontal="center" vertical="center" wrapText="1"/>
    </xf>
    <xf numFmtId="176" fontId="8" fillId="0" borderId="31" xfId="0" applyNumberFormat="1" applyFont="1" applyBorder="1" applyAlignment="1">
      <alignment horizontal="center" vertical="center" wrapText="1"/>
    </xf>
    <xf numFmtId="176" fontId="8" fillId="3" borderId="6" xfId="0" applyNumberFormat="1" applyFont="1" applyFill="1" applyBorder="1" applyAlignment="1">
      <alignment horizontal="center" vertical="center" wrapText="1"/>
    </xf>
    <xf numFmtId="176" fontId="8" fillId="0" borderId="32" xfId="0" applyNumberFormat="1" applyFont="1" applyBorder="1" applyAlignment="1">
      <alignment horizontal="center" vertical="center" wrapText="1"/>
    </xf>
    <xf numFmtId="176" fontId="8" fillId="0" borderId="33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left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11" fillId="2" borderId="34" xfId="0" applyNumberFormat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176" fontId="8" fillId="0" borderId="35" xfId="0" applyNumberFormat="1" applyFont="1" applyBorder="1" applyAlignment="1">
      <alignment horizontal="center" vertical="center" wrapText="1"/>
    </xf>
    <xf numFmtId="176" fontId="8" fillId="0" borderId="33" xfId="0" applyNumberFormat="1" applyFont="1" applyBorder="1" applyAlignment="1">
      <alignment horizontal="center" vertical="center" wrapText="1"/>
    </xf>
    <xf numFmtId="176" fontId="8" fillId="0" borderId="36" xfId="0" applyNumberFormat="1" applyFont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left" vertical="center" wrapText="1"/>
    </xf>
    <xf numFmtId="176" fontId="8" fillId="0" borderId="21" xfId="0" applyNumberFormat="1" applyFont="1" applyBorder="1" applyAlignment="1">
      <alignment horizontal="center" vertical="center" wrapText="1"/>
    </xf>
    <xf numFmtId="176" fontId="11" fillId="2" borderId="10" xfId="0" applyNumberFormat="1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176" fontId="11" fillId="2" borderId="25" xfId="0" applyNumberFormat="1" applyFont="1" applyFill="1" applyBorder="1" applyAlignment="1">
      <alignment horizontal="center" vertical="center" shrinkToFit="1"/>
    </xf>
    <xf numFmtId="176" fontId="8" fillId="0" borderId="20" xfId="0" applyNumberFormat="1" applyFont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176" fontId="11" fillId="2" borderId="21" xfId="0" applyNumberFormat="1" applyFont="1" applyFill="1" applyBorder="1" applyAlignment="1">
      <alignment horizontal="center" vertical="center" shrinkToFit="1"/>
    </xf>
    <xf numFmtId="0" fontId="8" fillId="4" borderId="36" xfId="0" applyFont="1" applyFill="1" applyBorder="1" applyAlignment="1">
      <alignment horizontal="center" vertical="center" wrapText="1"/>
    </xf>
    <xf numFmtId="176" fontId="8" fillId="4" borderId="6" xfId="0" applyNumberFormat="1" applyFont="1" applyFill="1" applyBorder="1" applyAlignment="1">
      <alignment horizontal="center" vertical="center" wrapText="1"/>
    </xf>
    <xf numFmtId="176" fontId="8" fillId="5" borderId="37" xfId="0" applyNumberFormat="1" applyFont="1" applyFill="1" applyBorder="1" applyAlignment="1">
      <alignment horizontal="center" vertical="center" wrapText="1"/>
    </xf>
    <xf numFmtId="176" fontId="8" fillId="5" borderId="20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left" vertical="center" shrinkToFit="1"/>
    </xf>
    <xf numFmtId="176" fontId="8" fillId="5" borderId="33" xfId="0" applyNumberFormat="1" applyFont="1" applyFill="1" applyBorder="1" applyAlignment="1">
      <alignment horizontal="center" vertical="center" wrapText="1"/>
    </xf>
    <xf numFmtId="176" fontId="8" fillId="5" borderId="8" xfId="0" applyNumberFormat="1" applyFont="1" applyFill="1" applyBorder="1" applyAlignment="1">
      <alignment horizontal="center" vertical="center" wrapText="1"/>
    </xf>
    <xf numFmtId="176" fontId="8" fillId="6" borderId="37" xfId="0" applyNumberFormat="1" applyFont="1" applyFill="1" applyBorder="1" applyAlignment="1">
      <alignment horizontal="center" vertical="center" wrapText="1"/>
    </xf>
    <xf numFmtId="176" fontId="8" fillId="6" borderId="20" xfId="0" applyNumberFormat="1" applyFont="1" applyFill="1" applyBorder="1" applyAlignment="1">
      <alignment horizontal="center" vertical="center" wrapText="1"/>
    </xf>
    <xf numFmtId="176" fontId="8" fillId="6" borderId="33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76" fontId="8" fillId="6" borderId="8" xfId="0" applyNumberFormat="1" applyFont="1" applyFill="1" applyBorder="1" applyAlignment="1">
      <alignment horizontal="center" vertical="center" wrapText="1"/>
    </xf>
    <xf numFmtId="176" fontId="8" fillId="7" borderId="38" xfId="0" applyNumberFormat="1" applyFont="1" applyFill="1" applyBorder="1" applyAlignment="1">
      <alignment horizontal="center" vertical="center" wrapText="1"/>
    </xf>
    <xf numFmtId="176" fontId="8" fillId="7" borderId="36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 shrinkToFit="1"/>
    </xf>
    <xf numFmtId="176" fontId="8" fillId="7" borderId="6" xfId="0" applyNumberFormat="1" applyFont="1" applyFill="1" applyBorder="1" applyAlignment="1">
      <alignment horizontal="center" vertical="center" wrapText="1"/>
    </xf>
    <xf numFmtId="176" fontId="8" fillId="8" borderId="38" xfId="0" applyNumberFormat="1" applyFont="1" applyFill="1" applyBorder="1" applyAlignment="1">
      <alignment horizontal="center" vertical="center" wrapText="1"/>
    </xf>
    <xf numFmtId="176" fontId="8" fillId="8" borderId="35" xfId="0" applyNumberFormat="1" applyFont="1" applyFill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left" vertical="center" wrapText="1" shrinkToFit="1"/>
    </xf>
    <xf numFmtId="176" fontId="8" fillId="8" borderId="36" xfId="0" applyNumberFormat="1" applyFont="1" applyFill="1" applyBorder="1" applyAlignment="1">
      <alignment horizontal="center" vertical="center" wrapText="1"/>
    </xf>
    <xf numFmtId="176" fontId="8" fillId="8" borderId="6" xfId="0" applyNumberFormat="1" applyFont="1" applyFill="1" applyBorder="1" applyAlignment="1">
      <alignment horizontal="center" vertical="center" wrapText="1"/>
    </xf>
    <xf numFmtId="176" fontId="8" fillId="9" borderId="38" xfId="0" applyNumberFormat="1" applyFont="1" applyFill="1" applyBorder="1" applyAlignment="1">
      <alignment horizontal="center" vertical="center" wrapText="1"/>
    </xf>
    <xf numFmtId="176" fontId="8" fillId="2" borderId="8" xfId="0" applyNumberFormat="1" applyFont="1" applyFill="1" applyBorder="1" applyAlignment="1">
      <alignment horizontal="center" vertical="center" wrapText="1"/>
    </xf>
    <xf numFmtId="176" fontId="8" fillId="9" borderId="35" xfId="0" applyNumberFormat="1" applyFont="1" applyFill="1" applyBorder="1" applyAlignment="1">
      <alignment horizontal="center" vertical="center" wrapText="1"/>
    </xf>
    <xf numFmtId="176" fontId="8" fillId="9" borderId="36" xfId="0" applyNumberFormat="1" applyFont="1" applyFill="1" applyBorder="1" applyAlignment="1">
      <alignment horizontal="center" vertical="center" wrapText="1"/>
    </xf>
    <xf numFmtId="176" fontId="8" fillId="9" borderId="6" xfId="0" applyNumberFormat="1" applyFont="1" applyFill="1" applyBorder="1" applyAlignment="1">
      <alignment horizontal="center" vertical="center" wrapText="1"/>
    </xf>
    <xf numFmtId="176" fontId="8" fillId="0" borderId="38" xfId="0" applyNumberFormat="1" applyFont="1" applyBorder="1" applyAlignment="1">
      <alignment horizontal="center" vertical="center" wrapText="1"/>
    </xf>
    <xf numFmtId="176" fontId="8" fillId="10" borderId="37" xfId="0" applyNumberFormat="1" applyFont="1" applyFill="1" applyBorder="1" applyAlignment="1">
      <alignment horizontal="center" vertical="center" wrapText="1"/>
    </xf>
    <xf numFmtId="176" fontId="8" fillId="10" borderId="33" xfId="0" applyNumberFormat="1" applyFont="1" applyFill="1" applyBorder="1" applyAlignment="1">
      <alignment horizontal="center" vertical="center" wrapText="1"/>
    </xf>
    <xf numFmtId="176" fontId="8" fillId="10" borderId="8" xfId="0" applyNumberFormat="1" applyFont="1" applyFill="1" applyBorder="1" applyAlignment="1">
      <alignment horizontal="center" vertical="center" wrapText="1"/>
    </xf>
    <xf numFmtId="176" fontId="8" fillId="11" borderId="33" xfId="0" applyNumberFormat="1" applyFont="1" applyFill="1" applyBorder="1" applyAlignment="1">
      <alignment horizontal="center" vertical="center" wrapText="1"/>
    </xf>
    <xf numFmtId="176" fontId="8" fillId="11" borderId="8" xfId="0" applyNumberFormat="1" applyFont="1" applyFill="1" applyBorder="1" applyAlignment="1">
      <alignment horizontal="center" vertical="center" wrapText="1"/>
    </xf>
    <xf numFmtId="176" fontId="8" fillId="12" borderId="20" xfId="0" applyNumberFormat="1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 wrapText="1"/>
    </xf>
    <xf numFmtId="176" fontId="8" fillId="0" borderId="39" xfId="0" applyNumberFormat="1" applyFont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left" vertical="center" wrapText="1" shrinkToFit="1"/>
    </xf>
    <xf numFmtId="176" fontId="8" fillId="0" borderId="25" xfId="0" applyNumberFormat="1" applyFont="1" applyBorder="1" applyAlignment="1">
      <alignment horizontal="center" vertical="center" wrapText="1"/>
    </xf>
    <xf numFmtId="176" fontId="8" fillId="12" borderId="33" xfId="0" applyNumberFormat="1" applyFont="1" applyFill="1" applyBorder="1" applyAlignment="1">
      <alignment horizontal="center" vertical="center" wrapText="1"/>
    </xf>
    <xf numFmtId="176" fontId="8" fillId="0" borderId="40" xfId="0" applyNumberFormat="1" applyFont="1" applyBorder="1" applyAlignment="1">
      <alignment horizontal="center" vertical="center" wrapText="1"/>
    </xf>
    <xf numFmtId="176" fontId="8" fillId="0" borderId="41" xfId="0" applyNumberFormat="1" applyFont="1" applyBorder="1" applyAlignment="1">
      <alignment horizontal="center" vertical="center" wrapText="1"/>
    </xf>
    <xf numFmtId="176" fontId="8" fillId="12" borderId="13" xfId="0" applyNumberFormat="1" applyFont="1" applyFill="1" applyBorder="1" applyAlignment="1">
      <alignment horizontal="center" vertical="center" wrapText="1"/>
    </xf>
    <xf numFmtId="176" fontId="8" fillId="0" borderId="14" xfId="0" applyNumberFormat="1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left" vertical="center" wrapText="1" shrinkToFit="1"/>
    </xf>
    <xf numFmtId="0" fontId="11" fillId="2" borderId="41" xfId="0" applyFont="1" applyFill="1" applyBorder="1" applyAlignment="1">
      <alignment horizontal="center" vertical="center" wrapText="1"/>
    </xf>
    <xf numFmtId="176" fontId="8" fillId="2" borderId="36" xfId="0" applyNumberFormat="1" applyFont="1" applyFill="1" applyBorder="1" applyAlignment="1">
      <alignment horizontal="center" vertical="center" wrapText="1"/>
    </xf>
    <xf numFmtId="176" fontId="8" fillId="2" borderId="33" xfId="0" applyNumberFormat="1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wrapText="1"/>
    </xf>
    <xf numFmtId="176" fontId="11" fillId="2" borderId="34" xfId="0" applyNumberFormat="1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left" vertical="center" shrinkToFit="1"/>
    </xf>
    <xf numFmtId="176" fontId="8" fillId="0" borderId="36" xfId="0" applyNumberFormat="1" applyFont="1" applyBorder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8" fillId="0" borderId="38" xfId="0" applyNumberFormat="1" applyFont="1" applyBorder="1" applyAlignment="1">
      <alignment horizontal="center" vertical="center" wrapText="1"/>
    </xf>
    <xf numFmtId="176" fontId="8" fillId="0" borderId="42" xfId="0" applyNumberFormat="1" applyFont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shrinkToFit="1"/>
    </xf>
    <xf numFmtId="176" fontId="8" fillId="2" borderId="8" xfId="0" applyNumberFormat="1" applyFont="1" applyFill="1" applyBorder="1" applyAlignment="1">
      <alignment horizontal="center" vertical="center" shrinkToFit="1"/>
    </xf>
    <xf numFmtId="176" fontId="8" fillId="0" borderId="43" xfId="0" applyNumberFormat="1" applyFont="1" applyBorder="1" applyAlignment="1">
      <alignment horizontal="center" vertical="center" wrapText="1"/>
    </xf>
    <xf numFmtId="176" fontId="8" fillId="2" borderId="7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76" fontId="11" fillId="2" borderId="10" xfId="0" applyNumberFormat="1" applyFont="1" applyFill="1" applyBorder="1" applyAlignment="1">
      <alignment horizontal="center" vertical="center" wrapText="1"/>
    </xf>
    <xf numFmtId="176" fontId="11" fillId="2" borderId="15" xfId="0" applyNumberFormat="1" applyFont="1" applyFill="1" applyBorder="1" applyAlignment="1">
      <alignment horizontal="center" vertical="center" wrapText="1"/>
    </xf>
    <xf numFmtId="176" fontId="13" fillId="13" borderId="36" xfId="0" applyNumberFormat="1" applyFont="1" applyFill="1" applyBorder="1" applyAlignment="1">
      <alignment horizontal="center" vertical="center" wrapText="1"/>
    </xf>
    <xf numFmtId="176" fontId="9" fillId="13" borderId="43" xfId="0" applyNumberFormat="1" applyFont="1" applyFill="1" applyBorder="1" applyAlignment="1">
      <alignment horizontal="center" vertical="center" wrapText="1"/>
    </xf>
    <xf numFmtId="176" fontId="9" fillId="13" borderId="36" xfId="0" applyNumberFormat="1" applyFont="1" applyFill="1" applyBorder="1" applyAlignment="1">
      <alignment horizontal="center" vertical="center" shrinkToFit="1"/>
    </xf>
    <xf numFmtId="176" fontId="9" fillId="13" borderId="33" xfId="0" applyNumberFormat="1" applyFont="1" applyFill="1" applyBorder="1" applyAlignment="1">
      <alignment horizontal="center" vertical="center" shrinkToFit="1"/>
    </xf>
    <xf numFmtId="176" fontId="9" fillId="13" borderId="32" xfId="0" applyNumberFormat="1" applyFont="1" applyFill="1" applyBorder="1" applyAlignment="1">
      <alignment horizontal="center" vertical="center" wrapText="1"/>
    </xf>
    <xf numFmtId="176" fontId="9" fillId="13" borderId="21" xfId="0" applyNumberFormat="1" applyFont="1" applyFill="1" applyBorder="1" applyAlignment="1">
      <alignment horizontal="center" vertical="center" wrapText="1"/>
    </xf>
    <xf numFmtId="0" fontId="11" fillId="13" borderId="33" xfId="0" applyFont="1" applyFill="1" applyBorder="1" applyAlignment="1">
      <alignment horizontal="center" vertical="center"/>
    </xf>
    <xf numFmtId="176" fontId="13" fillId="13" borderId="11" xfId="0" applyNumberFormat="1" applyFont="1" applyFill="1" applyBorder="1" applyAlignment="1">
      <alignment horizontal="center" vertical="center" wrapText="1"/>
    </xf>
    <xf numFmtId="176" fontId="9" fillId="13" borderId="12" xfId="0" applyNumberFormat="1" applyFont="1" applyFill="1" applyBorder="1" applyAlignment="1">
      <alignment horizontal="center" vertical="center" wrapText="1"/>
    </xf>
    <xf numFmtId="176" fontId="9" fillId="13" borderId="11" xfId="0" applyNumberFormat="1" applyFont="1" applyFill="1" applyBorder="1" applyAlignment="1">
      <alignment horizontal="center" vertical="center" wrapText="1"/>
    </xf>
    <xf numFmtId="176" fontId="9" fillId="13" borderId="13" xfId="0" applyNumberFormat="1" applyFont="1" applyFill="1" applyBorder="1" applyAlignment="1">
      <alignment horizontal="center" vertical="center" wrapText="1"/>
    </xf>
    <xf numFmtId="176" fontId="9" fillId="13" borderId="14" xfId="0" applyNumberFormat="1" applyFont="1" applyFill="1" applyBorder="1" applyAlignment="1">
      <alignment horizontal="center" vertical="center" wrapText="1"/>
    </xf>
    <xf numFmtId="176" fontId="9" fillId="13" borderId="15" xfId="0" applyNumberFormat="1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&#46020;%20&#51204;&#52404;%20&#49884;&#49688;&#54364;(&#51228;&#52636;&#50857;)/2026&#45380;&#46020;%20&#51204;&#52404;%20&#49884;&#49688;&#54364;(&#48176;&#54252;&#50857;)_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택과목 최종결과"/>
      <sheetName val="2026 교과별 시수표"/>
      <sheetName val="전체시수자료"/>
      <sheetName val="시수표작성방법!"/>
      <sheetName val="1학기시수표"/>
      <sheetName val="2학기시수표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77B0-3751-4D6C-9F46-801EC442789B}">
  <sheetPr>
    <tabColor rgb="FFFFC000"/>
    <pageSetUpPr fitToPage="1"/>
  </sheetPr>
  <dimension ref="A1:P81"/>
  <sheetViews>
    <sheetView tabSelected="1" view="pageBreakPreview" zoomScale="70" zoomScaleNormal="80" zoomScaleSheetLayoutView="70" workbookViewId="0">
      <pane xSplit="1" ySplit="4" topLeftCell="B5" activePane="bottomRight" state="frozen"/>
      <selection activeCell="U23" sqref="U23"/>
      <selection pane="topRight" activeCell="U23" sqref="U23"/>
      <selection pane="bottomLeft" activeCell="U23" sqref="U23"/>
      <selection pane="bottomRight" sqref="A1:N1"/>
    </sheetView>
  </sheetViews>
  <sheetFormatPr defaultColWidth="9" defaultRowHeight="13.8" x14ac:dyDescent="0.4"/>
  <cols>
    <col min="1" max="1" width="4" style="3" customWidth="1"/>
    <col min="2" max="2" width="13.8984375" style="2" customWidth="1"/>
    <col min="3" max="3" width="9.3984375" style="3" customWidth="1"/>
    <col min="4" max="4" width="54.5" style="2" customWidth="1"/>
    <col min="5" max="6" width="4.3984375" style="3" customWidth="1"/>
    <col min="7" max="8" width="5.796875" style="3" customWidth="1"/>
    <col min="9" max="10" width="5.796875" style="2" customWidth="1"/>
    <col min="11" max="12" width="5.796875" style="3" customWidth="1"/>
    <col min="13" max="13" width="4.3984375" style="2" customWidth="1"/>
    <col min="14" max="14" width="4.69921875" style="2" customWidth="1"/>
    <col min="15" max="15" width="4.8984375" style="1" customWidth="1"/>
    <col min="16" max="16" width="15.19921875" style="1" customWidth="1"/>
    <col min="17" max="16384" width="9" style="1"/>
  </cols>
  <sheetData>
    <row r="1" spans="1:14" ht="31.95" customHeight="1" x14ac:dyDescent="0.4">
      <c r="A1" s="162" t="s">
        <v>122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22.2" customHeight="1" thickBot="1" x14ac:dyDescent="0.45">
      <c r="A2" s="161" t="s">
        <v>121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3" spans="1:14" ht="19.95" customHeight="1" x14ac:dyDescent="0.4">
      <c r="A3" s="160" t="s">
        <v>120</v>
      </c>
      <c r="B3" s="159" t="s">
        <v>119</v>
      </c>
      <c r="C3" s="159" t="s">
        <v>118</v>
      </c>
      <c r="D3" s="159"/>
      <c r="E3" s="159" t="s">
        <v>117</v>
      </c>
      <c r="F3" s="158" t="s">
        <v>116</v>
      </c>
      <c r="G3" s="157" t="s">
        <v>115</v>
      </c>
      <c r="H3" s="156"/>
      <c r="I3" s="157" t="s">
        <v>114</v>
      </c>
      <c r="J3" s="156"/>
      <c r="K3" s="157" t="s">
        <v>113</v>
      </c>
      <c r="L3" s="156"/>
      <c r="M3" s="155" t="s">
        <v>112</v>
      </c>
      <c r="N3" s="154" t="s">
        <v>111</v>
      </c>
    </row>
    <row r="4" spans="1:14" ht="19.95" customHeight="1" thickBot="1" x14ac:dyDescent="0.45">
      <c r="A4" s="153"/>
      <c r="B4" s="152"/>
      <c r="C4" s="152"/>
      <c r="D4" s="152"/>
      <c r="E4" s="152"/>
      <c r="F4" s="151"/>
      <c r="G4" s="150" t="s">
        <v>110</v>
      </c>
      <c r="H4" s="149" t="s">
        <v>109</v>
      </c>
      <c r="I4" s="150" t="s">
        <v>110</v>
      </c>
      <c r="J4" s="149" t="s">
        <v>109</v>
      </c>
      <c r="K4" s="150" t="s">
        <v>110</v>
      </c>
      <c r="L4" s="149" t="s">
        <v>109</v>
      </c>
      <c r="M4" s="148"/>
      <c r="N4" s="147"/>
    </row>
    <row r="5" spans="1:14" ht="15" customHeight="1" x14ac:dyDescent="0.4">
      <c r="A5" s="126" t="s">
        <v>108</v>
      </c>
      <c r="B5" s="146" t="s">
        <v>31</v>
      </c>
      <c r="C5" s="49" t="s">
        <v>94</v>
      </c>
      <c r="D5" s="48" t="s">
        <v>107</v>
      </c>
      <c r="E5" s="47">
        <v>4</v>
      </c>
      <c r="F5" s="124">
        <v>3</v>
      </c>
      <c r="G5" s="20">
        <v>3</v>
      </c>
      <c r="H5" s="18"/>
      <c r="I5" s="20"/>
      <c r="J5" s="18"/>
      <c r="K5" s="20"/>
      <c r="L5" s="18"/>
      <c r="M5" s="121">
        <v>6</v>
      </c>
      <c r="N5" s="120">
        <v>8</v>
      </c>
    </row>
    <row r="6" spans="1:14" ht="15" customHeight="1" x14ac:dyDescent="0.4">
      <c r="A6" s="61"/>
      <c r="B6" s="145"/>
      <c r="C6" s="32" t="s">
        <v>94</v>
      </c>
      <c r="D6" s="31" t="s">
        <v>106</v>
      </c>
      <c r="E6" s="30">
        <v>4</v>
      </c>
      <c r="F6" s="35">
        <v>3</v>
      </c>
      <c r="G6" s="14"/>
      <c r="H6" s="12">
        <v>3</v>
      </c>
      <c r="I6" s="14"/>
      <c r="J6" s="12"/>
      <c r="K6" s="14"/>
      <c r="L6" s="12"/>
      <c r="M6" s="73"/>
      <c r="N6" s="62"/>
    </row>
    <row r="7" spans="1:14" ht="15" customHeight="1" x14ac:dyDescent="0.4">
      <c r="A7" s="61"/>
      <c r="B7" s="145" t="s">
        <v>28</v>
      </c>
      <c r="C7" s="32" t="s">
        <v>94</v>
      </c>
      <c r="D7" s="31" t="s">
        <v>105</v>
      </c>
      <c r="E7" s="30">
        <v>4</v>
      </c>
      <c r="F7" s="35">
        <v>3</v>
      </c>
      <c r="G7" s="14">
        <v>3</v>
      </c>
      <c r="H7" s="12"/>
      <c r="I7" s="14"/>
      <c r="J7" s="12"/>
      <c r="K7" s="14"/>
      <c r="L7" s="12"/>
      <c r="M7" s="63">
        <v>6</v>
      </c>
      <c r="N7" s="133">
        <v>8</v>
      </c>
    </row>
    <row r="8" spans="1:14" ht="15" customHeight="1" x14ac:dyDescent="0.4">
      <c r="A8" s="61"/>
      <c r="B8" s="145"/>
      <c r="C8" s="32" t="s">
        <v>94</v>
      </c>
      <c r="D8" s="31" t="s">
        <v>104</v>
      </c>
      <c r="E8" s="30">
        <v>4</v>
      </c>
      <c r="F8" s="35">
        <v>3</v>
      </c>
      <c r="G8" s="14"/>
      <c r="H8" s="12">
        <v>3</v>
      </c>
      <c r="I8" s="14"/>
      <c r="J8" s="12"/>
      <c r="K8" s="14"/>
      <c r="L8" s="12"/>
      <c r="M8" s="73"/>
      <c r="N8" s="62"/>
    </row>
    <row r="9" spans="1:14" ht="15" customHeight="1" x14ac:dyDescent="0.4">
      <c r="A9" s="61"/>
      <c r="B9" s="145" t="s">
        <v>25</v>
      </c>
      <c r="C9" s="32" t="s">
        <v>94</v>
      </c>
      <c r="D9" s="31" t="s">
        <v>103</v>
      </c>
      <c r="E9" s="30">
        <v>4</v>
      </c>
      <c r="F9" s="35">
        <v>3</v>
      </c>
      <c r="G9" s="14">
        <v>3</v>
      </c>
      <c r="H9" s="12"/>
      <c r="I9" s="14"/>
      <c r="J9" s="12"/>
      <c r="K9" s="14"/>
      <c r="L9" s="12"/>
      <c r="M9" s="63">
        <v>6</v>
      </c>
      <c r="N9" s="133">
        <v>8</v>
      </c>
    </row>
    <row r="10" spans="1:14" ht="15" customHeight="1" x14ac:dyDescent="0.4">
      <c r="A10" s="61"/>
      <c r="B10" s="145"/>
      <c r="C10" s="32" t="s">
        <v>94</v>
      </c>
      <c r="D10" s="31" t="s">
        <v>102</v>
      </c>
      <c r="E10" s="30">
        <v>4</v>
      </c>
      <c r="F10" s="35">
        <v>3</v>
      </c>
      <c r="G10" s="14"/>
      <c r="H10" s="12">
        <v>3</v>
      </c>
      <c r="I10" s="102"/>
      <c r="J10" s="129"/>
      <c r="K10" s="102"/>
      <c r="L10" s="129"/>
      <c r="M10" s="73"/>
      <c r="N10" s="62"/>
    </row>
    <row r="11" spans="1:14" ht="15" customHeight="1" x14ac:dyDescent="0.4">
      <c r="A11" s="61"/>
      <c r="B11" s="36" t="s">
        <v>21</v>
      </c>
      <c r="C11" s="32" t="s">
        <v>94</v>
      </c>
      <c r="D11" s="31" t="s">
        <v>101</v>
      </c>
      <c r="E11" s="30">
        <v>4</v>
      </c>
      <c r="F11" s="35">
        <v>4</v>
      </c>
      <c r="G11" s="14">
        <v>4</v>
      </c>
      <c r="H11" s="12"/>
      <c r="I11" s="102"/>
      <c r="J11" s="129"/>
      <c r="K11" s="102"/>
      <c r="L11" s="129"/>
      <c r="M11" s="63">
        <v>8</v>
      </c>
      <c r="N11" s="144">
        <v>8</v>
      </c>
    </row>
    <row r="12" spans="1:14" ht="15" customHeight="1" x14ac:dyDescent="0.4">
      <c r="A12" s="61"/>
      <c r="B12" s="33"/>
      <c r="C12" s="32" t="s">
        <v>94</v>
      </c>
      <c r="D12" s="31" t="s">
        <v>100</v>
      </c>
      <c r="E12" s="30">
        <v>4</v>
      </c>
      <c r="F12" s="35">
        <v>4</v>
      </c>
      <c r="G12" s="14"/>
      <c r="H12" s="12">
        <v>4</v>
      </c>
      <c r="I12" s="102"/>
      <c r="J12" s="129"/>
      <c r="K12" s="102"/>
      <c r="L12" s="129"/>
      <c r="M12" s="70"/>
      <c r="N12" s="143"/>
    </row>
    <row r="13" spans="1:14" ht="15" customHeight="1" x14ac:dyDescent="0.4">
      <c r="A13" s="61"/>
      <c r="B13" s="33"/>
      <c r="C13" s="32" t="s">
        <v>94</v>
      </c>
      <c r="D13" s="31" t="s">
        <v>99</v>
      </c>
      <c r="E13" s="30">
        <v>3</v>
      </c>
      <c r="F13" s="35">
        <v>3</v>
      </c>
      <c r="G13" s="14">
        <v>3</v>
      </c>
      <c r="H13" s="12"/>
      <c r="I13" s="102"/>
      <c r="J13" s="129"/>
      <c r="K13" s="102"/>
      <c r="L13" s="129"/>
      <c r="M13" s="63">
        <v>6</v>
      </c>
      <c r="N13" s="144">
        <v>6</v>
      </c>
    </row>
    <row r="14" spans="1:14" ht="15" customHeight="1" x14ac:dyDescent="0.4">
      <c r="A14" s="61"/>
      <c r="B14" s="40"/>
      <c r="C14" s="32" t="s">
        <v>94</v>
      </c>
      <c r="D14" s="31" t="s">
        <v>98</v>
      </c>
      <c r="E14" s="30">
        <v>3</v>
      </c>
      <c r="F14" s="35">
        <v>3</v>
      </c>
      <c r="G14" s="14"/>
      <c r="H14" s="12">
        <v>3</v>
      </c>
      <c r="I14" s="102"/>
      <c r="J14" s="129"/>
      <c r="K14" s="102"/>
      <c r="L14" s="129"/>
      <c r="M14" s="70"/>
      <c r="N14" s="143"/>
    </row>
    <row r="15" spans="1:14" ht="15" customHeight="1" x14ac:dyDescent="0.4">
      <c r="A15" s="61"/>
      <c r="B15" s="36" t="s">
        <v>9</v>
      </c>
      <c r="C15" s="32" t="s">
        <v>94</v>
      </c>
      <c r="D15" s="84" t="s">
        <v>97</v>
      </c>
      <c r="E15" s="30">
        <v>4</v>
      </c>
      <c r="F15" s="35">
        <v>4</v>
      </c>
      <c r="G15" s="14">
        <v>4</v>
      </c>
      <c r="H15" s="12"/>
      <c r="I15" s="102"/>
      <c r="J15" s="129"/>
      <c r="K15" s="102"/>
      <c r="L15" s="129"/>
      <c r="M15" s="63">
        <v>10</v>
      </c>
      <c r="N15" s="133">
        <v>10</v>
      </c>
    </row>
    <row r="16" spans="1:14" ht="15" customHeight="1" x14ac:dyDescent="0.4">
      <c r="A16" s="61"/>
      <c r="B16" s="33"/>
      <c r="C16" s="32" t="s">
        <v>94</v>
      </c>
      <c r="D16" s="84" t="s">
        <v>96</v>
      </c>
      <c r="E16" s="30">
        <v>4</v>
      </c>
      <c r="F16" s="35">
        <v>4</v>
      </c>
      <c r="G16" s="14"/>
      <c r="H16" s="12">
        <v>4</v>
      </c>
      <c r="I16" s="102"/>
      <c r="J16" s="129"/>
      <c r="K16" s="102"/>
      <c r="L16" s="129"/>
      <c r="M16" s="73"/>
      <c r="N16" s="62"/>
    </row>
    <row r="17" spans="1:16" ht="15" customHeight="1" x14ac:dyDescent="0.4">
      <c r="A17" s="61"/>
      <c r="B17" s="33"/>
      <c r="C17" s="32" t="s">
        <v>94</v>
      </c>
      <c r="D17" s="84" t="s">
        <v>95</v>
      </c>
      <c r="E17" s="30">
        <v>1</v>
      </c>
      <c r="F17" s="35">
        <v>1</v>
      </c>
      <c r="G17" s="14">
        <v>1</v>
      </c>
      <c r="H17" s="12"/>
      <c r="I17" s="102"/>
      <c r="J17" s="129"/>
      <c r="K17" s="102"/>
      <c r="L17" s="129"/>
      <c r="M17" s="73"/>
      <c r="N17" s="62"/>
    </row>
    <row r="18" spans="1:16" ht="15" customHeight="1" x14ac:dyDescent="0.4">
      <c r="A18" s="61"/>
      <c r="B18" s="40"/>
      <c r="C18" s="32" t="s">
        <v>94</v>
      </c>
      <c r="D18" s="84" t="s">
        <v>93</v>
      </c>
      <c r="E18" s="30">
        <v>1</v>
      </c>
      <c r="F18" s="35">
        <v>1</v>
      </c>
      <c r="G18" s="14"/>
      <c r="H18" s="12">
        <v>1</v>
      </c>
      <c r="I18" s="102"/>
      <c r="J18" s="129"/>
      <c r="K18" s="102"/>
      <c r="L18" s="129"/>
      <c r="M18" s="70"/>
      <c r="N18" s="135"/>
    </row>
    <row r="19" spans="1:16" ht="15" customHeight="1" x14ac:dyDescent="0.4">
      <c r="A19" s="61"/>
      <c r="B19" s="36" t="s">
        <v>14</v>
      </c>
      <c r="C19" s="32" t="s">
        <v>38</v>
      </c>
      <c r="D19" s="84" t="s">
        <v>92</v>
      </c>
      <c r="E19" s="30">
        <v>3</v>
      </c>
      <c r="F19" s="35">
        <v>2</v>
      </c>
      <c r="G19" s="102">
        <v>2</v>
      </c>
      <c r="H19" s="129"/>
      <c r="I19" s="102"/>
      <c r="J19" s="129"/>
      <c r="K19" s="102"/>
      <c r="L19" s="129"/>
      <c r="M19" s="63">
        <v>10</v>
      </c>
      <c r="N19" s="133">
        <v>10</v>
      </c>
    </row>
    <row r="20" spans="1:16" ht="15" customHeight="1" x14ac:dyDescent="0.4">
      <c r="A20" s="61"/>
      <c r="B20" s="33"/>
      <c r="C20" s="32" t="s">
        <v>38</v>
      </c>
      <c r="D20" s="84" t="s">
        <v>91</v>
      </c>
      <c r="E20" s="142">
        <v>3</v>
      </c>
      <c r="F20" s="141">
        <v>2</v>
      </c>
      <c r="G20" s="14"/>
      <c r="H20" s="12">
        <v>2</v>
      </c>
      <c r="I20" s="14"/>
      <c r="J20" s="12"/>
      <c r="K20" s="14"/>
      <c r="L20" s="12"/>
      <c r="M20" s="73"/>
      <c r="N20" s="62"/>
    </row>
    <row r="21" spans="1:16" ht="14.4" customHeight="1" x14ac:dyDescent="0.4">
      <c r="A21" s="61"/>
      <c r="B21" s="33"/>
      <c r="C21" s="32" t="s">
        <v>23</v>
      </c>
      <c r="D21" s="84" t="s">
        <v>90</v>
      </c>
      <c r="E21" s="142">
        <v>2</v>
      </c>
      <c r="F21" s="141">
        <v>1</v>
      </c>
      <c r="G21" s="14"/>
      <c r="H21" s="12"/>
      <c r="I21" s="14">
        <v>1</v>
      </c>
      <c r="J21" s="12"/>
      <c r="K21" s="14"/>
      <c r="L21" s="12"/>
      <c r="M21" s="73"/>
      <c r="N21" s="62"/>
    </row>
    <row r="22" spans="1:16" ht="15" customHeight="1" x14ac:dyDescent="0.4">
      <c r="A22" s="61"/>
      <c r="B22" s="33"/>
      <c r="C22" s="32" t="s">
        <v>23</v>
      </c>
      <c r="D22" s="84" t="s">
        <v>89</v>
      </c>
      <c r="E22" s="142">
        <v>2</v>
      </c>
      <c r="F22" s="141">
        <v>1</v>
      </c>
      <c r="G22" s="14"/>
      <c r="H22" s="12"/>
      <c r="I22" s="14"/>
      <c r="J22" s="12">
        <v>1</v>
      </c>
      <c r="K22" s="14"/>
      <c r="L22" s="12"/>
      <c r="M22" s="73"/>
      <c r="N22" s="62"/>
    </row>
    <row r="23" spans="1:16" ht="15" customHeight="1" x14ac:dyDescent="0.4">
      <c r="A23" s="61"/>
      <c r="B23" s="33"/>
      <c r="C23" s="32" t="s">
        <v>17</v>
      </c>
      <c r="D23" s="84" t="s">
        <v>88</v>
      </c>
      <c r="E23" s="142">
        <v>3</v>
      </c>
      <c r="F23" s="141">
        <v>2</v>
      </c>
      <c r="G23" s="14"/>
      <c r="H23" s="12"/>
      <c r="I23" s="14"/>
      <c r="J23" s="12"/>
      <c r="K23" s="14">
        <v>2</v>
      </c>
      <c r="L23" s="12"/>
      <c r="M23" s="73"/>
      <c r="N23" s="62"/>
    </row>
    <row r="24" spans="1:16" ht="15" customHeight="1" x14ac:dyDescent="0.4">
      <c r="A24" s="61"/>
      <c r="B24" s="40"/>
      <c r="C24" s="32" t="s">
        <v>17</v>
      </c>
      <c r="D24" s="84" t="s">
        <v>87</v>
      </c>
      <c r="E24" s="142">
        <v>3</v>
      </c>
      <c r="F24" s="141">
        <v>2</v>
      </c>
      <c r="G24" s="14"/>
      <c r="H24" s="12"/>
      <c r="I24" s="14"/>
      <c r="J24" s="12"/>
      <c r="K24" s="14"/>
      <c r="L24" s="12">
        <v>2</v>
      </c>
      <c r="M24" s="70"/>
      <c r="N24" s="135"/>
    </row>
    <row r="25" spans="1:16" ht="15.6" x14ac:dyDescent="0.4">
      <c r="A25" s="61"/>
      <c r="B25" s="36" t="s">
        <v>86</v>
      </c>
      <c r="C25" s="32" t="s">
        <v>84</v>
      </c>
      <c r="D25" s="84" t="s">
        <v>85</v>
      </c>
      <c r="E25" s="30">
        <v>3</v>
      </c>
      <c r="F25" s="35">
        <v>2</v>
      </c>
      <c r="G25" s="28" t="s">
        <v>76</v>
      </c>
      <c r="H25" s="26"/>
      <c r="I25" s="140"/>
      <c r="J25" s="129"/>
      <c r="K25" s="102"/>
      <c r="L25" s="129"/>
      <c r="M25" s="139">
        <v>4</v>
      </c>
      <c r="N25" s="133">
        <v>10</v>
      </c>
    </row>
    <row r="26" spans="1:16" ht="15.6" x14ac:dyDescent="0.4">
      <c r="A26" s="61"/>
      <c r="B26" s="33"/>
      <c r="C26" s="32" t="s">
        <v>84</v>
      </c>
      <c r="D26" s="84" t="s">
        <v>83</v>
      </c>
      <c r="E26" s="30">
        <v>3</v>
      </c>
      <c r="F26" s="35">
        <v>2</v>
      </c>
      <c r="G26" s="102">
        <v>2</v>
      </c>
      <c r="H26" s="12">
        <v>2</v>
      </c>
      <c r="I26" s="102"/>
      <c r="J26" s="129"/>
      <c r="K26" s="102"/>
      <c r="L26" s="129"/>
      <c r="M26" s="136"/>
      <c r="N26" s="62"/>
    </row>
    <row r="27" spans="1:16" ht="15.6" x14ac:dyDescent="0.4">
      <c r="A27" s="61"/>
      <c r="B27" s="33"/>
      <c r="C27" s="32" t="s">
        <v>6</v>
      </c>
      <c r="D27" s="84" t="s">
        <v>82</v>
      </c>
      <c r="E27" s="30">
        <v>3</v>
      </c>
      <c r="F27" s="35">
        <v>3</v>
      </c>
      <c r="G27" s="138"/>
      <c r="H27" s="137"/>
      <c r="I27" s="28" t="s">
        <v>76</v>
      </c>
      <c r="J27" s="26"/>
      <c r="K27" s="102"/>
      <c r="L27" s="129"/>
      <c r="M27" s="139">
        <v>6</v>
      </c>
      <c r="N27" s="62"/>
    </row>
    <row r="28" spans="1:16" ht="15.6" x14ac:dyDescent="0.4">
      <c r="A28" s="61"/>
      <c r="B28" s="40"/>
      <c r="C28" s="32" t="s">
        <v>6</v>
      </c>
      <c r="D28" s="84" t="s">
        <v>81</v>
      </c>
      <c r="E28" s="30">
        <v>3</v>
      </c>
      <c r="F28" s="35">
        <v>3</v>
      </c>
      <c r="G28" s="138"/>
      <c r="H28" s="137"/>
      <c r="I28" s="14">
        <v>3</v>
      </c>
      <c r="J28" s="12">
        <v>3</v>
      </c>
      <c r="K28" s="102"/>
      <c r="L28" s="129"/>
      <c r="M28" s="136"/>
      <c r="N28" s="135"/>
      <c r="P28" s="134"/>
    </row>
    <row r="29" spans="1:16" ht="15" customHeight="1" x14ac:dyDescent="0.4">
      <c r="A29" s="61"/>
      <c r="B29" s="69" t="s">
        <v>44</v>
      </c>
      <c r="C29" s="32" t="s">
        <v>38</v>
      </c>
      <c r="D29" s="84" t="s">
        <v>80</v>
      </c>
      <c r="E29" s="30">
        <v>4</v>
      </c>
      <c r="F29" s="35">
        <v>3</v>
      </c>
      <c r="G29" s="28" t="s">
        <v>76</v>
      </c>
      <c r="H29" s="26"/>
      <c r="I29" s="102"/>
      <c r="J29" s="129"/>
      <c r="K29" s="102"/>
      <c r="L29" s="129"/>
      <c r="M29" s="63">
        <v>10</v>
      </c>
      <c r="N29" s="133">
        <v>16</v>
      </c>
    </row>
    <row r="30" spans="1:16" ht="15" customHeight="1" x14ac:dyDescent="0.4">
      <c r="A30" s="61"/>
      <c r="B30" s="69" t="s">
        <v>46</v>
      </c>
      <c r="C30" s="68" t="s">
        <v>38</v>
      </c>
      <c r="D30" s="132" t="s">
        <v>79</v>
      </c>
      <c r="E30" s="66">
        <v>4</v>
      </c>
      <c r="F30" s="65">
        <v>3</v>
      </c>
      <c r="G30" s="14">
        <v>3</v>
      </c>
      <c r="H30" s="12">
        <v>3</v>
      </c>
      <c r="I30" s="128"/>
      <c r="J30" s="127"/>
      <c r="K30" s="128"/>
      <c r="L30" s="127"/>
      <c r="M30" s="73"/>
      <c r="N30" s="62"/>
    </row>
    <row r="31" spans="1:16" ht="15" customHeight="1" x14ac:dyDescent="0.4">
      <c r="A31" s="61"/>
      <c r="B31" s="33" t="s">
        <v>78</v>
      </c>
      <c r="C31" s="68" t="s">
        <v>38</v>
      </c>
      <c r="D31" s="31" t="s">
        <v>77</v>
      </c>
      <c r="E31" s="30">
        <v>3</v>
      </c>
      <c r="F31" s="35">
        <v>2</v>
      </c>
      <c r="G31" s="28" t="s">
        <v>76</v>
      </c>
      <c r="H31" s="26"/>
      <c r="I31" s="128"/>
      <c r="J31" s="127"/>
      <c r="K31" s="128"/>
      <c r="L31" s="127"/>
      <c r="M31" s="73"/>
      <c r="N31" s="62"/>
    </row>
    <row r="32" spans="1:16" ht="15" customHeight="1" thickBot="1" x14ac:dyDescent="0.45">
      <c r="A32" s="131"/>
      <c r="B32" s="130"/>
      <c r="C32" s="68" t="s">
        <v>38</v>
      </c>
      <c r="D32" s="31" t="s">
        <v>75</v>
      </c>
      <c r="E32" s="30">
        <v>3</v>
      </c>
      <c r="F32" s="35">
        <v>2</v>
      </c>
      <c r="G32" s="102">
        <v>2</v>
      </c>
      <c r="H32" s="129">
        <v>2</v>
      </c>
      <c r="I32" s="102"/>
      <c r="J32" s="129"/>
      <c r="K32" s="128"/>
      <c r="L32" s="127"/>
      <c r="M32" s="73"/>
      <c r="N32" s="62"/>
    </row>
    <row r="33" spans="1:14" ht="17.399999999999999" customHeight="1" x14ac:dyDescent="0.4">
      <c r="A33" s="126" t="s">
        <v>74</v>
      </c>
      <c r="B33" s="50" t="s">
        <v>31</v>
      </c>
      <c r="C33" s="49" t="s">
        <v>38</v>
      </c>
      <c r="D33" s="125" t="s">
        <v>73</v>
      </c>
      <c r="E33" s="47">
        <v>4</v>
      </c>
      <c r="F33" s="124">
        <v>4</v>
      </c>
      <c r="G33" s="20"/>
      <c r="H33" s="123"/>
      <c r="I33" s="122" t="s">
        <v>55</v>
      </c>
      <c r="J33" s="18"/>
      <c r="K33" s="20"/>
      <c r="L33" s="18"/>
      <c r="M33" s="121">
        <v>12</v>
      </c>
      <c r="N33" s="120"/>
    </row>
    <row r="34" spans="1:14" ht="17.399999999999999" customHeight="1" x14ac:dyDescent="0.4">
      <c r="A34" s="61"/>
      <c r="B34" s="40"/>
      <c r="C34" s="32" t="s">
        <v>23</v>
      </c>
      <c r="D34" s="98" t="s">
        <v>72</v>
      </c>
      <c r="E34" s="30">
        <v>4</v>
      </c>
      <c r="F34" s="35">
        <v>4</v>
      </c>
      <c r="G34" s="14"/>
      <c r="H34" s="75"/>
      <c r="I34" s="119" t="s">
        <v>53</v>
      </c>
      <c r="J34" s="106"/>
      <c r="K34" s="113"/>
      <c r="L34" s="106"/>
      <c r="M34" s="73"/>
      <c r="N34" s="62"/>
    </row>
    <row r="35" spans="1:14" ht="17.399999999999999" customHeight="1" x14ac:dyDescent="0.4">
      <c r="A35" s="61"/>
      <c r="B35" s="36" t="s">
        <v>28</v>
      </c>
      <c r="C35" s="32" t="s">
        <v>38</v>
      </c>
      <c r="D35" s="98" t="s">
        <v>71</v>
      </c>
      <c r="E35" s="30">
        <v>4</v>
      </c>
      <c r="F35" s="35">
        <v>4</v>
      </c>
      <c r="G35" s="14"/>
      <c r="H35" s="75"/>
      <c r="I35" s="112"/>
      <c r="J35" s="106"/>
      <c r="K35" s="113"/>
      <c r="L35" s="106"/>
      <c r="M35" s="73"/>
      <c r="N35" s="62"/>
    </row>
    <row r="36" spans="1:14" ht="17.399999999999999" customHeight="1" x14ac:dyDescent="0.4">
      <c r="A36" s="61"/>
      <c r="B36" s="40"/>
      <c r="C36" s="118" t="s">
        <v>17</v>
      </c>
      <c r="D36" s="117" t="s">
        <v>70</v>
      </c>
      <c r="E36" s="116">
        <v>4</v>
      </c>
      <c r="F36" s="115">
        <v>4</v>
      </c>
      <c r="G36" s="113"/>
      <c r="H36" s="114"/>
      <c r="I36" s="112"/>
      <c r="J36" s="106"/>
      <c r="K36" s="113"/>
      <c r="L36" s="106"/>
      <c r="M36" s="73"/>
      <c r="N36" s="62"/>
    </row>
    <row r="37" spans="1:14" ht="16.2" customHeight="1" x14ac:dyDescent="0.4">
      <c r="A37" s="61"/>
      <c r="B37" s="36" t="s">
        <v>25</v>
      </c>
      <c r="C37" s="32" t="s">
        <v>38</v>
      </c>
      <c r="D37" s="31" t="s">
        <v>69</v>
      </c>
      <c r="E37" s="30">
        <v>4</v>
      </c>
      <c r="F37" s="35">
        <v>4</v>
      </c>
      <c r="G37" s="14"/>
      <c r="H37" s="75"/>
      <c r="I37" s="112"/>
      <c r="J37" s="12"/>
      <c r="K37" s="14"/>
      <c r="L37" s="12"/>
      <c r="M37" s="73"/>
      <c r="N37" s="62"/>
    </row>
    <row r="38" spans="1:14" ht="17.399999999999999" customHeight="1" x14ac:dyDescent="0.4">
      <c r="A38" s="61"/>
      <c r="B38" s="40"/>
      <c r="C38" s="32" t="s">
        <v>23</v>
      </c>
      <c r="D38" s="31" t="s">
        <v>68</v>
      </c>
      <c r="E38" s="30">
        <v>4</v>
      </c>
      <c r="F38" s="35">
        <v>4</v>
      </c>
      <c r="G38" s="14"/>
      <c r="H38" s="75"/>
      <c r="I38" s="112"/>
      <c r="J38" s="12"/>
      <c r="K38" s="14"/>
      <c r="L38" s="12"/>
      <c r="M38" s="70"/>
      <c r="N38" s="62"/>
    </row>
    <row r="39" spans="1:14" ht="17.399999999999999" customHeight="1" x14ac:dyDescent="0.4">
      <c r="A39" s="61"/>
      <c r="B39" s="69" t="s">
        <v>51</v>
      </c>
      <c r="C39" s="32" t="s">
        <v>38</v>
      </c>
      <c r="D39" s="31" t="s">
        <v>67</v>
      </c>
      <c r="E39" s="30">
        <v>4</v>
      </c>
      <c r="F39" s="35">
        <v>4</v>
      </c>
      <c r="G39" s="14"/>
      <c r="H39" s="75"/>
      <c r="I39" s="111" t="s">
        <v>55</v>
      </c>
      <c r="J39" s="12"/>
      <c r="K39" s="14"/>
      <c r="L39" s="12"/>
      <c r="M39" s="63">
        <v>12</v>
      </c>
      <c r="N39" s="62"/>
    </row>
    <row r="40" spans="1:14" ht="46.8" x14ac:dyDescent="0.4">
      <c r="A40" s="61"/>
      <c r="B40" s="69" t="s">
        <v>9</v>
      </c>
      <c r="C40" s="32" t="s">
        <v>38</v>
      </c>
      <c r="D40" s="31" t="s">
        <v>66</v>
      </c>
      <c r="E40" s="30">
        <v>4</v>
      </c>
      <c r="F40" s="35">
        <v>4</v>
      </c>
      <c r="G40" s="14"/>
      <c r="H40" s="75"/>
      <c r="I40" s="110" t="s">
        <v>53</v>
      </c>
      <c r="J40" s="12"/>
      <c r="K40" s="14"/>
      <c r="L40" s="12"/>
      <c r="M40" s="70"/>
      <c r="N40" s="62"/>
    </row>
    <row r="41" spans="1:14" ht="17.399999999999999" customHeight="1" x14ac:dyDescent="0.4">
      <c r="A41" s="61"/>
      <c r="B41" s="69" t="s">
        <v>46</v>
      </c>
      <c r="C41" s="32" t="s">
        <v>38</v>
      </c>
      <c r="D41" s="31" t="s">
        <v>65</v>
      </c>
      <c r="E41" s="30">
        <v>4</v>
      </c>
      <c r="F41" s="35">
        <v>3</v>
      </c>
      <c r="G41" s="14"/>
      <c r="H41" s="75"/>
      <c r="I41" s="109" t="s">
        <v>47</v>
      </c>
      <c r="J41" s="106"/>
      <c r="K41" s="14"/>
      <c r="L41" s="12"/>
      <c r="M41" s="63">
        <v>3</v>
      </c>
      <c r="N41" s="62"/>
    </row>
    <row r="42" spans="1:14" ht="17.399999999999999" customHeight="1" x14ac:dyDescent="0.4">
      <c r="A42" s="61"/>
      <c r="B42" s="69" t="s">
        <v>44</v>
      </c>
      <c r="C42" s="32" t="s">
        <v>23</v>
      </c>
      <c r="D42" s="98" t="s">
        <v>64</v>
      </c>
      <c r="E42" s="30">
        <v>4</v>
      </c>
      <c r="F42" s="35">
        <v>3</v>
      </c>
      <c r="G42" s="14"/>
      <c r="H42" s="75"/>
      <c r="I42" s="108">
        <v>3</v>
      </c>
      <c r="J42" s="106"/>
      <c r="K42" s="14"/>
      <c r="L42" s="12"/>
      <c r="M42" s="73"/>
      <c r="N42" s="62"/>
    </row>
    <row r="43" spans="1:14" ht="17.399999999999999" customHeight="1" x14ac:dyDescent="0.4">
      <c r="A43" s="61"/>
      <c r="B43" s="69" t="s">
        <v>46</v>
      </c>
      <c r="C43" s="32" t="s">
        <v>23</v>
      </c>
      <c r="D43" s="31" t="s">
        <v>63</v>
      </c>
      <c r="E43" s="30">
        <v>4</v>
      </c>
      <c r="F43" s="35">
        <v>3</v>
      </c>
      <c r="G43" s="14"/>
      <c r="H43" s="75"/>
      <c r="I43" s="107"/>
      <c r="J43" s="106"/>
      <c r="K43" s="14"/>
      <c r="L43" s="12"/>
      <c r="M43" s="70"/>
      <c r="N43" s="62"/>
    </row>
    <row r="44" spans="1:14" ht="17.399999999999999" customHeight="1" x14ac:dyDescent="0.4">
      <c r="A44" s="61"/>
      <c r="B44" s="36" t="s">
        <v>31</v>
      </c>
      <c r="C44" s="32" t="s">
        <v>38</v>
      </c>
      <c r="D44" s="98" t="s">
        <v>62</v>
      </c>
      <c r="E44" s="30">
        <v>4</v>
      </c>
      <c r="F44" s="35">
        <v>4</v>
      </c>
      <c r="G44" s="14"/>
      <c r="H44" s="75"/>
      <c r="I44" s="14"/>
      <c r="J44" s="105" t="s">
        <v>55</v>
      </c>
      <c r="K44" s="14"/>
      <c r="L44" s="12"/>
      <c r="M44" s="63">
        <v>12</v>
      </c>
      <c r="N44" s="62"/>
    </row>
    <row r="45" spans="1:14" ht="15.6" customHeight="1" x14ac:dyDescent="0.4">
      <c r="A45" s="61"/>
      <c r="B45" s="40"/>
      <c r="C45" s="32" t="s">
        <v>23</v>
      </c>
      <c r="D45" s="31" t="s">
        <v>61</v>
      </c>
      <c r="E45" s="30">
        <v>4</v>
      </c>
      <c r="F45" s="35">
        <v>4</v>
      </c>
      <c r="G45" s="14"/>
      <c r="H45" s="75"/>
      <c r="I45" s="14"/>
      <c r="J45" s="104" t="s">
        <v>53</v>
      </c>
      <c r="K45" s="14"/>
      <c r="L45" s="12"/>
      <c r="M45" s="73"/>
      <c r="N45" s="62"/>
    </row>
    <row r="46" spans="1:14" ht="17.399999999999999" customHeight="1" x14ac:dyDescent="0.4">
      <c r="A46" s="61"/>
      <c r="B46" s="36" t="s">
        <v>28</v>
      </c>
      <c r="C46" s="32" t="s">
        <v>38</v>
      </c>
      <c r="D46" s="31" t="s">
        <v>60</v>
      </c>
      <c r="E46" s="30">
        <v>4</v>
      </c>
      <c r="F46" s="35">
        <v>4</v>
      </c>
      <c r="G46" s="14"/>
      <c r="H46" s="75"/>
      <c r="I46" s="14"/>
      <c r="J46" s="103"/>
      <c r="K46" s="14"/>
      <c r="L46" s="12"/>
      <c r="M46" s="73"/>
      <c r="N46" s="62"/>
    </row>
    <row r="47" spans="1:14" ht="17.399999999999999" customHeight="1" x14ac:dyDescent="0.4">
      <c r="A47" s="61"/>
      <c r="B47" s="40"/>
      <c r="C47" s="32" t="s">
        <v>23</v>
      </c>
      <c r="D47" s="31" t="s">
        <v>59</v>
      </c>
      <c r="E47" s="30">
        <v>4</v>
      </c>
      <c r="F47" s="35">
        <v>4</v>
      </c>
      <c r="G47" s="14"/>
      <c r="H47" s="75"/>
      <c r="I47" s="14"/>
      <c r="J47" s="103"/>
      <c r="K47" s="14"/>
      <c r="L47" s="12"/>
      <c r="M47" s="73"/>
      <c r="N47" s="62"/>
    </row>
    <row r="48" spans="1:14" ht="17.399999999999999" customHeight="1" x14ac:dyDescent="0.4">
      <c r="A48" s="61"/>
      <c r="B48" s="36" t="s">
        <v>25</v>
      </c>
      <c r="C48" s="32" t="s">
        <v>38</v>
      </c>
      <c r="D48" s="31" t="s">
        <v>58</v>
      </c>
      <c r="E48" s="30">
        <v>4</v>
      </c>
      <c r="F48" s="35">
        <v>4</v>
      </c>
      <c r="G48" s="14"/>
      <c r="H48" s="75"/>
      <c r="I48" s="14"/>
      <c r="J48" s="103"/>
      <c r="K48" s="14"/>
      <c r="L48" s="12"/>
      <c r="M48" s="73"/>
      <c r="N48" s="62"/>
    </row>
    <row r="49" spans="1:14" ht="17.399999999999999" customHeight="1" x14ac:dyDescent="0.4">
      <c r="A49" s="61"/>
      <c r="B49" s="40"/>
      <c r="C49" s="32" t="s">
        <v>23</v>
      </c>
      <c r="D49" s="31" t="s">
        <v>57</v>
      </c>
      <c r="E49" s="30">
        <v>4</v>
      </c>
      <c r="F49" s="35">
        <v>4</v>
      </c>
      <c r="G49" s="14"/>
      <c r="H49" s="75"/>
      <c r="I49" s="102"/>
      <c r="J49" s="101"/>
      <c r="K49" s="14"/>
      <c r="L49" s="12"/>
      <c r="M49" s="70"/>
      <c r="N49" s="62"/>
    </row>
    <row r="50" spans="1:14" ht="17.399999999999999" customHeight="1" x14ac:dyDescent="0.4">
      <c r="A50" s="61"/>
      <c r="B50" s="69" t="s">
        <v>31</v>
      </c>
      <c r="C50" s="32" t="s">
        <v>23</v>
      </c>
      <c r="D50" s="94" t="s">
        <v>56</v>
      </c>
      <c r="E50" s="30">
        <v>4</v>
      </c>
      <c r="F50" s="35">
        <v>4</v>
      </c>
      <c r="G50" s="14"/>
      <c r="H50" s="75"/>
      <c r="I50" s="14"/>
      <c r="J50" s="100" t="s">
        <v>55</v>
      </c>
      <c r="K50" s="14"/>
      <c r="L50" s="90"/>
      <c r="M50" s="63">
        <v>12</v>
      </c>
      <c r="N50" s="62"/>
    </row>
    <row r="51" spans="1:14" ht="15.6" x14ac:dyDescent="0.4">
      <c r="A51" s="61"/>
      <c r="B51" s="69" t="s">
        <v>28</v>
      </c>
      <c r="C51" s="32" t="s">
        <v>23</v>
      </c>
      <c r="D51" s="94" t="s">
        <v>54</v>
      </c>
      <c r="E51" s="30">
        <v>4</v>
      </c>
      <c r="F51" s="35">
        <v>4</v>
      </c>
      <c r="G51" s="14"/>
      <c r="H51" s="75"/>
      <c r="I51" s="14"/>
      <c r="J51" s="99" t="s">
        <v>53</v>
      </c>
      <c r="K51" s="14"/>
      <c r="L51" s="90"/>
      <c r="M51" s="73"/>
      <c r="N51" s="62"/>
    </row>
    <row r="52" spans="1:14" ht="15.6" x14ac:dyDescent="0.4">
      <c r="A52" s="61"/>
      <c r="B52" s="69" t="s">
        <v>25</v>
      </c>
      <c r="C52" s="32" t="s">
        <v>17</v>
      </c>
      <c r="D52" s="31" t="s">
        <v>52</v>
      </c>
      <c r="E52" s="30">
        <v>4</v>
      </c>
      <c r="F52" s="35">
        <v>4</v>
      </c>
      <c r="G52" s="14"/>
      <c r="H52" s="75"/>
      <c r="I52" s="14"/>
      <c r="J52" s="97"/>
      <c r="K52" s="14"/>
      <c r="L52" s="90"/>
      <c r="M52" s="73"/>
      <c r="N52" s="62"/>
    </row>
    <row r="53" spans="1:14" ht="15.6" x14ac:dyDescent="0.4">
      <c r="A53" s="61"/>
      <c r="B53" s="69" t="s">
        <v>51</v>
      </c>
      <c r="C53" s="32" t="s">
        <v>23</v>
      </c>
      <c r="D53" s="98" t="s">
        <v>50</v>
      </c>
      <c r="E53" s="30">
        <v>4</v>
      </c>
      <c r="F53" s="35">
        <v>4</v>
      </c>
      <c r="G53" s="14"/>
      <c r="H53" s="75"/>
      <c r="I53" s="14"/>
      <c r="J53" s="97"/>
      <c r="K53" s="14"/>
      <c r="L53" s="90"/>
      <c r="M53" s="73"/>
      <c r="N53" s="62"/>
    </row>
    <row r="54" spans="1:14" ht="15.6" customHeight="1" x14ac:dyDescent="0.4">
      <c r="A54" s="61"/>
      <c r="B54" s="69" t="s">
        <v>9</v>
      </c>
      <c r="C54" s="32" t="s">
        <v>23</v>
      </c>
      <c r="D54" s="94" t="s">
        <v>49</v>
      </c>
      <c r="E54" s="30">
        <v>4</v>
      </c>
      <c r="F54" s="35">
        <v>4</v>
      </c>
      <c r="G54" s="14"/>
      <c r="H54" s="75"/>
      <c r="I54" s="14"/>
      <c r="J54" s="96"/>
      <c r="K54" s="14"/>
      <c r="L54" s="90"/>
      <c r="M54" s="70"/>
      <c r="N54" s="62"/>
    </row>
    <row r="55" spans="1:14" ht="17.399999999999999" customHeight="1" x14ac:dyDescent="0.4">
      <c r="A55" s="61"/>
      <c r="B55" s="69" t="s">
        <v>46</v>
      </c>
      <c r="C55" s="32" t="s">
        <v>23</v>
      </c>
      <c r="D55" s="94" t="s">
        <v>48</v>
      </c>
      <c r="E55" s="30">
        <v>4</v>
      </c>
      <c r="F55" s="35">
        <v>3</v>
      </c>
      <c r="G55" s="14"/>
      <c r="H55" s="75"/>
      <c r="I55" s="14"/>
      <c r="J55" s="95" t="s">
        <v>47</v>
      </c>
      <c r="K55" s="14"/>
      <c r="L55" s="90"/>
      <c r="M55" s="63">
        <v>3</v>
      </c>
      <c r="N55" s="62"/>
    </row>
    <row r="56" spans="1:14" ht="17.399999999999999" customHeight="1" x14ac:dyDescent="0.4">
      <c r="A56" s="61"/>
      <c r="B56" s="69" t="s">
        <v>46</v>
      </c>
      <c r="C56" s="32" t="s">
        <v>17</v>
      </c>
      <c r="D56" s="94" t="s">
        <v>45</v>
      </c>
      <c r="E56" s="30">
        <v>4</v>
      </c>
      <c r="F56" s="35">
        <v>3</v>
      </c>
      <c r="G56" s="14"/>
      <c r="H56" s="75"/>
      <c r="I56" s="14"/>
      <c r="J56" s="93">
        <v>3</v>
      </c>
      <c r="K56" s="14"/>
      <c r="L56" s="90"/>
      <c r="M56" s="73"/>
      <c r="N56" s="62"/>
    </row>
    <row r="57" spans="1:14" ht="17.399999999999999" x14ac:dyDescent="0.4">
      <c r="A57" s="61"/>
      <c r="B57" s="69" t="s">
        <v>44</v>
      </c>
      <c r="C57" s="32" t="s">
        <v>23</v>
      </c>
      <c r="D57" s="84" t="s">
        <v>43</v>
      </c>
      <c r="E57" s="30">
        <v>4</v>
      </c>
      <c r="F57" s="35">
        <v>3</v>
      </c>
      <c r="G57" s="82"/>
      <c r="H57" s="83"/>
      <c r="I57" s="82"/>
      <c r="J57" s="92"/>
      <c r="K57" s="14"/>
      <c r="L57" s="90"/>
      <c r="M57" s="70"/>
      <c r="N57" s="62"/>
    </row>
    <row r="58" spans="1:14" ht="17.399999999999999" x14ac:dyDescent="0.4">
      <c r="A58" s="61"/>
      <c r="B58" s="36" t="s">
        <v>31</v>
      </c>
      <c r="C58" s="32" t="s">
        <v>38</v>
      </c>
      <c r="D58" s="84" t="s">
        <v>42</v>
      </c>
      <c r="E58" s="30">
        <v>4</v>
      </c>
      <c r="F58" s="35">
        <v>4</v>
      </c>
      <c r="G58" s="82"/>
      <c r="H58" s="83"/>
      <c r="I58" s="82"/>
      <c r="J58" s="81"/>
      <c r="K58" s="91" t="s">
        <v>29</v>
      </c>
      <c r="L58" s="90"/>
      <c r="M58" s="63">
        <v>16</v>
      </c>
      <c r="N58" s="62"/>
    </row>
    <row r="59" spans="1:14" ht="15" customHeight="1" x14ac:dyDescent="0.4">
      <c r="A59" s="61"/>
      <c r="B59" s="40"/>
      <c r="C59" s="32" t="s">
        <v>17</v>
      </c>
      <c r="D59" s="84" t="s">
        <v>41</v>
      </c>
      <c r="E59" s="30">
        <v>4</v>
      </c>
      <c r="F59" s="35">
        <v>4</v>
      </c>
      <c r="G59" s="14"/>
      <c r="H59" s="75"/>
      <c r="I59" s="14"/>
      <c r="J59" s="12"/>
      <c r="K59" s="89" t="s">
        <v>26</v>
      </c>
      <c r="L59" s="12"/>
      <c r="M59" s="73"/>
      <c r="N59" s="62"/>
    </row>
    <row r="60" spans="1:14" ht="15" customHeight="1" x14ac:dyDescent="0.4">
      <c r="A60" s="61"/>
      <c r="B60" s="36" t="s">
        <v>28</v>
      </c>
      <c r="C60" s="32" t="s">
        <v>38</v>
      </c>
      <c r="D60" s="31" t="s">
        <v>40</v>
      </c>
      <c r="E60" s="30">
        <v>4</v>
      </c>
      <c r="F60" s="35">
        <v>4</v>
      </c>
      <c r="G60" s="14"/>
      <c r="H60" s="75"/>
      <c r="I60" s="14"/>
      <c r="J60" s="12"/>
      <c r="K60" s="88"/>
      <c r="L60" s="12"/>
      <c r="M60" s="73"/>
      <c r="N60" s="62"/>
    </row>
    <row r="61" spans="1:14" ht="18" customHeight="1" x14ac:dyDescent="0.4">
      <c r="A61" s="61"/>
      <c r="B61" s="40"/>
      <c r="C61" s="32" t="s">
        <v>23</v>
      </c>
      <c r="D61" s="84" t="s">
        <v>39</v>
      </c>
      <c r="E61" s="30">
        <v>4</v>
      </c>
      <c r="F61" s="35">
        <v>4</v>
      </c>
      <c r="G61" s="82"/>
      <c r="H61" s="83"/>
      <c r="I61" s="82"/>
      <c r="J61" s="81"/>
      <c r="K61" s="88"/>
      <c r="L61" s="12"/>
      <c r="M61" s="73"/>
      <c r="N61" s="62"/>
    </row>
    <row r="62" spans="1:14" ht="18" customHeight="1" x14ac:dyDescent="0.4">
      <c r="A62" s="61"/>
      <c r="B62" s="76" t="s">
        <v>25</v>
      </c>
      <c r="C62" s="32" t="s">
        <v>38</v>
      </c>
      <c r="D62" s="84" t="s">
        <v>37</v>
      </c>
      <c r="E62" s="30">
        <v>4</v>
      </c>
      <c r="F62" s="35">
        <v>4</v>
      </c>
      <c r="G62" s="82"/>
      <c r="H62" s="83"/>
      <c r="I62" s="82"/>
      <c r="J62" s="81"/>
      <c r="K62" s="88"/>
      <c r="L62" s="12"/>
      <c r="M62" s="73"/>
      <c r="N62" s="62"/>
    </row>
    <row r="63" spans="1:14" ht="18" customHeight="1" x14ac:dyDescent="0.4">
      <c r="A63" s="61"/>
      <c r="B63" s="72"/>
      <c r="C63" s="32" t="s">
        <v>17</v>
      </c>
      <c r="D63" s="84" t="s">
        <v>36</v>
      </c>
      <c r="E63" s="30">
        <v>4</v>
      </c>
      <c r="F63" s="35">
        <v>4</v>
      </c>
      <c r="G63" s="82"/>
      <c r="H63" s="83"/>
      <c r="I63" s="82"/>
      <c r="J63" s="81"/>
      <c r="K63" s="87"/>
      <c r="L63" s="12"/>
      <c r="M63" s="70"/>
      <c r="N63" s="62"/>
    </row>
    <row r="64" spans="1:14" ht="18" customHeight="1" x14ac:dyDescent="0.4">
      <c r="A64" s="61"/>
      <c r="B64" s="76" t="s">
        <v>21</v>
      </c>
      <c r="C64" s="32" t="s">
        <v>23</v>
      </c>
      <c r="D64" s="84" t="s">
        <v>35</v>
      </c>
      <c r="E64" s="30">
        <v>4</v>
      </c>
      <c r="F64" s="35">
        <v>4</v>
      </c>
      <c r="G64" s="82"/>
      <c r="H64" s="83"/>
      <c r="I64" s="82"/>
      <c r="J64" s="81"/>
      <c r="K64" s="86" t="s">
        <v>19</v>
      </c>
      <c r="L64" s="12"/>
      <c r="M64" s="63">
        <v>8</v>
      </c>
      <c r="N64" s="62"/>
    </row>
    <row r="65" spans="1:14" ht="15.6" customHeight="1" x14ac:dyDescent="0.4">
      <c r="A65" s="61"/>
      <c r="B65" s="72"/>
      <c r="C65" s="32" t="s">
        <v>17</v>
      </c>
      <c r="D65" s="84" t="s">
        <v>34</v>
      </c>
      <c r="E65" s="30">
        <v>4</v>
      </c>
      <c r="F65" s="35">
        <v>4</v>
      </c>
      <c r="G65" s="82"/>
      <c r="H65" s="83"/>
      <c r="I65" s="82"/>
      <c r="J65" s="81"/>
      <c r="K65" s="85" t="s">
        <v>15</v>
      </c>
      <c r="L65" s="12"/>
      <c r="M65" s="73"/>
      <c r="N65" s="62"/>
    </row>
    <row r="66" spans="1:14" ht="15.6" customHeight="1" x14ac:dyDescent="0.4">
      <c r="A66" s="61"/>
      <c r="B66" s="76" t="s">
        <v>18</v>
      </c>
      <c r="C66" s="32" t="s">
        <v>23</v>
      </c>
      <c r="D66" s="84" t="s">
        <v>33</v>
      </c>
      <c r="E66" s="30">
        <v>4</v>
      </c>
      <c r="F66" s="35">
        <v>4</v>
      </c>
      <c r="G66" s="82"/>
      <c r="H66" s="83"/>
      <c r="I66" s="82"/>
      <c r="J66" s="81"/>
      <c r="K66" s="80"/>
      <c r="L66" s="12"/>
      <c r="M66" s="73"/>
      <c r="N66" s="62"/>
    </row>
    <row r="67" spans="1:14" ht="18" customHeight="1" x14ac:dyDescent="0.4">
      <c r="A67" s="61"/>
      <c r="B67" s="72"/>
      <c r="C67" s="32" t="s">
        <v>17</v>
      </c>
      <c r="D67" s="31" t="s">
        <v>32</v>
      </c>
      <c r="E67" s="30">
        <v>4</v>
      </c>
      <c r="F67" s="35">
        <v>4</v>
      </c>
      <c r="G67" s="14"/>
      <c r="H67" s="75"/>
      <c r="I67" s="14"/>
      <c r="J67" s="12"/>
      <c r="K67" s="79"/>
      <c r="L67" s="12"/>
      <c r="M67" s="70"/>
      <c r="N67" s="62"/>
    </row>
    <row r="68" spans="1:14" ht="18" customHeight="1" x14ac:dyDescent="0.4">
      <c r="A68" s="61"/>
      <c r="B68" s="69" t="s">
        <v>31</v>
      </c>
      <c r="C68" s="32" t="s">
        <v>17</v>
      </c>
      <c r="D68" s="31" t="s">
        <v>30</v>
      </c>
      <c r="E68" s="30">
        <v>4</v>
      </c>
      <c r="F68" s="35">
        <v>4</v>
      </c>
      <c r="G68" s="14"/>
      <c r="H68" s="75"/>
      <c r="I68" s="14"/>
      <c r="J68" s="12"/>
      <c r="K68" s="14"/>
      <c r="L68" s="78" t="s">
        <v>29</v>
      </c>
      <c r="M68" s="63">
        <v>16</v>
      </c>
      <c r="N68" s="62"/>
    </row>
    <row r="69" spans="1:14" ht="18" customHeight="1" x14ac:dyDescent="0.4">
      <c r="A69" s="61"/>
      <c r="B69" s="69" t="s">
        <v>28</v>
      </c>
      <c r="C69" s="32" t="s">
        <v>17</v>
      </c>
      <c r="D69" s="31" t="s">
        <v>27</v>
      </c>
      <c r="E69" s="30">
        <v>4</v>
      </c>
      <c r="F69" s="35">
        <v>4</v>
      </c>
      <c r="G69" s="14"/>
      <c r="H69" s="75"/>
      <c r="I69" s="14"/>
      <c r="J69" s="12"/>
      <c r="K69" s="14"/>
      <c r="L69" s="77" t="s">
        <v>26</v>
      </c>
      <c r="M69" s="73"/>
      <c r="N69" s="62"/>
    </row>
    <row r="70" spans="1:14" ht="18" customHeight="1" x14ac:dyDescent="0.4">
      <c r="A70" s="61"/>
      <c r="B70" s="76" t="s">
        <v>25</v>
      </c>
      <c r="C70" s="32" t="s">
        <v>17</v>
      </c>
      <c r="D70" s="31" t="s">
        <v>24</v>
      </c>
      <c r="E70" s="30">
        <v>4</v>
      </c>
      <c r="F70" s="35">
        <v>4</v>
      </c>
      <c r="G70" s="14"/>
      <c r="H70" s="75"/>
      <c r="I70" s="14"/>
      <c r="J70" s="12"/>
      <c r="K70" s="14"/>
      <c r="L70" s="74"/>
      <c r="M70" s="73"/>
      <c r="N70" s="62"/>
    </row>
    <row r="71" spans="1:14" ht="18" customHeight="1" x14ac:dyDescent="0.4">
      <c r="A71" s="61"/>
      <c r="B71" s="72"/>
      <c r="C71" s="68" t="s">
        <v>23</v>
      </c>
      <c r="D71" s="67" t="s">
        <v>22</v>
      </c>
      <c r="E71" s="66">
        <v>4</v>
      </c>
      <c r="F71" s="65">
        <v>4</v>
      </c>
      <c r="G71" s="55"/>
      <c r="H71" s="54"/>
      <c r="I71" s="55"/>
      <c r="J71" s="64"/>
      <c r="K71" s="55"/>
      <c r="L71" s="71"/>
      <c r="M71" s="70"/>
      <c r="N71" s="62"/>
    </row>
    <row r="72" spans="1:14" ht="32.4" customHeight="1" x14ac:dyDescent="0.4">
      <c r="A72" s="61"/>
      <c r="B72" s="69" t="s">
        <v>21</v>
      </c>
      <c r="C72" s="68" t="s">
        <v>17</v>
      </c>
      <c r="D72" s="67" t="s">
        <v>20</v>
      </c>
      <c r="E72" s="66">
        <v>4</v>
      </c>
      <c r="F72" s="65">
        <v>4</v>
      </c>
      <c r="G72" s="55"/>
      <c r="H72" s="54"/>
      <c r="I72" s="55"/>
      <c r="J72" s="64"/>
      <c r="K72" s="55"/>
      <c r="L72" s="53" t="s">
        <v>19</v>
      </c>
      <c r="M72" s="63">
        <v>8</v>
      </c>
      <c r="N72" s="62"/>
    </row>
    <row r="73" spans="1:14" ht="31.8" thickBot="1" x14ac:dyDescent="0.45">
      <c r="A73" s="61"/>
      <c r="B73" s="60" t="s">
        <v>18</v>
      </c>
      <c r="C73" s="59" t="s">
        <v>17</v>
      </c>
      <c r="D73" s="58" t="s">
        <v>16</v>
      </c>
      <c r="E73" s="57">
        <v>4</v>
      </c>
      <c r="F73" s="56">
        <v>4</v>
      </c>
      <c r="G73" s="55"/>
      <c r="H73" s="54"/>
      <c r="I73" s="8"/>
      <c r="J73" s="6"/>
      <c r="K73" s="8"/>
      <c r="L73" s="53" t="s">
        <v>15</v>
      </c>
      <c r="M73" s="52"/>
      <c r="N73" s="51"/>
    </row>
    <row r="74" spans="1:14" ht="23.4" customHeight="1" x14ac:dyDescent="0.4">
      <c r="A74" s="34"/>
      <c r="B74" s="50" t="s">
        <v>14</v>
      </c>
      <c r="C74" s="49" t="s">
        <v>6</v>
      </c>
      <c r="D74" s="48" t="s">
        <v>13</v>
      </c>
      <c r="E74" s="47">
        <v>3</v>
      </c>
      <c r="F74" s="46">
        <v>2</v>
      </c>
      <c r="G74" s="45" t="s">
        <v>12</v>
      </c>
      <c r="H74" s="44"/>
      <c r="I74" s="44"/>
      <c r="J74" s="44"/>
      <c r="K74" s="44"/>
      <c r="L74" s="43"/>
      <c r="M74" s="42"/>
      <c r="N74" s="41"/>
    </row>
    <row r="75" spans="1:14" ht="23.4" customHeight="1" x14ac:dyDescent="0.4">
      <c r="A75" s="34"/>
      <c r="B75" s="40"/>
      <c r="C75" s="32" t="s">
        <v>6</v>
      </c>
      <c r="D75" s="31" t="s">
        <v>11</v>
      </c>
      <c r="E75" s="30">
        <v>3</v>
      </c>
      <c r="F75" s="29">
        <v>2</v>
      </c>
      <c r="G75" s="39" t="s">
        <v>10</v>
      </c>
      <c r="H75" s="38"/>
      <c r="I75" s="38"/>
      <c r="J75" s="38"/>
      <c r="K75" s="38"/>
      <c r="L75" s="37"/>
      <c r="M75" s="25"/>
      <c r="N75" s="24"/>
    </row>
    <row r="76" spans="1:14" ht="23.4" customHeight="1" x14ac:dyDescent="0.4">
      <c r="A76" s="34"/>
      <c r="B76" s="36" t="s">
        <v>9</v>
      </c>
      <c r="C76" s="32" t="s">
        <v>6</v>
      </c>
      <c r="D76" s="31" t="s">
        <v>8</v>
      </c>
      <c r="E76" s="30">
        <v>4</v>
      </c>
      <c r="F76" s="35">
        <v>3</v>
      </c>
      <c r="G76" s="28" t="s">
        <v>7</v>
      </c>
      <c r="H76" s="27"/>
      <c r="I76" s="27"/>
      <c r="J76" s="27"/>
      <c r="K76" s="27"/>
      <c r="L76" s="26"/>
      <c r="M76" s="25"/>
      <c r="N76" s="24"/>
    </row>
    <row r="77" spans="1:14" ht="23.4" customHeight="1" thickBot="1" x14ac:dyDescent="0.45">
      <c r="A77" s="34"/>
      <c r="B77" s="33"/>
      <c r="C77" s="32" t="s">
        <v>6</v>
      </c>
      <c r="D77" s="31" t="s">
        <v>5</v>
      </c>
      <c r="E77" s="30">
        <v>4</v>
      </c>
      <c r="F77" s="29">
        <v>3</v>
      </c>
      <c r="G77" s="28" t="s">
        <v>4</v>
      </c>
      <c r="H77" s="27"/>
      <c r="I77" s="27"/>
      <c r="J77" s="27"/>
      <c r="K77" s="27"/>
      <c r="L77" s="26"/>
      <c r="M77" s="25"/>
      <c r="N77" s="24"/>
    </row>
    <row r="78" spans="1:14" ht="15" customHeight="1" x14ac:dyDescent="0.4">
      <c r="A78" s="23" t="s">
        <v>3</v>
      </c>
      <c r="B78" s="22"/>
      <c r="C78" s="22"/>
      <c r="D78" s="22"/>
      <c r="E78" s="22"/>
      <c r="F78" s="21"/>
      <c r="G78" s="20">
        <v>30</v>
      </c>
      <c r="H78" s="18">
        <v>30</v>
      </c>
      <c r="I78" s="19">
        <v>31</v>
      </c>
      <c r="J78" s="18">
        <v>31</v>
      </c>
      <c r="K78" s="19">
        <v>26</v>
      </c>
      <c r="L78" s="18">
        <v>26</v>
      </c>
      <c r="M78" s="19">
        <f>SUM(G78:L78)</f>
        <v>174</v>
      </c>
      <c r="N78" s="18">
        <f>SUM(N5:N32)</f>
        <v>84</v>
      </c>
    </row>
    <row r="79" spans="1:14" ht="15" customHeight="1" x14ac:dyDescent="0.4">
      <c r="A79" s="17" t="s">
        <v>2</v>
      </c>
      <c r="B79" s="16"/>
      <c r="C79" s="16"/>
      <c r="D79" s="16"/>
      <c r="E79" s="16"/>
      <c r="F79" s="15"/>
      <c r="G79" s="14">
        <v>3</v>
      </c>
      <c r="H79" s="12">
        <v>3</v>
      </c>
      <c r="I79" s="13">
        <v>3</v>
      </c>
      <c r="J79" s="12">
        <v>3</v>
      </c>
      <c r="K79" s="13">
        <v>3</v>
      </c>
      <c r="L79" s="12">
        <v>3</v>
      </c>
      <c r="M79" s="13">
        <f>SUM(G79:L79)</f>
        <v>18</v>
      </c>
      <c r="N79" s="12">
        <v>18</v>
      </c>
    </row>
    <row r="80" spans="1:14" ht="15" customHeight="1" thickBot="1" x14ac:dyDescent="0.45">
      <c r="A80" s="11" t="s">
        <v>1</v>
      </c>
      <c r="B80" s="10"/>
      <c r="C80" s="10"/>
      <c r="D80" s="10"/>
      <c r="E80" s="10"/>
      <c r="F80" s="9"/>
      <c r="G80" s="8">
        <f>G78+G79</f>
        <v>33</v>
      </c>
      <c r="H80" s="6">
        <f>H78+H79</f>
        <v>33</v>
      </c>
      <c r="I80" s="7">
        <f>I78+I79</f>
        <v>34</v>
      </c>
      <c r="J80" s="6">
        <f>J78+J79</f>
        <v>34</v>
      </c>
      <c r="K80" s="7">
        <f>K78+K79</f>
        <v>29</v>
      </c>
      <c r="L80" s="6">
        <f>L78+L79</f>
        <v>29</v>
      </c>
      <c r="M80" s="7">
        <f>SUM(G80:L80)</f>
        <v>192</v>
      </c>
      <c r="N80" s="6"/>
    </row>
    <row r="81" spans="1:14" ht="63" customHeight="1" x14ac:dyDescent="0.4">
      <c r="A81" s="5" t="s">
        <v>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</sheetData>
  <mergeCells count="86">
    <mergeCell ref="M3:M4"/>
    <mergeCell ref="N3:N4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5:M6"/>
    <mergeCell ref="A5:A32"/>
    <mergeCell ref="G25:H25"/>
    <mergeCell ref="B25:B28"/>
    <mergeCell ref="M15:M18"/>
    <mergeCell ref="B9:B10"/>
    <mergeCell ref="B5:B6"/>
    <mergeCell ref="M29:M32"/>
    <mergeCell ref="M25:M26"/>
    <mergeCell ref="N9:N10"/>
    <mergeCell ref="N13:N14"/>
    <mergeCell ref="N15:N18"/>
    <mergeCell ref="B19:B24"/>
    <mergeCell ref="N19:N24"/>
    <mergeCell ref="M19:M24"/>
    <mergeCell ref="M39:M40"/>
    <mergeCell ref="M41:M43"/>
    <mergeCell ref="M33:M38"/>
    <mergeCell ref="M68:M71"/>
    <mergeCell ref="M72:M73"/>
    <mergeCell ref="M64:M67"/>
    <mergeCell ref="A81:N81"/>
    <mergeCell ref="A78:F78"/>
    <mergeCell ref="J51:J54"/>
    <mergeCell ref="J56:J57"/>
    <mergeCell ref="I42:I43"/>
    <mergeCell ref="J45:J49"/>
    <mergeCell ref="M55:M57"/>
    <mergeCell ref="N33:N73"/>
    <mergeCell ref="M50:M54"/>
    <mergeCell ref="M44:M49"/>
    <mergeCell ref="G77:L77"/>
    <mergeCell ref="B74:B75"/>
    <mergeCell ref="B76:B77"/>
    <mergeCell ref="G74:L74"/>
    <mergeCell ref="A33:A73"/>
    <mergeCell ref="B33:B34"/>
    <mergeCell ref="B35:B36"/>
    <mergeCell ref="B37:B38"/>
    <mergeCell ref="B44:B45"/>
    <mergeCell ref="B46:B47"/>
    <mergeCell ref="N11:N12"/>
    <mergeCell ref="B31:B32"/>
    <mergeCell ref="G31:H31"/>
    <mergeCell ref="N25:N28"/>
    <mergeCell ref="A79:F79"/>
    <mergeCell ref="A80:F80"/>
    <mergeCell ref="I34:I38"/>
    <mergeCell ref="G29:H29"/>
    <mergeCell ref="M58:M63"/>
    <mergeCell ref="B70:B71"/>
    <mergeCell ref="I27:J27"/>
    <mergeCell ref="B15:B18"/>
    <mergeCell ref="M7:M8"/>
    <mergeCell ref="M13:M14"/>
    <mergeCell ref="M11:M12"/>
    <mergeCell ref="M9:M10"/>
    <mergeCell ref="B11:B14"/>
    <mergeCell ref="B48:B49"/>
    <mergeCell ref="B58:B59"/>
    <mergeCell ref="B60:B61"/>
    <mergeCell ref="L69:L71"/>
    <mergeCell ref="G75:L75"/>
    <mergeCell ref="N5:N6"/>
    <mergeCell ref="B7:B8"/>
    <mergeCell ref="N7:N8"/>
    <mergeCell ref="M27:M28"/>
    <mergeCell ref="N29:N32"/>
    <mergeCell ref="G76:L76"/>
    <mergeCell ref="B62:B63"/>
    <mergeCell ref="B64:B65"/>
    <mergeCell ref="B66:B67"/>
    <mergeCell ref="K59:K63"/>
    <mergeCell ref="K65:K67"/>
  </mergeCells>
  <phoneticPr fontId="2" type="noConversion"/>
  <printOptions horizontalCentered="1"/>
  <pageMargins left="0.25" right="0.25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편제표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배진실</dc:creator>
  <cp:lastModifiedBy>배진실</cp:lastModifiedBy>
  <dcterms:created xsi:type="dcterms:W3CDTF">2026-02-05T01:38:02Z</dcterms:created>
  <dcterms:modified xsi:type="dcterms:W3CDTF">2026-02-05T01:40:29Z</dcterms:modified>
</cp:coreProperties>
</file>