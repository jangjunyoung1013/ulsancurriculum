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교육과정부\"/>
    </mc:Choice>
  </mc:AlternateContent>
  <xr:revisionPtr revIDLastSave="0" documentId="13_ncr:1_{744A33A0-F5B0-40C6-8ED7-165E81BD3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학년도 신입생 3개년 편제(안)" sheetId="6" r:id="rId1"/>
  </sheets>
  <definedNames>
    <definedName name="_xlnm.Print_Area" localSheetId="0">'2026학년도 신입생 3개년 편제(안)'!$A$1:$O$71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0" i="6" l="1"/>
  <c r="L70" i="6"/>
  <c r="K70" i="6"/>
  <c r="J70" i="6"/>
  <c r="I70" i="6"/>
  <c r="H70" i="6"/>
  <c r="N69" i="6"/>
  <c r="N68" i="6"/>
  <c r="N70" i="6" l="1"/>
</calcChain>
</file>

<file path=xl/sharedStrings.xml><?xml version="1.0" encoding="utf-8"?>
<sst xmlns="http://schemas.openxmlformats.org/spreadsheetml/2006/main" count="182" uniqueCount="100">
  <si>
    <t>구분</t>
    <phoneticPr fontId="2" type="noConversion"/>
  </si>
  <si>
    <t>교과
(군)</t>
    <phoneticPr fontId="2" type="noConversion"/>
  </si>
  <si>
    <t>세부과목</t>
  </si>
  <si>
    <t>1학년</t>
    <phoneticPr fontId="2" type="noConversion"/>
  </si>
  <si>
    <t>2학년</t>
  </si>
  <si>
    <t>3학년</t>
  </si>
  <si>
    <t>1학기</t>
  </si>
  <si>
    <t>2학기</t>
  </si>
  <si>
    <t>학
교
지
정
교
육
과
정</t>
    <phoneticPr fontId="2" type="noConversion"/>
  </si>
  <si>
    <t>국어</t>
  </si>
  <si>
    <t>공통</t>
    <phoneticPr fontId="2" type="noConversion"/>
  </si>
  <si>
    <t>국어</t>
    <phoneticPr fontId="2" type="noConversion"/>
  </si>
  <si>
    <t>일반</t>
    <phoneticPr fontId="2" type="noConversion"/>
  </si>
  <si>
    <t>수학</t>
  </si>
  <si>
    <t>영어</t>
  </si>
  <si>
    <t>영어</t>
    <phoneticPr fontId="2" type="noConversion"/>
  </si>
  <si>
    <t>사회</t>
  </si>
  <si>
    <t>과학</t>
    <phoneticPr fontId="2" type="noConversion"/>
  </si>
  <si>
    <t>체육</t>
  </si>
  <si>
    <t>진로</t>
    <phoneticPr fontId="2" type="noConversion"/>
  </si>
  <si>
    <t>예술</t>
    <phoneticPr fontId="2" type="noConversion"/>
  </si>
  <si>
    <t>창의적 체험활동</t>
  </si>
  <si>
    <t>사회</t>
    <phoneticPr fontId="2" type="noConversion"/>
  </si>
  <si>
    <t>공통국어1</t>
    <phoneticPr fontId="2" type="noConversion"/>
  </si>
  <si>
    <t>공통수학1</t>
    <phoneticPr fontId="2" type="noConversion"/>
  </si>
  <si>
    <t>공통수학2</t>
    <phoneticPr fontId="2" type="noConversion"/>
  </si>
  <si>
    <t>공통영어1</t>
    <phoneticPr fontId="2" type="noConversion"/>
  </si>
  <si>
    <t>공통영어2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</si>
  <si>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</si>
  <si>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</si>
  <si>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</si>
  <si>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통합사회2</t>
    <phoneticPr fontId="2" type="noConversion"/>
  </si>
  <si>
    <t>통합과학1</t>
    <phoneticPr fontId="2" type="noConversion"/>
  </si>
  <si>
    <t>통합과학2</t>
    <phoneticPr fontId="2" type="noConversion"/>
  </si>
  <si>
    <t>체육1</t>
    <phoneticPr fontId="2" type="noConversion"/>
  </si>
  <si>
    <t>체육2</t>
    <phoneticPr fontId="2" type="noConversion"/>
  </si>
  <si>
    <t>진로와 직업</t>
    <phoneticPr fontId="2" type="noConversion"/>
  </si>
  <si>
    <t>인간과 심리</t>
    <phoneticPr fontId="2" type="noConversion"/>
  </si>
  <si>
    <t>독서와 작문</t>
    <phoneticPr fontId="2" type="noConversion"/>
  </si>
  <si>
    <t>대수</t>
    <phoneticPr fontId="2" type="noConversion"/>
  </si>
  <si>
    <t>스포츠 생활1</t>
    <phoneticPr fontId="2" type="noConversion"/>
  </si>
  <si>
    <t>융합</t>
    <phoneticPr fontId="2" type="noConversion"/>
  </si>
  <si>
    <t>스포츠 문화</t>
    <phoneticPr fontId="2" type="noConversion"/>
  </si>
  <si>
    <t>스포츠 과학</t>
    <phoneticPr fontId="2" type="noConversion"/>
  </si>
  <si>
    <t>미적분Ⅰ</t>
    <phoneticPr fontId="2" type="noConversion"/>
  </si>
  <si>
    <t>화법과 언어</t>
    <phoneticPr fontId="2" type="noConversion"/>
  </si>
  <si>
    <t>영어Ⅰ</t>
    <phoneticPr fontId="2" type="noConversion"/>
  </si>
  <si>
    <t>영어Ⅱ</t>
    <phoneticPr fontId="2" type="noConversion"/>
  </si>
  <si>
    <t>기준
학점</t>
    <phoneticPr fontId="2" type="noConversion"/>
  </si>
  <si>
    <t>운영학점</t>
    <phoneticPr fontId="2" type="noConversion"/>
  </si>
  <si>
    <t>이수 
학점</t>
    <phoneticPr fontId="2" type="noConversion"/>
  </si>
  <si>
    <t>필수
이수
학점</t>
    <phoneticPr fontId="2" type="noConversion"/>
  </si>
  <si>
    <t>일반</t>
  </si>
  <si>
    <t>학
생
선
택
교
육
과
정</t>
    <phoneticPr fontId="2" type="noConversion"/>
  </si>
  <si>
    <t>이수학점 소계</t>
    <phoneticPr fontId="2" type="noConversion"/>
  </si>
  <si>
    <t>학기별 총 이수 학점</t>
    <phoneticPr fontId="2" type="noConversion"/>
  </si>
  <si>
    <t>문학</t>
    <phoneticPr fontId="2" type="noConversion"/>
  </si>
  <si>
    <t>스포츠 생활2</t>
    <phoneticPr fontId="2" type="noConversion"/>
  </si>
  <si>
    <t>교육의 이해</t>
    <phoneticPr fontId="2" type="noConversion"/>
  </si>
  <si>
    <t>아동발달과 부모</t>
    <phoneticPr fontId="2" type="noConversion"/>
  </si>
  <si>
    <t>주제 탐구 독서</t>
    <phoneticPr fontId="2" type="noConversion"/>
  </si>
  <si>
    <t>영미 문학 읽기</t>
    <phoneticPr fontId="2" type="noConversion"/>
  </si>
  <si>
    <t>현대사회와 윤리</t>
    <phoneticPr fontId="2" type="noConversion"/>
  </si>
  <si>
    <t>택1
4</t>
    <phoneticPr fontId="2" type="noConversion"/>
  </si>
  <si>
    <t>택1
2</t>
    <phoneticPr fontId="2" type="noConversion"/>
  </si>
  <si>
    <t>미술과 매체</t>
    <phoneticPr fontId="2" type="noConversion"/>
  </si>
  <si>
    <t>무용과 매체*</t>
    <phoneticPr fontId="2" type="noConversion"/>
  </si>
  <si>
    <t>미술 창작Ⅰ☆, 안무*, 음악 이론*</t>
    <phoneticPr fontId="2" type="noConversion"/>
  </si>
  <si>
    <t>드로잉Ⅱ☆, 무용기초실기Ⅱ☆, 음악공연실습Ⅰ☆</t>
    <phoneticPr fontId="2" type="noConversion"/>
  </si>
  <si>
    <t>드로잉Ⅲ☆, 무용기초실기Ⅲ☆, 음악공연실습Ⅱ☆</t>
    <phoneticPr fontId="2" type="noConversion"/>
  </si>
  <si>
    <t>드로잉Ⅳ☆, 무용기초실기Ⅳ☆, 음악공연실습Ⅲ☆</t>
    <phoneticPr fontId="2" type="noConversion"/>
  </si>
  <si>
    <t>드로잉Ⅴ☆, 무용기초실기Ⅴ☆, 음악공연실습Ⅳ☆</t>
    <phoneticPr fontId="2" type="noConversion"/>
  </si>
  <si>
    <t>사회와 문화</t>
    <phoneticPr fontId="2" type="noConversion"/>
  </si>
  <si>
    <t>성공적인 직업 생활 ★</t>
    <phoneticPr fontId="2" type="noConversion"/>
  </si>
  <si>
    <t>공통국어2</t>
    <phoneticPr fontId="2" type="noConversion"/>
  </si>
  <si>
    <t>영어 독해와 작문</t>
    <phoneticPr fontId="2" type="noConversion"/>
  </si>
  <si>
    <t>윤리와 사상</t>
    <phoneticPr fontId="2" type="noConversion"/>
  </si>
  <si>
    <t>정치</t>
    <phoneticPr fontId="2" type="noConversion"/>
  </si>
  <si>
    <t>미술전공실기☆, 무용전공실기Ⅱ☆, 음악전공실기Ⅱ☆</t>
    <phoneticPr fontId="2" type="noConversion"/>
  </si>
  <si>
    <t>미술전공실기Ⅰ☆, 무용전공실기Ⅲ☆, 음악전공실기Ⅲ☆</t>
    <phoneticPr fontId="2" type="noConversion"/>
  </si>
  <si>
    <t>미술전공실기Ⅱ☆, 무용전공실기Ⅳ☆, 음악전공실기Ⅳ☆</t>
    <phoneticPr fontId="2" type="noConversion"/>
  </si>
  <si>
    <t>미술전공실기Ⅲ☆, 무용전공실기Ⅴ☆, 음악전공실기Ⅴ☆</t>
    <phoneticPr fontId="2" type="noConversion"/>
  </si>
  <si>
    <t>드로잉*, 무용기초실기☆, 음악 감상과 비평</t>
    <phoneticPr fontId="2" type="noConversion"/>
  </si>
  <si>
    <t>드로잉Ⅰ☆, 무용기초실기Ⅰ☆, 음악 공연 실습*</t>
    <phoneticPr fontId="2" type="noConversion"/>
  </si>
  <si>
    <t>미술기초실기2☆, 무용전공실기Ⅰ☆, 음악전공실기Ⅰ☆</t>
    <phoneticPr fontId="2" type="noConversion"/>
  </si>
  <si>
    <t>미술기초실기1☆, 무용전공실기 ☆, 음악전공실기 ☆</t>
    <phoneticPr fontId="2" type="noConversion"/>
  </si>
  <si>
    <t>과학탐구실험1</t>
    <phoneticPr fontId="2" type="noConversion"/>
  </si>
  <si>
    <t>과학탐구실험2</t>
    <phoneticPr fontId="2" type="noConversion"/>
  </si>
  <si>
    <t>택1
3</t>
    <phoneticPr fontId="2" type="noConversion"/>
  </si>
  <si>
    <t>세계시민과 지리</t>
    <phoneticPr fontId="2" type="noConversion"/>
  </si>
  <si>
    <r>
      <t>기술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가정/정보/교양</t>
    </r>
    <phoneticPr fontId="2" type="noConversion"/>
  </si>
  <si>
    <t>2026학년도 신입생 3개년 교육과정 편제표(안)</t>
    <phoneticPr fontId="2" type="noConversion"/>
  </si>
  <si>
    <t>여행지리</t>
    <phoneticPr fontId="2" type="noConversion"/>
  </si>
  <si>
    <r>
      <t>기술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가정</t>
    </r>
    <phoneticPr fontId="2" type="noConversion"/>
  </si>
  <si>
    <r>
      <t>미술 창작, 무용 제작 실습*, 합창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합주*</t>
    </r>
    <phoneticPr fontId="2" type="noConversion"/>
  </si>
  <si>
    <r>
      <t>조형 탐구*, 합창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합주Ⅰ☆</t>
    </r>
    <phoneticPr fontId="2" type="noConversion"/>
  </si>
  <si>
    <r>
      <t>조형탐구Ⅰ☆, 안무Ⅰ☆, 시창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청음*</t>
    </r>
    <phoneticPr fontId="2" type="noConversion"/>
  </si>
  <si>
    <r>
      <t>무용 감상과 비평*, 합창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합주Ⅱ☆</t>
    </r>
    <phoneticPr fontId="2" type="noConversion"/>
  </si>
  <si>
    <r>
      <t>미술 이론*, 무용의 이해*,  시창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청음Ⅰ☆</t>
    </r>
    <phoneticPr fontId="2" type="noConversion"/>
  </si>
  <si>
    <r>
      <t xml:space="preserve">☞ 표기방법 안내
 ◦ </t>
    </r>
    <r>
      <rPr>
        <sz val="9"/>
        <color theme="1"/>
        <rFont val="맑은 고딕"/>
        <family val="3"/>
        <charset val="129"/>
      </rPr>
      <t>특목고 과목(보통교과 표6)을</t>
    </r>
    <r>
      <rPr>
        <sz val="9"/>
        <color theme="1"/>
        <rFont val="나눔고딕"/>
        <family val="3"/>
        <charset val="129"/>
      </rPr>
      <t xml:space="preserve"> 진로선택과목으로 가져올 때 * 표기
 ◦</t>
    </r>
    <r>
      <rPr>
        <sz val="9"/>
        <color theme="1"/>
        <rFont val="맑은 고딕"/>
        <family val="3"/>
        <charset val="129"/>
      </rPr>
      <t xml:space="preserve">전문교과를 진로선택과목으로 가져올 때 </t>
    </r>
    <r>
      <rPr>
        <sz val="9"/>
        <color theme="1"/>
        <rFont val="나눔고딕"/>
        <family val="3"/>
        <charset val="129"/>
      </rPr>
      <t>★</t>
    </r>
    <r>
      <rPr>
        <sz val="9"/>
        <color theme="1"/>
        <rFont val="맑은 고딕"/>
        <family val="3"/>
        <charset val="129"/>
      </rPr>
      <t xml:space="preserve"> 표기</t>
    </r>
    <r>
      <rPr>
        <sz val="9"/>
        <color theme="1"/>
        <rFont val="나눔고딕"/>
        <family val="3"/>
        <charset val="129"/>
      </rPr>
      <t xml:space="preserve">
 </t>
    </r>
    <r>
      <rPr>
        <sz val="9"/>
        <color theme="1"/>
        <rFont val="나눔고딕"/>
        <family val="2"/>
        <charset val="129"/>
      </rPr>
      <t>◦</t>
    </r>
    <r>
      <rPr>
        <sz val="9"/>
        <color theme="1"/>
        <rFont val="나눔고딕"/>
        <family val="3"/>
        <charset val="129"/>
      </rPr>
      <t xml:space="preserve"> 고시외과목은 </t>
    </r>
    <r>
      <rPr>
        <sz val="9"/>
        <color theme="1"/>
        <rFont val="나눔고딕"/>
        <family val="2"/>
        <charset val="129"/>
      </rPr>
      <t>☆</t>
    </r>
    <r>
      <rPr>
        <sz val="9"/>
        <color theme="1"/>
        <rFont val="나눔고딕"/>
        <family val="3"/>
        <charset val="129"/>
      </rPr>
      <t xml:space="preserve"> 표기
 </t>
    </r>
    <r>
      <rPr>
        <sz val="9"/>
        <color theme="1"/>
        <rFont val="나눔고딕"/>
        <family val="2"/>
        <charset val="129"/>
      </rPr>
      <t>☞</t>
    </r>
    <r>
      <rPr>
        <sz val="9"/>
        <color theme="1"/>
        <rFont val="나눔고딕"/>
        <family val="3"/>
        <charset val="129"/>
      </rPr>
      <t xml:space="preserve"> 교차집중표기법: 교차집중(↔)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</si>
</sst>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7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color rgb="FF000000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9"/>
      <color theme="1"/>
      <name val="나눔고딕"/>
      <family val="2"/>
      <charset val="129"/>
    </font>
    <font>
      <sz val="9"/>
      <color theme="1"/>
      <name val="Tahoma"/>
      <family val="3"/>
      <charset val="1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name val="나눔고딕"/>
      <family val="3"/>
      <charset val="129"/>
    </font>
    <font>
      <sz val="9"/>
      <name val="맑은 고딕"/>
      <family val="2"/>
      <charset val="129"/>
      <scheme val="minor"/>
    </font>
    <font>
      <sz val="9"/>
      <name val="Tahoma"/>
      <family val="3"/>
      <charset val="1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45">
    <xf numFmtId="0" fontId="0" fillId="0" borderId="0" xfId="0">
      <alignment vertical="center"/>
    </xf>
    <xf numFmtId="176" fontId="7" fillId="0" borderId="5" xfId="0" applyNumberFormat="1" applyFont="1" applyFill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176" fontId="7" fillId="0" borderId="7" xfId="0" applyNumberFormat="1" applyFont="1" applyBorder="1" applyAlignment="1">
      <alignment horizontal="center" vertical="center" wrapText="1"/>
    </xf>
    <xf numFmtId="0" fontId="11" fillId="0" borderId="0" xfId="0" applyFont="1">
      <alignment vertical="center"/>
    </xf>
    <xf numFmtId="176" fontId="7" fillId="0" borderId="12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176" fontId="7" fillId="0" borderId="15" xfId="0" applyNumberFormat="1" applyFont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176" fontId="7" fillId="0" borderId="18" xfId="0" applyNumberFormat="1" applyFont="1" applyBorder="1" applyAlignment="1">
      <alignment horizontal="center" vertical="center" wrapText="1"/>
    </xf>
    <xf numFmtId="176" fontId="7" fillId="0" borderId="20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76" fontId="7" fillId="0" borderId="23" xfId="0" applyNumberFormat="1" applyFont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 wrapText="1"/>
    </xf>
    <xf numFmtId="176" fontId="12" fillId="0" borderId="5" xfId="0" applyNumberFormat="1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wrapText="1"/>
    </xf>
    <xf numFmtId="176" fontId="12" fillId="0" borderId="7" xfId="0" applyNumberFormat="1" applyFont="1" applyBorder="1" applyAlignment="1">
      <alignment horizontal="center" vertical="center" wrapText="1"/>
    </xf>
    <xf numFmtId="176" fontId="12" fillId="3" borderId="7" xfId="0" applyNumberFormat="1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176" fontId="12" fillId="0" borderId="5" xfId="0" applyNumberFormat="1" applyFont="1" applyFill="1" applyBorder="1" applyAlignment="1">
      <alignment horizontal="left" vertical="center" shrinkToFit="1"/>
    </xf>
    <xf numFmtId="0" fontId="13" fillId="0" borderId="5" xfId="0" applyFont="1" applyBorder="1">
      <alignment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>
      <alignment vertical="center"/>
    </xf>
    <xf numFmtId="176" fontId="12" fillId="0" borderId="5" xfId="0" applyNumberFormat="1" applyFont="1" applyFill="1" applyBorder="1" applyAlignment="1">
      <alignment horizontal="left" vertical="center" wrapText="1" shrinkToFit="1"/>
    </xf>
    <xf numFmtId="176" fontId="12" fillId="0" borderId="12" xfId="0" applyNumberFormat="1" applyFont="1" applyFill="1" applyBorder="1" applyAlignment="1">
      <alignment horizontal="left" vertical="center" wrapText="1"/>
    </xf>
    <xf numFmtId="0" fontId="12" fillId="0" borderId="12" xfId="0" applyFont="1" applyFill="1" applyBorder="1" applyAlignment="1">
      <alignment horizontal="center" vertical="center" wrapText="1"/>
    </xf>
    <xf numFmtId="176" fontId="12" fillId="0" borderId="2" xfId="0" applyNumberFormat="1" applyFont="1" applyFill="1" applyBorder="1" applyAlignment="1">
      <alignment horizontal="center" vertical="center" wrapText="1"/>
    </xf>
    <xf numFmtId="176" fontId="12" fillId="0" borderId="7" xfId="0" applyNumberFormat="1" applyFont="1" applyFill="1" applyBorder="1" applyAlignment="1">
      <alignment horizontal="center" vertical="center" wrapText="1"/>
    </xf>
    <xf numFmtId="176" fontId="7" fillId="3" borderId="25" xfId="0" applyNumberFormat="1" applyFont="1" applyFill="1" applyBorder="1" applyAlignment="1">
      <alignment horizontal="center" vertical="center" wrapText="1"/>
    </xf>
    <xf numFmtId="176" fontId="12" fillId="0" borderId="19" xfId="0" applyNumberFormat="1" applyFont="1" applyBorder="1" applyAlignment="1">
      <alignment horizontal="center" vertical="center" wrapText="1"/>
    </xf>
    <xf numFmtId="176" fontId="12" fillId="0" borderId="19" xfId="0" applyNumberFormat="1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176" fontId="12" fillId="0" borderId="22" xfId="0" applyNumberFormat="1" applyFont="1" applyFill="1" applyBorder="1" applyAlignment="1">
      <alignment horizontal="center" vertical="center" wrapText="1"/>
    </xf>
    <xf numFmtId="176" fontId="12" fillId="0" borderId="3" xfId="0" applyNumberFormat="1" applyFont="1" applyFill="1" applyBorder="1" applyAlignment="1">
      <alignment horizontal="center" vertical="center" wrapText="1"/>
    </xf>
    <xf numFmtId="176" fontId="7" fillId="0" borderId="25" xfId="0" applyNumberFormat="1" applyFont="1" applyFill="1" applyBorder="1" applyAlignment="1">
      <alignment horizontal="center" vertical="center" wrapText="1"/>
    </xf>
    <xf numFmtId="176" fontId="12" fillId="0" borderId="25" xfId="0" applyNumberFormat="1" applyFont="1" applyFill="1" applyBorder="1" applyAlignment="1">
      <alignment horizontal="left" vertical="center" wrapText="1" shrinkToFit="1"/>
    </xf>
    <xf numFmtId="0" fontId="12" fillId="0" borderId="25" xfId="0" applyFont="1" applyFill="1" applyBorder="1" applyAlignment="1">
      <alignment horizontal="center" vertical="center" wrapText="1"/>
    </xf>
    <xf numFmtId="176" fontId="12" fillId="0" borderId="26" xfId="0" applyNumberFormat="1" applyFont="1" applyFill="1" applyBorder="1" applyAlignment="1">
      <alignment horizontal="center" vertical="center" wrapText="1"/>
    </xf>
    <xf numFmtId="176" fontId="12" fillId="0" borderId="12" xfId="0" applyNumberFormat="1" applyFont="1" applyFill="1" applyBorder="1" applyAlignment="1">
      <alignment horizontal="left" vertical="center" shrinkToFit="1"/>
    </xf>
    <xf numFmtId="176" fontId="12" fillId="0" borderId="26" xfId="0" applyNumberFormat="1" applyFont="1" applyBorder="1" applyAlignment="1">
      <alignment horizontal="center" vertical="center" wrapText="1"/>
    </xf>
    <xf numFmtId="176" fontId="12" fillId="0" borderId="25" xfId="0" applyNumberFormat="1" applyFont="1" applyFill="1" applyBorder="1" applyAlignment="1">
      <alignment horizontal="left" vertical="center" wrapText="1"/>
    </xf>
    <xf numFmtId="0" fontId="12" fillId="3" borderId="25" xfId="0" applyFont="1" applyFill="1" applyBorder="1" applyAlignment="1">
      <alignment horizontal="center" vertical="center" wrapText="1"/>
    </xf>
    <xf numFmtId="176" fontId="7" fillId="2" borderId="22" xfId="0" applyNumberFormat="1" applyFont="1" applyFill="1" applyBorder="1" applyAlignment="1">
      <alignment horizontal="center" vertical="center" shrinkToFit="1"/>
    </xf>
    <xf numFmtId="176" fontId="7" fillId="0" borderId="17" xfId="0" applyNumberFormat="1" applyFont="1" applyBorder="1" applyAlignment="1">
      <alignment horizontal="center" vertical="center" wrapText="1"/>
    </xf>
    <xf numFmtId="176" fontId="7" fillId="0" borderId="19" xfId="0" applyNumberFormat="1" applyFont="1" applyBorder="1" applyAlignment="1">
      <alignment horizontal="center" vertical="center" wrapText="1"/>
    </xf>
    <xf numFmtId="176" fontId="7" fillId="0" borderId="22" xfId="0" applyNumberFormat="1" applyFont="1" applyBorder="1" applyAlignment="1">
      <alignment horizontal="center" vertical="center" wrapText="1"/>
    </xf>
    <xf numFmtId="0" fontId="13" fillId="0" borderId="19" xfId="0" applyFont="1" applyBorder="1">
      <alignment vertical="center"/>
    </xf>
    <xf numFmtId="0" fontId="13" fillId="0" borderId="19" xfId="0" applyFont="1" applyBorder="1" applyAlignment="1">
      <alignment horizontal="center" vertical="center"/>
    </xf>
    <xf numFmtId="0" fontId="14" fillId="0" borderId="19" xfId="0" applyFont="1" applyBorder="1">
      <alignment vertical="center"/>
    </xf>
    <xf numFmtId="176" fontId="7" fillId="2" borderId="23" xfId="0" applyNumberFormat="1" applyFont="1" applyFill="1" applyBorder="1" applyAlignment="1">
      <alignment horizontal="center" vertical="center" shrinkToFit="1"/>
    </xf>
    <xf numFmtId="176" fontId="12" fillId="0" borderId="16" xfId="0" applyNumberFormat="1" applyFont="1" applyBorder="1" applyAlignment="1">
      <alignment horizontal="center" vertical="center" wrapText="1"/>
    </xf>
    <xf numFmtId="176" fontId="12" fillId="0" borderId="20" xfId="0" applyNumberFormat="1" applyFont="1" applyBorder="1" applyAlignment="1">
      <alignment horizontal="center" vertical="center" wrapText="1"/>
    </xf>
    <xf numFmtId="176" fontId="12" fillId="3" borderId="20" xfId="0" applyNumberFormat="1" applyFont="1" applyFill="1" applyBorder="1" applyAlignment="1">
      <alignment horizontal="center" vertical="center" wrapText="1"/>
    </xf>
    <xf numFmtId="176" fontId="12" fillId="0" borderId="20" xfId="0" applyNumberFormat="1" applyFont="1" applyFill="1" applyBorder="1" applyAlignment="1">
      <alignment horizontal="center" vertical="center" wrapText="1"/>
    </xf>
    <xf numFmtId="176" fontId="12" fillId="0" borderId="23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shrinkToFit="1"/>
    </xf>
    <xf numFmtId="176" fontId="7" fillId="2" borderId="2" xfId="0" applyNumberFormat="1" applyFont="1" applyFill="1" applyBorder="1" applyAlignment="1">
      <alignment horizontal="center" vertical="center" shrinkToFit="1"/>
    </xf>
    <xf numFmtId="176" fontId="12" fillId="0" borderId="27" xfId="0" applyNumberFormat="1" applyFont="1" applyBorder="1" applyAlignment="1">
      <alignment horizontal="center" vertical="center" wrapText="1"/>
    </xf>
    <xf numFmtId="176" fontId="12" fillId="0" borderId="4" xfId="0" applyNumberFormat="1" applyFont="1" applyBorder="1" applyAlignment="1">
      <alignment horizontal="center" vertical="center" wrapText="1"/>
    </xf>
    <xf numFmtId="176" fontId="12" fillId="0" borderId="6" xfId="0" applyNumberFormat="1" applyFont="1" applyBorder="1" applyAlignment="1">
      <alignment horizontal="center" vertical="center" wrapText="1"/>
    </xf>
    <xf numFmtId="176" fontId="12" fillId="3" borderId="6" xfId="0" applyNumberFormat="1" applyFont="1" applyFill="1" applyBorder="1" applyAlignment="1">
      <alignment horizontal="center" vertical="center" wrapText="1"/>
    </xf>
    <xf numFmtId="176" fontId="12" fillId="0" borderId="6" xfId="0" applyNumberFormat="1" applyFont="1" applyFill="1" applyBorder="1" applyAlignment="1">
      <alignment horizontal="center" vertical="center" wrapText="1"/>
    </xf>
    <xf numFmtId="0" fontId="13" fillId="0" borderId="6" xfId="0" applyFont="1" applyBorder="1">
      <alignment vertical="center"/>
    </xf>
    <xf numFmtId="0" fontId="13" fillId="0" borderId="7" xfId="0" applyFont="1" applyBorder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29" xfId="0" applyFont="1" applyBorder="1">
      <alignment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2" fillId="0" borderId="27" xfId="0" applyNumberFormat="1" applyFont="1" applyFill="1" applyBorder="1" applyAlignment="1">
      <alignment horizontal="center" vertical="center" wrapText="1"/>
    </xf>
    <xf numFmtId="176" fontId="12" fillId="0" borderId="4" xfId="0" applyNumberFormat="1" applyFont="1" applyFill="1" applyBorder="1" applyAlignment="1">
      <alignment horizontal="center" vertical="center" wrapText="1"/>
    </xf>
    <xf numFmtId="176" fontId="12" fillId="0" borderId="6" xfId="0" applyNumberFormat="1" applyFont="1" applyFill="1" applyBorder="1" applyAlignment="1">
      <alignment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4" fillId="0" borderId="6" xfId="0" applyFont="1" applyBorder="1">
      <alignment vertical="center"/>
    </xf>
    <xf numFmtId="176" fontId="16" fillId="0" borderId="6" xfId="0" applyNumberFormat="1" applyFont="1" applyFill="1" applyBorder="1" applyAlignment="1">
      <alignment horizontal="center" vertical="center" wrapText="1"/>
    </xf>
    <xf numFmtId="176" fontId="16" fillId="0" borderId="19" xfId="0" applyNumberFormat="1" applyFont="1" applyFill="1" applyBorder="1" applyAlignment="1">
      <alignment horizontal="center" vertical="center" wrapText="1"/>
    </xf>
    <xf numFmtId="176" fontId="16" fillId="0" borderId="7" xfId="0" applyNumberFormat="1" applyFont="1" applyFill="1" applyBorder="1" applyAlignment="1">
      <alignment horizontal="center" vertical="center" wrapText="1"/>
    </xf>
    <xf numFmtId="176" fontId="16" fillId="0" borderId="20" xfId="0" applyNumberFormat="1" applyFont="1" applyFill="1" applyBorder="1" applyAlignment="1">
      <alignment horizontal="center" vertical="center" wrapText="1"/>
    </xf>
    <xf numFmtId="176" fontId="16" fillId="0" borderId="7" xfId="0" applyNumberFormat="1" applyFont="1" applyFill="1" applyBorder="1" applyAlignment="1">
      <alignment vertical="center" wrapText="1"/>
    </xf>
    <xf numFmtId="0" fontId="16" fillId="0" borderId="20" xfId="0" applyFont="1" applyFill="1" applyBorder="1" applyAlignment="1">
      <alignment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 wrapText="1"/>
    </xf>
    <xf numFmtId="176" fontId="16" fillId="0" borderId="22" xfId="0" applyNumberFormat="1" applyFont="1" applyFill="1" applyBorder="1" applyAlignment="1">
      <alignment horizontal="center" vertical="center" wrapText="1"/>
    </xf>
    <xf numFmtId="176" fontId="16" fillId="0" borderId="2" xfId="0" applyNumberFormat="1" applyFont="1" applyFill="1" applyBorder="1" applyAlignment="1">
      <alignment horizontal="center" vertical="center" wrapText="1"/>
    </xf>
    <xf numFmtId="176" fontId="16" fillId="0" borderId="23" xfId="0" applyNumberFormat="1" applyFont="1" applyFill="1" applyBorder="1" applyAlignment="1">
      <alignment horizontal="center" vertical="center" wrapText="1"/>
    </xf>
    <xf numFmtId="176" fontId="12" fillId="0" borderId="11" xfId="0" applyNumberFormat="1" applyFont="1" applyFill="1" applyBorder="1" applyAlignment="1">
      <alignment horizontal="center" vertical="center" wrapText="1"/>
    </xf>
    <xf numFmtId="176" fontId="12" fillId="0" borderId="27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76" fontId="7" fillId="3" borderId="9" xfId="0" applyNumberFormat="1" applyFont="1" applyFill="1" applyBorder="1" applyAlignment="1">
      <alignment horizontal="center" vertical="center" wrapText="1"/>
    </xf>
    <xf numFmtId="176" fontId="7" fillId="3" borderId="28" xfId="0" applyNumberFormat="1" applyFont="1" applyFill="1" applyBorder="1" applyAlignment="1">
      <alignment horizontal="center" vertical="center" wrapText="1"/>
    </xf>
    <xf numFmtId="176" fontId="7" fillId="3" borderId="25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7" fillId="2" borderId="1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3" xfId="0" applyNumberFormat="1" applyFont="1" applyFill="1" applyBorder="1" applyAlignment="1">
      <alignment horizontal="center" vertical="center" wrapText="1"/>
    </xf>
    <xf numFmtId="176" fontId="7" fillId="2" borderId="12" xfId="0" applyNumberFormat="1" applyFont="1" applyFill="1" applyBorder="1" applyAlignment="1">
      <alignment horizontal="center" vertical="center" wrapText="1"/>
    </xf>
    <xf numFmtId="176" fontId="5" fillId="2" borderId="13" xfId="0" applyNumberFormat="1" applyFont="1" applyFill="1" applyBorder="1" applyAlignment="1">
      <alignment horizontal="center" vertical="center" wrapText="1"/>
    </xf>
    <xf numFmtId="176" fontId="5" fillId="2" borderId="12" xfId="0" applyNumberFormat="1" applyFont="1" applyFill="1" applyBorder="1" applyAlignment="1">
      <alignment horizontal="center" vertical="center" wrapText="1"/>
    </xf>
    <xf numFmtId="176" fontId="7" fillId="2" borderId="17" xfId="0" applyNumberFormat="1" applyFont="1" applyFill="1" applyBorder="1" applyAlignment="1">
      <alignment horizontal="center" vertical="center" wrapText="1"/>
    </xf>
    <xf numFmtId="176" fontId="7" fillId="2" borderId="22" xfId="0" applyNumberFormat="1" applyFont="1" applyFill="1" applyBorder="1" applyAlignment="1">
      <alignment horizontal="center" vertical="center" wrapText="1"/>
    </xf>
    <xf numFmtId="176" fontId="7" fillId="2" borderId="14" xfId="0" applyNumberFormat="1" applyFont="1" applyFill="1" applyBorder="1" applyAlignment="1">
      <alignment horizontal="center" vertical="center" wrapText="1"/>
    </xf>
    <xf numFmtId="176" fontId="7" fillId="2" borderId="15" xfId="0" applyNumberFormat="1" applyFont="1" applyFill="1" applyBorder="1" applyAlignment="1">
      <alignment horizontal="center" vertical="center" wrapText="1"/>
    </xf>
    <xf numFmtId="176" fontId="7" fillId="2" borderId="18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 wrapText="1"/>
    </xf>
    <xf numFmtId="176" fontId="7" fillId="0" borderId="10" xfId="0" applyNumberFormat="1" applyFont="1" applyBorder="1" applyAlignment="1">
      <alignment horizontal="center" vertical="center" wrapText="1"/>
    </xf>
    <xf numFmtId="176" fontId="7" fillId="0" borderId="8" xfId="0" applyNumberFormat="1" applyFont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176" fontId="12" fillId="0" borderId="11" xfId="0" applyNumberFormat="1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center" vertical="center" wrapText="1"/>
    </xf>
    <xf numFmtId="176" fontId="12" fillId="0" borderId="3" xfId="0" applyNumberFormat="1" applyFont="1" applyFill="1" applyBorder="1" applyAlignment="1">
      <alignment horizontal="center" vertical="center" wrapText="1"/>
    </xf>
    <xf numFmtId="176" fontId="7" fillId="0" borderId="10" xfId="0" applyNumberFormat="1" applyFont="1" applyFill="1" applyBorder="1" applyAlignment="1">
      <alignment horizontal="center" vertical="center" wrapText="1"/>
    </xf>
    <xf numFmtId="176" fontId="7" fillId="0" borderId="8" xfId="0" applyNumberFormat="1" applyFont="1" applyFill="1" applyBorder="1" applyAlignment="1">
      <alignment horizontal="center" vertical="center" wrapText="1"/>
    </xf>
    <xf numFmtId="176" fontId="7" fillId="3" borderId="12" xfId="0" applyNumberFormat="1" applyFont="1" applyFill="1" applyBorder="1" applyAlignment="1">
      <alignment horizontal="center" vertical="center" wrapText="1"/>
    </xf>
    <xf numFmtId="176" fontId="12" fillId="0" borderId="21" xfId="0" applyNumberFormat="1" applyFont="1" applyFill="1" applyBorder="1" applyAlignment="1">
      <alignment horizontal="center" vertical="center" wrapText="1"/>
    </xf>
    <xf numFmtId="176" fontId="7" fillId="0" borderId="24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6" fontId="12" fillId="0" borderId="16" xfId="0" applyNumberFormat="1" applyFont="1" applyFill="1" applyBorder="1" applyAlignment="1">
      <alignment horizontal="center" vertical="center" wrapText="1"/>
    </xf>
    <xf numFmtId="176" fontId="12" fillId="0" borderId="20" xfId="0" applyNumberFormat="1" applyFont="1" applyFill="1" applyBorder="1" applyAlignment="1">
      <alignment horizontal="center" vertical="center" wrapText="1"/>
    </xf>
    <xf numFmtId="176" fontId="12" fillId="0" borderId="7" xfId="0" applyNumberFormat="1" applyFont="1" applyFill="1" applyBorder="1" applyAlignment="1">
      <alignment horizontal="center" vertical="center" wrapText="1"/>
    </xf>
    <xf numFmtId="176" fontId="12" fillId="0" borderId="6" xfId="0" applyNumberFormat="1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3" xfId="0" applyNumberFormat="1" applyFont="1" applyBorder="1" applyAlignment="1">
      <alignment horizontal="center" vertical="center" wrapText="1"/>
    </xf>
    <xf numFmtId="176" fontId="5" fillId="0" borderId="17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19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176" fontId="5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left" vertical="top" wrapText="1"/>
    </xf>
    <xf numFmtId="176" fontId="16" fillId="0" borderId="6" xfId="0" applyNumberFormat="1" applyFont="1" applyFill="1" applyBorder="1" applyAlignment="1">
      <alignment horizontal="center" vertical="center" wrapText="1"/>
    </xf>
    <xf numFmtId="176" fontId="16" fillId="0" borderId="20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E46227EA-CE7C-4587-BD39-3C98F5CAB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AB32-DCA0-49BA-BC63-F28E6B66E23B}">
  <sheetPr>
    <pageSetUpPr fitToPage="1"/>
  </sheetPr>
  <dimension ref="B2:O71"/>
  <sheetViews>
    <sheetView tabSelected="1" view="pageBreakPreview" zoomScale="75" zoomScaleNormal="100" zoomScaleSheetLayoutView="75" workbookViewId="0">
      <selection activeCell="E44" sqref="E44"/>
    </sheetView>
  </sheetViews>
  <sheetFormatPr defaultRowHeight="16.5" x14ac:dyDescent="0.3"/>
  <cols>
    <col min="1" max="1" width="3.375" customWidth="1"/>
    <col min="2" max="4" width="8.75" style="4"/>
    <col min="5" max="5" width="58" style="4" customWidth="1"/>
    <col min="6" max="15" width="8.75" style="4"/>
  </cols>
  <sheetData>
    <row r="2" spans="2:15" ht="26.25" x14ac:dyDescent="0.3">
      <c r="B2" s="101" t="s">
        <v>91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spans="2:15" ht="17.25" thickBot="1" x14ac:dyDescent="0.35"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</row>
    <row r="4" spans="2:15" ht="21.95" customHeight="1" x14ac:dyDescent="0.3">
      <c r="B4" s="103" t="s">
        <v>0</v>
      </c>
      <c r="C4" s="105" t="s">
        <v>1</v>
      </c>
      <c r="D4" s="107" t="s">
        <v>2</v>
      </c>
      <c r="E4" s="107"/>
      <c r="F4" s="105" t="s">
        <v>48</v>
      </c>
      <c r="G4" s="109" t="s">
        <v>49</v>
      </c>
      <c r="H4" s="111" t="s">
        <v>3</v>
      </c>
      <c r="I4" s="109"/>
      <c r="J4" s="111" t="s">
        <v>4</v>
      </c>
      <c r="K4" s="112"/>
      <c r="L4" s="113" t="s">
        <v>5</v>
      </c>
      <c r="M4" s="112"/>
      <c r="N4" s="111" t="s">
        <v>50</v>
      </c>
      <c r="O4" s="112" t="s">
        <v>51</v>
      </c>
    </row>
    <row r="5" spans="2:15" ht="21.95" customHeight="1" thickBot="1" x14ac:dyDescent="0.35">
      <c r="B5" s="104"/>
      <c r="C5" s="106"/>
      <c r="D5" s="108"/>
      <c r="E5" s="108"/>
      <c r="F5" s="106"/>
      <c r="G5" s="110"/>
      <c r="H5" s="58" t="s">
        <v>6</v>
      </c>
      <c r="I5" s="45" t="s">
        <v>7</v>
      </c>
      <c r="J5" s="58" t="s">
        <v>6</v>
      </c>
      <c r="K5" s="59" t="s">
        <v>7</v>
      </c>
      <c r="L5" s="52" t="s">
        <v>6</v>
      </c>
      <c r="M5" s="59" t="s">
        <v>7</v>
      </c>
      <c r="N5" s="114"/>
      <c r="O5" s="115"/>
    </row>
    <row r="6" spans="2:15" ht="21.95" customHeight="1" x14ac:dyDescent="0.3">
      <c r="B6" s="127" t="s">
        <v>8</v>
      </c>
      <c r="C6" s="100" t="s">
        <v>9</v>
      </c>
      <c r="D6" s="37" t="s">
        <v>10</v>
      </c>
      <c r="E6" s="43" t="s">
        <v>23</v>
      </c>
      <c r="F6" s="44">
        <v>4</v>
      </c>
      <c r="G6" s="74">
        <v>3</v>
      </c>
      <c r="H6" s="60">
        <v>3</v>
      </c>
      <c r="I6" s="42"/>
      <c r="J6" s="60"/>
      <c r="K6" s="61"/>
      <c r="L6" s="53"/>
      <c r="M6" s="61"/>
      <c r="N6" s="120">
        <v>12</v>
      </c>
      <c r="O6" s="117">
        <v>8</v>
      </c>
    </row>
    <row r="7" spans="2:15" ht="21.95" customHeight="1" x14ac:dyDescent="0.3">
      <c r="B7" s="127"/>
      <c r="C7" s="118"/>
      <c r="D7" s="16" t="s">
        <v>10</v>
      </c>
      <c r="E7" s="17" t="s">
        <v>74</v>
      </c>
      <c r="F7" s="18">
        <v>4</v>
      </c>
      <c r="G7" s="75">
        <v>3</v>
      </c>
      <c r="H7" s="62"/>
      <c r="I7" s="32">
        <v>3</v>
      </c>
      <c r="J7" s="62"/>
      <c r="K7" s="19"/>
      <c r="L7" s="54"/>
      <c r="M7" s="19"/>
      <c r="N7" s="120"/>
      <c r="O7" s="117"/>
    </row>
    <row r="8" spans="2:15" ht="21.95" customHeight="1" x14ac:dyDescent="0.3">
      <c r="B8" s="127"/>
      <c r="C8" s="118"/>
      <c r="D8" s="16" t="s">
        <v>12</v>
      </c>
      <c r="E8" s="17" t="s">
        <v>56</v>
      </c>
      <c r="F8" s="18">
        <v>4</v>
      </c>
      <c r="G8" s="75">
        <v>3</v>
      </c>
      <c r="H8" s="62"/>
      <c r="I8" s="32"/>
      <c r="J8" s="62">
        <v>3</v>
      </c>
      <c r="K8" s="19"/>
      <c r="L8" s="54"/>
      <c r="M8" s="19"/>
      <c r="N8" s="120"/>
      <c r="O8" s="117"/>
    </row>
    <row r="9" spans="2:15" ht="21.95" customHeight="1" x14ac:dyDescent="0.3">
      <c r="B9" s="127"/>
      <c r="C9" s="118"/>
      <c r="D9" s="16" t="s">
        <v>12</v>
      </c>
      <c r="E9" s="17" t="s">
        <v>38</v>
      </c>
      <c r="F9" s="18">
        <v>4</v>
      </c>
      <c r="G9" s="75">
        <v>3</v>
      </c>
      <c r="H9" s="62"/>
      <c r="I9" s="32"/>
      <c r="J9" s="62"/>
      <c r="K9" s="19">
        <v>3</v>
      </c>
      <c r="L9" s="54"/>
      <c r="M9" s="19"/>
      <c r="N9" s="120"/>
      <c r="O9" s="117"/>
    </row>
    <row r="10" spans="2:15" ht="21.95" customHeight="1" x14ac:dyDescent="0.3">
      <c r="B10" s="127"/>
      <c r="C10" s="118" t="s">
        <v>13</v>
      </c>
      <c r="D10" s="16" t="s">
        <v>10</v>
      </c>
      <c r="E10" s="17" t="s">
        <v>24</v>
      </c>
      <c r="F10" s="18">
        <v>4</v>
      </c>
      <c r="G10" s="75">
        <v>3</v>
      </c>
      <c r="H10" s="62">
        <v>3</v>
      </c>
      <c r="I10" s="32"/>
      <c r="J10" s="62"/>
      <c r="K10" s="19"/>
      <c r="L10" s="54"/>
      <c r="M10" s="19"/>
      <c r="N10" s="119">
        <v>12</v>
      </c>
      <c r="O10" s="116">
        <v>8</v>
      </c>
    </row>
    <row r="11" spans="2:15" ht="21.95" customHeight="1" x14ac:dyDescent="0.3">
      <c r="B11" s="127"/>
      <c r="C11" s="118"/>
      <c r="D11" s="16" t="s">
        <v>10</v>
      </c>
      <c r="E11" s="17" t="s">
        <v>25</v>
      </c>
      <c r="F11" s="18">
        <v>4</v>
      </c>
      <c r="G11" s="75">
        <v>3</v>
      </c>
      <c r="H11" s="62"/>
      <c r="I11" s="32">
        <v>3</v>
      </c>
      <c r="J11" s="62"/>
      <c r="K11" s="19"/>
      <c r="L11" s="54"/>
      <c r="M11" s="19"/>
      <c r="N11" s="120"/>
      <c r="O11" s="117"/>
    </row>
    <row r="12" spans="2:15" ht="21.95" customHeight="1" x14ac:dyDescent="0.3">
      <c r="B12" s="127"/>
      <c r="C12" s="118"/>
      <c r="D12" s="16" t="s">
        <v>12</v>
      </c>
      <c r="E12" s="17" t="s">
        <v>39</v>
      </c>
      <c r="F12" s="18">
        <v>4</v>
      </c>
      <c r="G12" s="75">
        <v>3</v>
      </c>
      <c r="H12" s="62"/>
      <c r="I12" s="32"/>
      <c r="J12" s="62">
        <v>3</v>
      </c>
      <c r="K12" s="19"/>
      <c r="L12" s="54"/>
      <c r="M12" s="19"/>
      <c r="N12" s="120"/>
      <c r="O12" s="117"/>
    </row>
    <row r="13" spans="2:15" ht="21.95" customHeight="1" x14ac:dyDescent="0.3">
      <c r="B13" s="127"/>
      <c r="C13" s="118"/>
      <c r="D13" s="16" t="s">
        <v>12</v>
      </c>
      <c r="E13" s="17" t="s">
        <v>44</v>
      </c>
      <c r="F13" s="18">
        <v>4</v>
      </c>
      <c r="G13" s="75">
        <v>3</v>
      </c>
      <c r="H13" s="62"/>
      <c r="I13" s="32"/>
      <c r="J13" s="62"/>
      <c r="K13" s="19">
        <v>3</v>
      </c>
      <c r="L13" s="54"/>
      <c r="M13" s="19"/>
      <c r="N13" s="120"/>
      <c r="O13" s="117"/>
    </row>
    <row r="14" spans="2:15" ht="21.95" customHeight="1" x14ac:dyDescent="0.3">
      <c r="B14" s="127"/>
      <c r="C14" s="118" t="s">
        <v>14</v>
      </c>
      <c r="D14" s="16" t="s">
        <v>10</v>
      </c>
      <c r="E14" s="17" t="s">
        <v>26</v>
      </c>
      <c r="F14" s="18">
        <v>4</v>
      </c>
      <c r="G14" s="75">
        <v>3</v>
      </c>
      <c r="H14" s="62">
        <v>3</v>
      </c>
      <c r="I14" s="32"/>
      <c r="J14" s="62"/>
      <c r="K14" s="19"/>
      <c r="L14" s="54"/>
      <c r="M14" s="19"/>
      <c r="N14" s="119">
        <v>12</v>
      </c>
      <c r="O14" s="116">
        <v>8</v>
      </c>
    </row>
    <row r="15" spans="2:15" ht="21.95" customHeight="1" x14ac:dyDescent="0.3">
      <c r="B15" s="127"/>
      <c r="C15" s="118"/>
      <c r="D15" s="16" t="s">
        <v>10</v>
      </c>
      <c r="E15" s="17" t="s">
        <v>27</v>
      </c>
      <c r="F15" s="18">
        <v>4</v>
      </c>
      <c r="G15" s="75">
        <v>3</v>
      </c>
      <c r="H15" s="62"/>
      <c r="I15" s="32">
        <v>3</v>
      </c>
      <c r="J15" s="62"/>
      <c r="K15" s="19"/>
      <c r="L15" s="54"/>
      <c r="M15" s="19"/>
      <c r="N15" s="120"/>
      <c r="O15" s="117"/>
    </row>
    <row r="16" spans="2:15" ht="21.95" customHeight="1" x14ac:dyDescent="0.3">
      <c r="B16" s="127"/>
      <c r="C16" s="118"/>
      <c r="D16" s="16" t="s">
        <v>12</v>
      </c>
      <c r="E16" s="17" t="s">
        <v>46</v>
      </c>
      <c r="F16" s="18">
        <v>4</v>
      </c>
      <c r="G16" s="75">
        <v>3</v>
      </c>
      <c r="H16" s="62"/>
      <c r="I16" s="32"/>
      <c r="J16" s="62">
        <v>3</v>
      </c>
      <c r="K16" s="19"/>
      <c r="L16" s="54"/>
      <c r="M16" s="19"/>
      <c r="N16" s="120"/>
      <c r="O16" s="117"/>
    </row>
    <row r="17" spans="2:15" ht="21.95" customHeight="1" x14ac:dyDescent="0.3">
      <c r="B17" s="127"/>
      <c r="C17" s="118"/>
      <c r="D17" s="16" t="s">
        <v>12</v>
      </c>
      <c r="E17" s="17" t="s">
        <v>47</v>
      </c>
      <c r="F17" s="18">
        <v>4</v>
      </c>
      <c r="G17" s="75">
        <v>3</v>
      </c>
      <c r="H17" s="62"/>
      <c r="I17" s="32"/>
      <c r="J17" s="63"/>
      <c r="K17" s="20">
        <v>3</v>
      </c>
      <c r="L17" s="55"/>
      <c r="M17" s="20"/>
      <c r="N17" s="120"/>
      <c r="O17" s="117"/>
    </row>
    <row r="18" spans="2:15" ht="21.95" customHeight="1" x14ac:dyDescent="0.3">
      <c r="B18" s="127"/>
      <c r="C18" s="98" t="s">
        <v>16</v>
      </c>
      <c r="D18" s="16" t="s">
        <v>10</v>
      </c>
      <c r="E18" s="17" t="s">
        <v>30</v>
      </c>
      <c r="F18" s="21">
        <v>4</v>
      </c>
      <c r="G18" s="34">
        <v>3</v>
      </c>
      <c r="H18" s="64">
        <v>3</v>
      </c>
      <c r="I18" s="33"/>
      <c r="J18" s="64"/>
      <c r="K18" s="30"/>
      <c r="L18" s="56"/>
      <c r="M18" s="30"/>
      <c r="N18" s="94">
        <v>6</v>
      </c>
      <c r="O18" s="96">
        <v>8</v>
      </c>
    </row>
    <row r="19" spans="2:15" ht="21.95" customHeight="1" x14ac:dyDescent="0.3">
      <c r="B19" s="127"/>
      <c r="C19" s="99"/>
      <c r="D19" s="16" t="s">
        <v>10</v>
      </c>
      <c r="E19" s="17" t="s">
        <v>31</v>
      </c>
      <c r="F19" s="21">
        <v>4</v>
      </c>
      <c r="G19" s="34">
        <v>3</v>
      </c>
      <c r="H19" s="64"/>
      <c r="I19" s="33">
        <v>3</v>
      </c>
      <c r="J19" s="64"/>
      <c r="K19" s="30"/>
      <c r="L19" s="56"/>
      <c r="M19" s="30"/>
      <c r="N19" s="95"/>
      <c r="O19" s="97"/>
    </row>
    <row r="20" spans="2:15" ht="21.95" customHeight="1" x14ac:dyDescent="0.3">
      <c r="B20" s="127"/>
      <c r="C20" s="99"/>
      <c r="D20" s="16" t="s">
        <v>10</v>
      </c>
      <c r="E20" s="17" t="s">
        <v>28</v>
      </c>
      <c r="F20" s="21">
        <v>3</v>
      </c>
      <c r="G20" s="34">
        <v>3</v>
      </c>
      <c r="H20" s="64"/>
      <c r="I20" s="33"/>
      <c r="J20" s="64">
        <v>3</v>
      </c>
      <c r="K20" s="30"/>
      <c r="L20" s="56"/>
      <c r="M20" s="30"/>
      <c r="N20" s="94">
        <v>6</v>
      </c>
      <c r="O20" s="96">
        <v>6</v>
      </c>
    </row>
    <row r="21" spans="2:15" ht="21.95" customHeight="1" x14ac:dyDescent="0.3">
      <c r="B21" s="127"/>
      <c r="C21" s="99"/>
      <c r="D21" s="16" t="s">
        <v>10</v>
      </c>
      <c r="E21" s="17" t="s">
        <v>29</v>
      </c>
      <c r="F21" s="21">
        <v>3</v>
      </c>
      <c r="G21" s="34">
        <v>3</v>
      </c>
      <c r="H21" s="64"/>
      <c r="I21" s="33"/>
      <c r="J21" s="64"/>
      <c r="K21" s="30">
        <v>3</v>
      </c>
      <c r="L21" s="56"/>
      <c r="M21" s="30"/>
      <c r="N21" s="95"/>
      <c r="O21" s="97"/>
    </row>
    <row r="22" spans="2:15" ht="21.95" customHeight="1" x14ac:dyDescent="0.3">
      <c r="B22" s="127"/>
      <c r="C22" s="99"/>
      <c r="D22" s="16" t="s">
        <v>12</v>
      </c>
      <c r="E22" s="22" t="s">
        <v>89</v>
      </c>
      <c r="F22" s="21">
        <v>4</v>
      </c>
      <c r="G22" s="34">
        <v>3</v>
      </c>
      <c r="H22" s="65"/>
      <c r="I22" s="49"/>
      <c r="J22" s="64"/>
      <c r="K22" s="30"/>
      <c r="L22" s="54">
        <v>3</v>
      </c>
      <c r="M22" s="19"/>
      <c r="N22" s="36">
        <v>3</v>
      </c>
      <c r="O22" s="96"/>
    </row>
    <row r="23" spans="2:15" ht="21.95" customHeight="1" x14ac:dyDescent="0.3">
      <c r="B23" s="127"/>
      <c r="C23" s="100"/>
      <c r="D23" s="16" t="s">
        <v>41</v>
      </c>
      <c r="E23" s="23" t="s">
        <v>92</v>
      </c>
      <c r="F23" s="24">
        <v>4</v>
      </c>
      <c r="G23" s="50">
        <v>3</v>
      </c>
      <c r="H23" s="65"/>
      <c r="I23" s="49"/>
      <c r="J23" s="65"/>
      <c r="K23" s="66"/>
      <c r="L23" s="54"/>
      <c r="M23" s="19">
        <v>3</v>
      </c>
      <c r="N23" s="36">
        <v>3</v>
      </c>
      <c r="O23" s="97"/>
    </row>
    <row r="24" spans="2:15" ht="21.95" customHeight="1" x14ac:dyDescent="0.3">
      <c r="B24" s="127"/>
      <c r="C24" s="118" t="s">
        <v>17</v>
      </c>
      <c r="D24" s="16" t="s">
        <v>10</v>
      </c>
      <c r="E24" s="22" t="s">
        <v>32</v>
      </c>
      <c r="F24" s="21">
        <v>4</v>
      </c>
      <c r="G24" s="34">
        <v>4</v>
      </c>
      <c r="H24" s="64">
        <v>4</v>
      </c>
      <c r="I24" s="33"/>
      <c r="J24" s="64"/>
      <c r="K24" s="30"/>
      <c r="L24" s="56"/>
      <c r="M24" s="30"/>
      <c r="N24" s="94">
        <v>10</v>
      </c>
      <c r="O24" s="122">
        <v>10</v>
      </c>
    </row>
    <row r="25" spans="2:15" ht="21.95" customHeight="1" x14ac:dyDescent="0.3">
      <c r="B25" s="127"/>
      <c r="C25" s="118"/>
      <c r="D25" s="16" t="s">
        <v>10</v>
      </c>
      <c r="E25" s="22" t="s">
        <v>33</v>
      </c>
      <c r="F25" s="21">
        <v>4</v>
      </c>
      <c r="G25" s="34">
        <v>4</v>
      </c>
      <c r="H25" s="64"/>
      <c r="I25" s="33">
        <v>4</v>
      </c>
      <c r="J25" s="64"/>
      <c r="K25" s="30"/>
      <c r="L25" s="56"/>
      <c r="M25" s="30"/>
      <c r="N25" s="121"/>
      <c r="O25" s="123"/>
    </row>
    <row r="26" spans="2:15" ht="21.95" customHeight="1" x14ac:dyDescent="0.3">
      <c r="B26" s="127"/>
      <c r="C26" s="118"/>
      <c r="D26" s="16" t="s">
        <v>10</v>
      </c>
      <c r="E26" s="22" t="s">
        <v>86</v>
      </c>
      <c r="F26" s="21">
        <v>1</v>
      </c>
      <c r="G26" s="34">
        <v>1</v>
      </c>
      <c r="H26" s="67"/>
      <c r="I26" s="49"/>
      <c r="J26" s="67">
        <v>1</v>
      </c>
      <c r="K26" s="68"/>
      <c r="L26" s="56"/>
      <c r="M26" s="30"/>
      <c r="N26" s="121"/>
      <c r="O26" s="123"/>
    </row>
    <row r="27" spans="2:15" ht="21.95" customHeight="1" x14ac:dyDescent="0.3">
      <c r="B27" s="127"/>
      <c r="C27" s="118"/>
      <c r="D27" s="16" t="s">
        <v>10</v>
      </c>
      <c r="E27" s="22" t="s">
        <v>87</v>
      </c>
      <c r="F27" s="21">
        <v>1</v>
      </c>
      <c r="G27" s="34">
        <v>1</v>
      </c>
      <c r="H27" s="65"/>
      <c r="I27" s="50"/>
      <c r="J27" s="67"/>
      <c r="K27" s="68">
        <v>1</v>
      </c>
      <c r="L27" s="56"/>
      <c r="M27" s="30"/>
      <c r="N27" s="121"/>
      <c r="O27" s="123"/>
    </row>
    <row r="28" spans="2:15" ht="21.95" customHeight="1" x14ac:dyDescent="0.3">
      <c r="B28" s="127"/>
      <c r="C28" s="118" t="s">
        <v>18</v>
      </c>
      <c r="D28" s="16" t="s">
        <v>12</v>
      </c>
      <c r="E28" s="22" t="s">
        <v>34</v>
      </c>
      <c r="F28" s="21">
        <v>3</v>
      </c>
      <c r="G28" s="34">
        <v>2</v>
      </c>
      <c r="H28" s="64">
        <v>2</v>
      </c>
      <c r="I28" s="33"/>
      <c r="J28" s="69"/>
      <c r="K28" s="30"/>
      <c r="L28" s="56"/>
      <c r="M28" s="30"/>
      <c r="N28" s="94">
        <v>10</v>
      </c>
      <c r="O28" s="122">
        <v>10</v>
      </c>
    </row>
    <row r="29" spans="2:15" ht="21.95" customHeight="1" x14ac:dyDescent="0.3">
      <c r="B29" s="127"/>
      <c r="C29" s="118"/>
      <c r="D29" s="16" t="s">
        <v>12</v>
      </c>
      <c r="E29" s="22" t="s">
        <v>35</v>
      </c>
      <c r="F29" s="21">
        <v>3</v>
      </c>
      <c r="G29" s="34">
        <v>2</v>
      </c>
      <c r="H29" s="64"/>
      <c r="I29" s="33">
        <v>2</v>
      </c>
      <c r="J29" s="64"/>
      <c r="K29" s="30"/>
      <c r="L29" s="56"/>
      <c r="M29" s="30"/>
      <c r="N29" s="121"/>
      <c r="O29" s="123"/>
    </row>
    <row r="30" spans="2:15" ht="21.95" customHeight="1" x14ac:dyDescent="0.3">
      <c r="B30" s="127"/>
      <c r="C30" s="118"/>
      <c r="D30" s="16" t="s">
        <v>41</v>
      </c>
      <c r="E30" s="22" t="s">
        <v>40</v>
      </c>
      <c r="F30" s="21">
        <v>3</v>
      </c>
      <c r="G30" s="34">
        <v>2</v>
      </c>
      <c r="H30" s="78"/>
      <c r="I30" s="51"/>
      <c r="J30" s="64">
        <v>2</v>
      </c>
      <c r="K30" s="30"/>
      <c r="L30" s="56"/>
      <c r="M30" s="30"/>
      <c r="N30" s="121"/>
      <c r="O30" s="123"/>
    </row>
    <row r="31" spans="2:15" ht="21.95" customHeight="1" x14ac:dyDescent="0.3">
      <c r="B31" s="127"/>
      <c r="C31" s="118"/>
      <c r="D31" s="16" t="s">
        <v>41</v>
      </c>
      <c r="E31" s="22" t="s">
        <v>57</v>
      </c>
      <c r="F31" s="21">
        <v>3</v>
      </c>
      <c r="G31" s="34">
        <v>2</v>
      </c>
      <c r="H31" s="78"/>
      <c r="I31" s="51"/>
      <c r="J31" s="64"/>
      <c r="K31" s="30">
        <v>2</v>
      </c>
      <c r="L31" s="56"/>
      <c r="M31" s="30"/>
      <c r="N31" s="121"/>
      <c r="O31" s="123"/>
    </row>
    <row r="32" spans="2:15" ht="21.95" customHeight="1" x14ac:dyDescent="0.3">
      <c r="B32" s="127"/>
      <c r="C32" s="118"/>
      <c r="D32" s="16" t="s">
        <v>19</v>
      </c>
      <c r="E32" s="22" t="s">
        <v>42</v>
      </c>
      <c r="F32" s="21">
        <v>2</v>
      </c>
      <c r="G32" s="34">
        <v>1</v>
      </c>
      <c r="H32" s="67"/>
      <c r="I32" s="49"/>
      <c r="J32" s="64"/>
      <c r="K32" s="30"/>
      <c r="L32" s="56">
        <v>1</v>
      </c>
      <c r="M32" s="30"/>
      <c r="N32" s="121"/>
      <c r="O32" s="123"/>
    </row>
    <row r="33" spans="2:15" ht="21.95" customHeight="1" x14ac:dyDescent="0.3">
      <c r="B33" s="127"/>
      <c r="C33" s="118"/>
      <c r="D33" s="16" t="s">
        <v>19</v>
      </c>
      <c r="E33" s="22" t="s">
        <v>43</v>
      </c>
      <c r="F33" s="21">
        <v>2</v>
      </c>
      <c r="G33" s="34">
        <v>1</v>
      </c>
      <c r="H33" s="65"/>
      <c r="I33" s="50"/>
      <c r="J33" s="64"/>
      <c r="K33" s="30"/>
      <c r="L33" s="56"/>
      <c r="M33" s="30">
        <v>1</v>
      </c>
      <c r="N33" s="121"/>
      <c r="O33" s="123"/>
    </row>
    <row r="34" spans="2:15" ht="21.95" customHeight="1" x14ac:dyDescent="0.3">
      <c r="B34" s="127"/>
      <c r="C34" s="118" t="s">
        <v>90</v>
      </c>
      <c r="D34" s="16" t="s">
        <v>12</v>
      </c>
      <c r="E34" s="22" t="s">
        <v>36</v>
      </c>
      <c r="F34" s="21">
        <v>3</v>
      </c>
      <c r="G34" s="34">
        <v>2</v>
      </c>
      <c r="H34" s="65"/>
      <c r="I34" s="49"/>
      <c r="J34" s="64"/>
      <c r="K34" s="30"/>
      <c r="L34" s="56">
        <v>2</v>
      </c>
      <c r="M34" s="30"/>
      <c r="N34" s="94">
        <v>16</v>
      </c>
      <c r="O34" s="122">
        <v>16</v>
      </c>
    </row>
    <row r="35" spans="2:15" ht="21.95" customHeight="1" x14ac:dyDescent="0.3">
      <c r="B35" s="127"/>
      <c r="C35" s="118"/>
      <c r="D35" s="16" t="s">
        <v>19</v>
      </c>
      <c r="E35" s="22" t="s">
        <v>73</v>
      </c>
      <c r="F35" s="21">
        <v>3</v>
      </c>
      <c r="G35" s="34">
        <v>2</v>
      </c>
      <c r="H35" s="65"/>
      <c r="I35" s="49"/>
      <c r="J35" s="64"/>
      <c r="K35" s="30"/>
      <c r="L35" s="56"/>
      <c r="M35" s="30">
        <v>2</v>
      </c>
      <c r="N35" s="121"/>
      <c r="O35" s="123"/>
    </row>
    <row r="36" spans="2:15" ht="21.95" customHeight="1" x14ac:dyDescent="0.3">
      <c r="B36" s="127"/>
      <c r="C36" s="118"/>
      <c r="D36" s="16" t="s">
        <v>19</v>
      </c>
      <c r="E36" s="17" t="s">
        <v>37</v>
      </c>
      <c r="F36" s="21">
        <v>3</v>
      </c>
      <c r="G36" s="34">
        <v>3</v>
      </c>
      <c r="H36" s="64"/>
      <c r="I36" s="33"/>
      <c r="J36" s="64"/>
      <c r="K36" s="30"/>
      <c r="L36" s="56">
        <v>3</v>
      </c>
      <c r="M36" s="30"/>
      <c r="N36" s="121"/>
      <c r="O36" s="123"/>
    </row>
    <row r="37" spans="2:15" ht="21.95" customHeight="1" x14ac:dyDescent="0.3">
      <c r="B37" s="127"/>
      <c r="C37" s="118"/>
      <c r="D37" s="16" t="s">
        <v>19</v>
      </c>
      <c r="E37" s="17" t="s">
        <v>58</v>
      </c>
      <c r="F37" s="21">
        <v>3</v>
      </c>
      <c r="G37" s="34">
        <v>3</v>
      </c>
      <c r="H37" s="64"/>
      <c r="I37" s="33"/>
      <c r="J37" s="64"/>
      <c r="K37" s="30"/>
      <c r="L37" s="56"/>
      <c r="M37" s="30">
        <v>3</v>
      </c>
      <c r="N37" s="121"/>
      <c r="O37" s="123"/>
    </row>
    <row r="38" spans="2:15" ht="21.95" customHeight="1" x14ac:dyDescent="0.3">
      <c r="B38" s="127"/>
      <c r="C38" s="118"/>
      <c r="D38" s="16" t="s">
        <v>12</v>
      </c>
      <c r="E38" s="17" t="s">
        <v>93</v>
      </c>
      <c r="F38" s="21">
        <v>4</v>
      </c>
      <c r="G38" s="34">
        <v>3</v>
      </c>
      <c r="H38" s="64"/>
      <c r="I38" s="33"/>
      <c r="J38" s="64"/>
      <c r="K38" s="30"/>
      <c r="L38" s="56">
        <v>3</v>
      </c>
      <c r="M38" s="30"/>
      <c r="N38" s="121"/>
      <c r="O38" s="123"/>
    </row>
    <row r="39" spans="2:15" ht="21.95" customHeight="1" thickBot="1" x14ac:dyDescent="0.35">
      <c r="B39" s="132"/>
      <c r="C39" s="124"/>
      <c r="D39" s="5" t="s">
        <v>41</v>
      </c>
      <c r="E39" s="41" t="s">
        <v>59</v>
      </c>
      <c r="F39" s="28">
        <v>4</v>
      </c>
      <c r="G39" s="76">
        <v>3</v>
      </c>
      <c r="H39" s="70"/>
      <c r="I39" s="35"/>
      <c r="J39" s="70"/>
      <c r="K39" s="29"/>
      <c r="L39" s="57"/>
      <c r="M39" s="29">
        <v>3</v>
      </c>
      <c r="N39" s="125"/>
      <c r="O39" s="126"/>
    </row>
    <row r="40" spans="2:15" ht="21.95" customHeight="1" x14ac:dyDescent="0.3">
      <c r="B40" s="127" t="s">
        <v>53</v>
      </c>
      <c r="C40" s="31" t="s">
        <v>11</v>
      </c>
      <c r="D40" s="37" t="s">
        <v>52</v>
      </c>
      <c r="E40" s="38" t="s">
        <v>45</v>
      </c>
      <c r="F40" s="39">
        <v>4</v>
      </c>
      <c r="G40" s="77">
        <v>4</v>
      </c>
      <c r="H40" s="71"/>
      <c r="I40" s="40"/>
      <c r="J40" s="71"/>
      <c r="K40" s="72"/>
      <c r="L40" s="128" t="s">
        <v>63</v>
      </c>
      <c r="M40" s="72"/>
      <c r="N40" s="121">
        <v>20</v>
      </c>
      <c r="O40" s="123"/>
    </row>
    <row r="41" spans="2:15" ht="21.95" customHeight="1" x14ac:dyDescent="0.3">
      <c r="B41" s="127"/>
      <c r="C41" s="6" t="s">
        <v>15</v>
      </c>
      <c r="D41" s="14" t="s">
        <v>12</v>
      </c>
      <c r="E41" s="17" t="s">
        <v>75</v>
      </c>
      <c r="F41" s="21">
        <v>4</v>
      </c>
      <c r="G41" s="34">
        <v>4</v>
      </c>
      <c r="H41" s="64"/>
      <c r="I41" s="33"/>
      <c r="J41" s="73"/>
      <c r="K41" s="30"/>
      <c r="L41" s="129"/>
      <c r="M41" s="30"/>
      <c r="N41" s="121"/>
      <c r="O41" s="123"/>
    </row>
    <row r="42" spans="2:15" ht="21.95" customHeight="1" x14ac:dyDescent="0.3">
      <c r="B42" s="127"/>
      <c r="C42" s="6" t="s">
        <v>11</v>
      </c>
      <c r="D42" s="14" t="s">
        <v>19</v>
      </c>
      <c r="E42" s="26" t="s">
        <v>60</v>
      </c>
      <c r="F42" s="21">
        <v>4</v>
      </c>
      <c r="G42" s="34">
        <v>4</v>
      </c>
      <c r="H42" s="64"/>
      <c r="I42" s="33"/>
      <c r="J42" s="73"/>
      <c r="K42" s="30"/>
      <c r="L42" s="56"/>
      <c r="M42" s="130" t="s">
        <v>63</v>
      </c>
      <c r="N42" s="121"/>
      <c r="O42" s="123"/>
    </row>
    <row r="43" spans="2:15" ht="21.95" customHeight="1" x14ac:dyDescent="0.3">
      <c r="B43" s="127"/>
      <c r="C43" s="6" t="s">
        <v>15</v>
      </c>
      <c r="D43" s="14" t="s">
        <v>19</v>
      </c>
      <c r="E43" s="26" t="s">
        <v>61</v>
      </c>
      <c r="F43" s="21">
        <v>4</v>
      </c>
      <c r="G43" s="34">
        <v>4</v>
      </c>
      <c r="H43" s="64"/>
      <c r="I43" s="33"/>
      <c r="J43" s="73"/>
      <c r="K43" s="30"/>
      <c r="L43" s="56"/>
      <c r="M43" s="130"/>
      <c r="N43" s="121"/>
      <c r="O43" s="123"/>
    </row>
    <row r="44" spans="2:15" ht="21.95" customHeight="1" x14ac:dyDescent="0.3">
      <c r="B44" s="127"/>
      <c r="C44" s="118" t="s">
        <v>22</v>
      </c>
      <c r="D44" s="14" t="s">
        <v>52</v>
      </c>
      <c r="E44" s="17" t="s">
        <v>62</v>
      </c>
      <c r="F44" s="21">
        <v>4</v>
      </c>
      <c r="G44" s="34">
        <v>3</v>
      </c>
      <c r="H44" s="64"/>
      <c r="I44" s="33"/>
      <c r="J44" s="131" t="s">
        <v>88</v>
      </c>
      <c r="K44" s="30"/>
      <c r="L44" s="56"/>
      <c r="M44" s="30"/>
      <c r="N44" s="121"/>
      <c r="O44" s="123"/>
    </row>
    <row r="45" spans="2:15" ht="21.95" customHeight="1" x14ac:dyDescent="0.3">
      <c r="B45" s="127"/>
      <c r="C45" s="118"/>
      <c r="D45" s="14" t="s">
        <v>19</v>
      </c>
      <c r="E45" s="17" t="s">
        <v>77</v>
      </c>
      <c r="F45" s="21">
        <v>4</v>
      </c>
      <c r="G45" s="34">
        <v>3</v>
      </c>
      <c r="H45" s="64"/>
      <c r="I45" s="33"/>
      <c r="J45" s="131"/>
      <c r="K45" s="30"/>
      <c r="L45" s="56"/>
      <c r="M45" s="30"/>
      <c r="N45" s="121"/>
      <c r="O45" s="123"/>
    </row>
    <row r="46" spans="2:15" ht="21.95" customHeight="1" x14ac:dyDescent="0.3">
      <c r="B46" s="127"/>
      <c r="C46" s="118"/>
      <c r="D46" s="15" t="s">
        <v>12</v>
      </c>
      <c r="E46" s="25" t="s">
        <v>72</v>
      </c>
      <c r="F46" s="21">
        <v>4</v>
      </c>
      <c r="G46" s="34">
        <v>3</v>
      </c>
      <c r="H46" s="64"/>
      <c r="I46" s="33"/>
      <c r="J46" s="73"/>
      <c r="K46" s="130" t="s">
        <v>88</v>
      </c>
      <c r="L46" s="56"/>
      <c r="M46" s="30"/>
      <c r="N46" s="121"/>
      <c r="O46" s="123"/>
    </row>
    <row r="47" spans="2:15" ht="21.95" customHeight="1" x14ac:dyDescent="0.3">
      <c r="B47" s="127"/>
      <c r="C47" s="118"/>
      <c r="D47" s="14" t="s">
        <v>19</v>
      </c>
      <c r="E47" s="17" t="s">
        <v>76</v>
      </c>
      <c r="F47" s="21">
        <v>4</v>
      </c>
      <c r="G47" s="34">
        <v>3</v>
      </c>
      <c r="H47" s="64"/>
      <c r="I47" s="33"/>
      <c r="J47" s="73"/>
      <c r="K47" s="130"/>
      <c r="L47" s="56"/>
      <c r="M47" s="30"/>
      <c r="N47" s="121"/>
      <c r="O47" s="123"/>
    </row>
    <row r="48" spans="2:15" ht="21.95" customHeight="1" x14ac:dyDescent="0.3">
      <c r="B48" s="127"/>
      <c r="C48" s="118" t="s">
        <v>20</v>
      </c>
      <c r="D48" s="14" t="s">
        <v>19</v>
      </c>
      <c r="E48" s="17" t="s">
        <v>85</v>
      </c>
      <c r="F48" s="21">
        <v>3</v>
      </c>
      <c r="G48" s="34">
        <v>4</v>
      </c>
      <c r="H48" s="79" t="s">
        <v>63</v>
      </c>
      <c r="I48" s="80"/>
      <c r="J48" s="79"/>
      <c r="K48" s="81"/>
      <c r="L48" s="82"/>
      <c r="M48" s="81"/>
      <c r="N48" s="94">
        <v>70</v>
      </c>
      <c r="O48" s="122">
        <v>10</v>
      </c>
    </row>
    <row r="49" spans="2:15" ht="21.95" customHeight="1" x14ac:dyDescent="0.3">
      <c r="B49" s="127"/>
      <c r="C49" s="118"/>
      <c r="D49" s="14" t="s">
        <v>19</v>
      </c>
      <c r="E49" s="26" t="s">
        <v>82</v>
      </c>
      <c r="F49" s="21">
        <v>3</v>
      </c>
      <c r="G49" s="34">
        <v>4</v>
      </c>
      <c r="H49" s="79" t="s">
        <v>63</v>
      </c>
      <c r="I49" s="80"/>
      <c r="J49" s="79"/>
      <c r="K49" s="83"/>
      <c r="L49" s="82"/>
      <c r="M49" s="81"/>
      <c r="N49" s="121"/>
      <c r="O49" s="123"/>
    </row>
    <row r="50" spans="2:15" ht="21.95" customHeight="1" x14ac:dyDescent="0.3">
      <c r="B50" s="127"/>
      <c r="C50" s="118"/>
      <c r="D50" s="14" t="s">
        <v>19</v>
      </c>
      <c r="E50" s="17" t="s">
        <v>94</v>
      </c>
      <c r="F50" s="21">
        <v>3</v>
      </c>
      <c r="G50" s="34">
        <v>4</v>
      </c>
      <c r="H50" s="79" t="s">
        <v>63</v>
      </c>
      <c r="I50" s="80"/>
      <c r="J50" s="79"/>
      <c r="K50" s="83"/>
      <c r="L50" s="82"/>
      <c r="M50" s="81"/>
      <c r="N50" s="121"/>
      <c r="O50" s="123"/>
    </row>
    <row r="51" spans="2:15" ht="21.95" customHeight="1" x14ac:dyDescent="0.3">
      <c r="B51" s="127"/>
      <c r="C51" s="118"/>
      <c r="D51" s="14" t="s">
        <v>19</v>
      </c>
      <c r="E51" s="17" t="s">
        <v>84</v>
      </c>
      <c r="F51" s="21">
        <v>3</v>
      </c>
      <c r="G51" s="34">
        <v>4</v>
      </c>
      <c r="H51" s="79"/>
      <c r="I51" s="80" t="s">
        <v>63</v>
      </c>
      <c r="J51" s="79"/>
      <c r="K51" s="83"/>
      <c r="L51" s="82"/>
      <c r="M51" s="81"/>
      <c r="N51" s="121"/>
      <c r="O51" s="123"/>
    </row>
    <row r="52" spans="2:15" ht="21.95" customHeight="1" x14ac:dyDescent="0.3">
      <c r="B52" s="127"/>
      <c r="C52" s="118"/>
      <c r="D52" s="14" t="s">
        <v>19</v>
      </c>
      <c r="E52" s="26" t="s">
        <v>83</v>
      </c>
      <c r="F52" s="21">
        <v>3</v>
      </c>
      <c r="G52" s="34">
        <v>4</v>
      </c>
      <c r="H52" s="79"/>
      <c r="I52" s="80" t="s">
        <v>63</v>
      </c>
      <c r="J52" s="79"/>
      <c r="K52" s="83"/>
      <c r="L52" s="82"/>
      <c r="M52" s="81"/>
      <c r="N52" s="121"/>
      <c r="O52" s="123"/>
    </row>
    <row r="53" spans="2:15" ht="21.95" customHeight="1" x14ac:dyDescent="0.3">
      <c r="B53" s="127"/>
      <c r="C53" s="118"/>
      <c r="D53" s="14" t="s">
        <v>19</v>
      </c>
      <c r="E53" s="17" t="s">
        <v>67</v>
      </c>
      <c r="F53" s="21">
        <v>3</v>
      </c>
      <c r="G53" s="34">
        <v>4</v>
      </c>
      <c r="H53" s="79"/>
      <c r="I53" s="80" t="s">
        <v>63</v>
      </c>
      <c r="J53" s="79"/>
      <c r="K53" s="83"/>
      <c r="L53" s="82"/>
      <c r="M53" s="81"/>
      <c r="N53" s="121"/>
      <c r="O53" s="123"/>
    </row>
    <row r="54" spans="2:15" ht="21.95" customHeight="1" x14ac:dyDescent="0.3">
      <c r="B54" s="127"/>
      <c r="C54" s="118"/>
      <c r="D54" s="14" t="s">
        <v>19</v>
      </c>
      <c r="E54" s="17" t="s">
        <v>78</v>
      </c>
      <c r="F54" s="21">
        <v>3</v>
      </c>
      <c r="G54" s="34">
        <v>4</v>
      </c>
      <c r="H54" s="79"/>
      <c r="I54" s="80"/>
      <c r="J54" s="79" t="s">
        <v>63</v>
      </c>
      <c r="K54" s="83"/>
      <c r="L54" s="82"/>
      <c r="M54" s="81"/>
      <c r="N54" s="121"/>
      <c r="O54" s="123"/>
    </row>
    <row r="55" spans="2:15" ht="21.95" customHeight="1" x14ac:dyDescent="0.3">
      <c r="B55" s="127"/>
      <c r="C55" s="118"/>
      <c r="D55" s="14" t="s">
        <v>19</v>
      </c>
      <c r="E55" s="26" t="s">
        <v>68</v>
      </c>
      <c r="F55" s="21">
        <v>3</v>
      </c>
      <c r="G55" s="34">
        <v>4</v>
      </c>
      <c r="H55" s="79"/>
      <c r="I55" s="80"/>
      <c r="J55" s="79" t="s">
        <v>63</v>
      </c>
      <c r="K55" s="81"/>
      <c r="L55" s="84"/>
      <c r="M55" s="85"/>
      <c r="N55" s="121"/>
      <c r="O55" s="123"/>
    </row>
    <row r="56" spans="2:15" ht="21.95" customHeight="1" x14ac:dyDescent="0.3">
      <c r="B56" s="127"/>
      <c r="C56" s="118"/>
      <c r="D56" s="14" t="s">
        <v>19</v>
      </c>
      <c r="E56" s="22" t="s">
        <v>95</v>
      </c>
      <c r="F56" s="21">
        <v>3</v>
      </c>
      <c r="G56" s="34">
        <v>4</v>
      </c>
      <c r="H56" s="86"/>
      <c r="I56" s="87"/>
      <c r="J56" s="143" t="s">
        <v>63</v>
      </c>
      <c r="K56" s="88"/>
      <c r="L56" s="84"/>
      <c r="M56" s="85"/>
      <c r="N56" s="121"/>
      <c r="O56" s="123"/>
    </row>
    <row r="57" spans="2:15" ht="21.95" customHeight="1" x14ac:dyDescent="0.3">
      <c r="B57" s="127"/>
      <c r="C57" s="118"/>
      <c r="D57" s="1" t="s">
        <v>41</v>
      </c>
      <c r="E57" s="22" t="s">
        <v>66</v>
      </c>
      <c r="F57" s="21">
        <v>3</v>
      </c>
      <c r="G57" s="34">
        <v>4</v>
      </c>
      <c r="H57" s="86"/>
      <c r="I57" s="87"/>
      <c r="J57" s="143"/>
      <c r="K57" s="88"/>
      <c r="L57" s="84"/>
      <c r="M57" s="85"/>
      <c r="N57" s="121"/>
      <c r="O57" s="123"/>
    </row>
    <row r="58" spans="2:15" ht="21.95" customHeight="1" x14ac:dyDescent="0.3">
      <c r="B58" s="127"/>
      <c r="C58" s="118"/>
      <c r="D58" s="1" t="s">
        <v>19</v>
      </c>
      <c r="E58" s="17" t="s">
        <v>79</v>
      </c>
      <c r="F58" s="21">
        <v>3</v>
      </c>
      <c r="G58" s="34">
        <v>4</v>
      </c>
      <c r="H58" s="79"/>
      <c r="I58" s="87"/>
      <c r="J58" s="86"/>
      <c r="K58" s="85" t="s">
        <v>63</v>
      </c>
      <c r="L58" s="84"/>
      <c r="M58" s="85"/>
      <c r="N58" s="121"/>
      <c r="O58" s="123"/>
    </row>
    <row r="59" spans="2:15" ht="21.95" customHeight="1" x14ac:dyDescent="0.3">
      <c r="B59" s="127"/>
      <c r="C59" s="118"/>
      <c r="D59" s="1" t="s">
        <v>19</v>
      </c>
      <c r="E59" s="26" t="s">
        <v>69</v>
      </c>
      <c r="F59" s="21">
        <v>3</v>
      </c>
      <c r="G59" s="34">
        <v>4</v>
      </c>
      <c r="H59" s="79"/>
      <c r="I59" s="80"/>
      <c r="J59" s="79"/>
      <c r="K59" s="81" t="s">
        <v>63</v>
      </c>
      <c r="L59" s="84"/>
      <c r="M59" s="81"/>
      <c r="N59" s="121"/>
      <c r="O59" s="123"/>
    </row>
    <row r="60" spans="2:15" ht="21.95" customHeight="1" x14ac:dyDescent="0.3">
      <c r="B60" s="127"/>
      <c r="C60" s="118"/>
      <c r="D60" s="1" t="s">
        <v>19</v>
      </c>
      <c r="E60" s="17" t="s">
        <v>96</v>
      </c>
      <c r="F60" s="21">
        <v>3</v>
      </c>
      <c r="G60" s="34">
        <v>4</v>
      </c>
      <c r="H60" s="79"/>
      <c r="I60" s="80"/>
      <c r="J60" s="79"/>
      <c r="K60" s="81" t="s">
        <v>63</v>
      </c>
      <c r="L60" s="84"/>
      <c r="M60" s="81"/>
      <c r="N60" s="121"/>
      <c r="O60" s="123"/>
    </row>
    <row r="61" spans="2:15" ht="21.95" customHeight="1" x14ac:dyDescent="0.3">
      <c r="B61" s="127"/>
      <c r="C61" s="118"/>
      <c r="D61" s="1" t="s">
        <v>19</v>
      </c>
      <c r="E61" s="17" t="s">
        <v>80</v>
      </c>
      <c r="F61" s="21">
        <v>3</v>
      </c>
      <c r="G61" s="34">
        <v>4</v>
      </c>
      <c r="H61" s="79"/>
      <c r="I61" s="87"/>
      <c r="J61" s="86"/>
      <c r="K61" s="88"/>
      <c r="L61" s="89" t="s">
        <v>63</v>
      </c>
      <c r="M61" s="81"/>
      <c r="N61" s="121"/>
      <c r="O61" s="123"/>
    </row>
    <row r="62" spans="2:15" ht="21.95" customHeight="1" x14ac:dyDescent="0.3">
      <c r="B62" s="127"/>
      <c r="C62" s="118"/>
      <c r="D62" s="1" t="s">
        <v>19</v>
      </c>
      <c r="E62" s="26" t="s">
        <v>70</v>
      </c>
      <c r="F62" s="21">
        <v>3</v>
      </c>
      <c r="G62" s="34">
        <v>4</v>
      </c>
      <c r="H62" s="86"/>
      <c r="I62" s="87"/>
      <c r="J62" s="86"/>
      <c r="K62" s="88"/>
      <c r="L62" s="82" t="s">
        <v>63</v>
      </c>
      <c r="M62" s="81"/>
      <c r="N62" s="121"/>
      <c r="O62" s="123"/>
    </row>
    <row r="63" spans="2:15" ht="21.95" customHeight="1" x14ac:dyDescent="0.3">
      <c r="B63" s="127"/>
      <c r="C63" s="118"/>
      <c r="D63" s="1" t="s">
        <v>41</v>
      </c>
      <c r="E63" s="22" t="s">
        <v>65</v>
      </c>
      <c r="F63" s="21">
        <v>3</v>
      </c>
      <c r="G63" s="34">
        <v>4</v>
      </c>
      <c r="H63" s="86"/>
      <c r="I63" s="87"/>
      <c r="J63" s="86"/>
      <c r="K63" s="88"/>
      <c r="L63" s="144" t="s">
        <v>63</v>
      </c>
      <c r="M63" s="81"/>
      <c r="N63" s="121"/>
      <c r="O63" s="123"/>
    </row>
    <row r="64" spans="2:15" ht="21.95" customHeight="1" x14ac:dyDescent="0.3">
      <c r="B64" s="127"/>
      <c r="C64" s="118"/>
      <c r="D64" s="1" t="s">
        <v>19</v>
      </c>
      <c r="E64" s="22" t="s">
        <v>97</v>
      </c>
      <c r="F64" s="21">
        <v>3</v>
      </c>
      <c r="G64" s="34">
        <v>4</v>
      </c>
      <c r="H64" s="86"/>
      <c r="I64" s="87"/>
      <c r="J64" s="86"/>
      <c r="K64" s="88"/>
      <c r="L64" s="144"/>
      <c r="M64" s="81"/>
      <c r="N64" s="121"/>
      <c r="O64" s="123"/>
    </row>
    <row r="65" spans="2:15" ht="21.95" customHeight="1" x14ac:dyDescent="0.3">
      <c r="B65" s="127"/>
      <c r="C65" s="118"/>
      <c r="D65" s="1" t="s">
        <v>19</v>
      </c>
      <c r="E65" s="17" t="s">
        <v>81</v>
      </c>
      <c r="F65" s="21">
        <v>3</v>
      </c>
      <c r="G65" s="34">
        <v>4</v>
      </c>
      <c r="H65" s="79"/>
      <c r="I65" s="87"/>
      <c r="J65" s="86"/>
      <c r="K65" s="88"/>
      <c r="L65" s="82"/>
      <c r="M65" s="81" t="s">
        <v>63</v>
      </c>
      <c r="N65" s="121"/>
      <c r="O65" s="123"/>
    </row>
    <row r="66" spans="2:15" ht="21.95" customHeight="1" x14ac:dyDescent="0.3">
      <c r="B66" s="127"/>
      <c r="C66" s="118"/>
      <c r="D66" s="1" t="s">
        <v>19</v>
      </c>
      <c r="E66" s="26" t="s">
        <v>71</v>
      </c>
      <c r="F66" s="21">
        <v>3</v>
      </c>
      <c r="G66" s="34">
        <v>4</v>
      </c>
      <c r="H66" s="79"/>
      <c r="I66" s="80"/>
      <c r="J66" s="79"/>
      <c r="K66" s="81"/>
      <c r="L66" s="82"/>
      <c r="M66" s="81" t="s">
        <v>63</v>
      </c>
      <c r="N66" s="121"/>
      <c r="O66" s="123"/>
    </row>
    <row r="67" spans="2:15" ht="21.95" customHeight="1" thickBot="1" x14ac:dyDescent="0.35">
      <c r="B67" s="127"/>
      <c r="C67" s="124"/>
      <c r="D67" s="5" t="s">
        <v>19</v>
      </c>
      <c r="E67" s="27" t="s">
        <v>98</v>
      </c>
      <c r="F67" s="28">
        <v>3</v>
      </c>
      <c r="G67" s="76">
        <v>2</v>
      </c>
      <c r="H67" s="90"/>
      <c r="I67" s="91"/>
      <c r="J67" s="90"/>
      <c r="K67" s="92"/>
      <c r="L67" s="93"/>
      <c r="M67" s="92" t="s">
        <v>64</v>
      </c>
      <c r="N67" s="125"/>
      <c r="O67" s="126"/>
    </row>
    <row r="68" spans="2:15" ht="21.95" customHeight="1" x14ac:dyDescent="0.3">
      <c r="B68" s="133" t="s">
        <v>54</v>
      </c>
      <c r="C68" s="134"/>
      <c r="D68" s="134"/>
      <c r="E68" s="134"/>
      <c r="F68" s="134"/>
      <c r="G68" s="135"/>
      <c r="H68" s="8">
        <v>30</v>
      </c>
      <c r="I68" s="46">
        <v>30</v>
      </c>
      <c r="J68" s="8">
        <v>30</v>
      </c>
      <c r="K68" s="7">
        <v>30</v>
      </c>
      <c r="L68" s="9">
        <v>28</v>
      </c>
      <c r="M68" s="7">
        <v>26</v>
      </c>
      <c r="N68" s="8">
        <f>SUM(H68:M68)</f>
        <v>174</v>
      </c>
      <c r="O68" s="7">
        <v>84</v>
      </c>
    </row>
    <row r="69" spans="2:15" ht="21.95" customHeight="1" x14ac:dyDescent="0.3">
      <c r="B69" s="136" t="s">
        <v>21</v>
      </c>
      <c r="C69" s="137"/>
      <c r="D69" s="137"/>
      <c r="E69" s="137"/>
      <c r="F69" s="137"/>
      <c r="G69" s="138"/>
      <c r="H69" s="2">
        <v>3</v>
      </c>
      <c r="I69" s="47">
        <v>3</v>
      </c>
      <c r="J69" s="2">
        <v>3</v>
      </c>
      <c r="K69" s="3">
        <v>3</v>
      </c>
      <c r="L69" s="10">
        <v>3</v>
      </c>
      <c r="M69" s="3">
        <v>3</v>
      </c>
      <c r="N69" s="2">
        <f>SUM(H69:M69)</f>
        <v>18</v>
      </c>
      <c r="O69" s="3">
        <v>18</v>
      </c>
    </row>
    <row r="70" spans="2:15" ht="21.95" customHeight="1" thickBot="1" x14ac:dyDescent="0.35">
      <c r="B70" s="139" t="s">
        <v>55</v>
      </c>
      <c r="C70" s="140"/>
      <c r="D70" s="140"/>
      <c r="E70" s="140"/>
      <c r="F70" s="140"/>
      <c r="G70" s="141"/>
      <c r="H70" s="11">
        <f t="shared" ref="H70:M70" si="0">H68+H69</f>
        <v>33</v>
      </c>
      <c r="I70" s="48">
        <f t="shared" si="0"/>
        <v>33</v>
      </c>
      <c r="J70" s="11">
        <f t="shared" si="0"/>
        <v>33</v>
      </c>
      <c r="K70" s="12">
        <f t="shared" si="0"/>
        <v>33</v>
      </c>
      <c r="L70" s="13">
        <f t="shared" si="0"/>
        <v>31</v>
      </c>
      <c r="M70" s="12">
        <f t="shared" si="0"/>
        <v>29</v>
      </c>
      <c r="N70" s="11">
        <f>SUM(H70:M70)</f>
        <v>192</v>
      </c>
      <c r="O70" s="12"/>
    </row>
    <row r="71" spans="2:15" ht="81.599999999999994" customHeight="1" x14ac:dyDescent="0.3">
      <c r="B71" s="142" t="s">
        <v>99</v>
      </c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</row>
  </sheetData>
  <mergeCells count="54">
    <mergeCell ref="B68:G68"/>
    <mergeCell ref="B69:G69"/>
    <mergeCell ref="B70:G70"/>
    <mergeCell ref="B71:O71"/>
    <mergeCell ref="K46:K47"/>
    <mergeCell ref="C48:C67"/>
    <mergeCell ref="N48:N67"/>
    <mergeCell ref="O48:O67"/>
    <mergeCell ref="J56:J57"/>
    <mergeCell ref="L63:L64"/>
    <mergeCell ref="C34:C39"/>
    <mergeCell ref="N34:N39"/>
    <mergeCell ref="O34:O39"/>
    <mergeCell ref="B40:B67"/>
    <mergeCell ref="L40:L41"/>
    <mergeCell ref="N40:N47"/>
    <mergeCell ref="O40:O47"/>
    <mergeCell ref="M42:M43"/>
    <mergeCell ref="C44:C47"/>
    <mergeCell ref="J44:J45"/>
    <mergeCell ref="B6:B39"/>
    <mergeCell ref="C6:C9"/>
    <mergeCell ref="N6:N9"/>
    <mergeCell ref="O6:O9"/>
    <mergeCell ref="C10:C13"/>
    <mergeCell ref="N10:N13"/>
    <mergeCell ref="N24:N27"/>
    <mergeCell ref="O24:O27"/>
    <mergeCell ref="C28:C33"/>
    <mergeCell ref="N28:N33"/>
    <mergeCell ref="O28:O33"/>
    <mergeCell ref="C24:C27"/>
    <mergeCell ref="O10:O13"/>
    <mergeCell ref="C14:C17"/>
    <mergeCell ref="N14:N17"/>
    <mergeCell ref="O14:O17"/>
    <mergeCell ref="N18:N19"/>
    <mergeCell ref="O18:O19"/>
    <mergeCell ref="N20:N21"/>
    <mergeCell ref="O20:O21"/>
    <mergeCell ref="C18:C23"/>
    <mergeCell ref="O22:O23"/>
    <mergeCell ref="B2:O2"/>
    <mergeCell ref="B3:O3"/>
    <mergeCell ref="B4:B5"/>
    <mergeCell ref="C4:C5"/>
    <mergeCell ref="D4:E5"/>
    <mergeCell ref="F4:F5"/>
    <mergeCell ref="G4:G5"/>
    <mergeCell ref="H4:I4"/>
    <mergeCell ref="J4:K4"/>
    <mergeCell ref="L4:M4"/>
    <mergeCell ref="N4:N5"/>
    <mergeCell ref="O4:O5"/>
  </mergeCells>
  <phoneticPr fontId="2" type="noConversion"/>
  <pageMargins left="0" right="0" top="0" bottom="0" header="0" footer="0"/>
  <pageSetup paperSize="12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신입생 3개년 편제(안)</vt:lpstr>
      <vt:lpstr>'2026학년도 신입생 3개년 편제(안)'!Print_Area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 mo park</cp:lastModifiedBy>
  <cp:lastPrinted>2025-09-11T04:46:02Z</cp:lastPrinted>
  <dcterms:created xsi:type="dcterms:W3CDTF">2022-04-18T03:36:49Z</dcterms:created>
  <dcterms:modified xsi:type="dcterms:W3CDTF">2026-02-09T04:51:11Z</dcterms:modified>
</cp:coreProperties>
</file>